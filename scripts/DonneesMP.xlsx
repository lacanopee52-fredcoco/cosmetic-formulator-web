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fredericmmunoz/cursor1/cosmetic-formulator-web/scripts/"/>
    </mc:Choice>
  </mc:AlternateContent>
  <xr:revisionPtr revIDLastSave="0" documentId="13_ncr:1_{FDEB2B99-25DF-9649-B4A5-D4947A041553}" xr6:coauthVersionLast="47" xr6:coauthVersionMax="47" xr10:uidLastSave="{00000000-0000-0000-0000-000000000000}"/>
  <bookViews>
    <workbookView xWindow="17100" yWindow="4980" windowWidth="34840" windowHeight="21720" activeTab="6" xr2:uid="{00000000-000D-0000-FFFF-FFFF00000000}"/>
  </bookViews>
  <sheets>
    <sheet name="Liste" sheetId="1" r:id="rId1"/>
    <sheet name="Descriptions" sheetId="2" r:id="rId2"/>
    <sheet name="Code formule" sheetId="3" r:id="rId3"/>
    <sheet name="Code MO" sheetId="4" r:id="rId4"/>
    <sheet name="Emballages" sheetId="5" r:id="rId5"/>
    <sheet name="Allergènes 81" sheetId="6" r:id="rId6"/>
    <sheet name="IFRA" sheetId="11" r:id="rId7"/>
    <sheet name="Test allergènes" sheetId="7" r:id="rId8"/>
    <sheet name="Tests toxico" sheetId="8" r:id="rId9"/>
    <sheet name="Gamme bébé" sheetId="9" r:id="rId10"/>
    <sheet name="Soin anti-bouton" sheetId="10" r:id="rId11"/>
  </sheets>
  <externalReferences>
    <externalReference r:id="rId12"/>
  </externalReferences>
  <definedNames>
    <definedName name="_xlnm._FilterDatabase" localSheetId="4" hidden="1">Emballages!$A$1:$D$128</definedName>
    <definedName name="_xlnm._FilterDatabase" localSheetId="0" hidden="1">Liste!$A$1:$O$952</definedName>
    <definedName name="Code">Liste!$A$2:$A$275</definedName>
    <definedName name="Description">Liste!$B:$B</definedName>
    <definedName name="Prix">Liste!$F$2:$F$275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M20yYHUBon3PtdxcPvROj0LOI8oO3UzyIR2b7JnOMyE="/>
    </ext>
  </extLst>
</workbook>
</file>

<file path=xl/calcChain.xml><?xml version="1.0" encoding="utf-8"?>
<calcChain xmlns="http://schemas.openxmlformats.org/spreadsheetml/2006/main">
  <c r="E34" i="11" l="1"/>
  <c r="D34" i="11"/>
  <c r="C34" i="11"/>
  <c r="B34" i="11"/>
  <c r="E33" i="11"/>
  <c r="D33" i="11"/>
  <c r="C33" i="11"/>
  <c r="B33" i="11"/>
  <c r="E32" i="11"/>
  <c r="D32" i="11"/>
  <c r="C32" i="11"/>
  <c r="B32" i="11"/>
  <c r="E31" i="11"/>
  <c r="D31" i="11"/>
  <c r="C31" i="11"/>
  <c r="B31" i="11"/>
  <c r="E30" i="11"/>
  <c r="D30" i="11"/>
  <c r="C30" i="11"/>
  <c r="B30" i="11"/>
  <c r="E29" i="11"/>
  <c r="D29" i="11"/>
  <c r="C29" i="11"/>
  <c r="B29" i="11"/>
  <c r="E28" i="11"/>
  <c r="D28" i="11"/>
  <c r="C28" i="11"/>
  <c r="B28" i="11"/>
  <c r="E27" i="11"/>
  <c r="D27" i="11"/>
  <c r="C27" i="11"/>
  <c r="B27" i="11"/>
  <c r="E26" i="11"/>
  <c r="D26" i="11"/>
  <c r="C26" i="11"/>
  <c r="B26" i="11"/>
  <c r="C12" i="4"/>
  <c r="M43" i="10"/>
  <c r="M30" i="10"/>
  <c r="M23" i="10"/>
  <c r="G16" i="10"/>
  <c r="B16" i="10"/>
  <c r="D16" i="10" s="1"/>
  <c r="G15" i="10"/>
  <c r="B15" i="10"/>
  <c r="D15" i="10" s="1"/>
  <c r="G14" i="10"/>
  <c r="B14" i="10"/>
  <c r="G13" i="10"/>
  <c r="B13" i="10"/>
  <c r="D13" i="10" s="1"/>
  <c r="G12" i="10"/>
  <c r="B12" i="10"/>
  <c r="D12" i="10" s="1"/>
  <c r="G11" i="10"/>
  <c r="B11" i="10"/>
  <c r="D11" i="10" s="1"/>
  <c r="G10" i="10"/>
  <c r="B10" i="10"/>
  <c r="D10" i="10" s="1"/>
  <c r="G9" i="10"/>
  <c r="B9" i="10"/>
  <c r="D9" i="10" s="1"/>
  <c r="G8" i="10"/>
  <c r="B8" i="10"/>
  <c r="D8" i="10" s="1"/>
  <c r="G7" i="10"/>
  <c r="B7" i="10"/>
  <c r="D7" i="10" s="1"/>
  <c r="G6" i="10"/>
  <c r="B6" i="10"/>
  <c r="D6" i="10" s="1"/>
  <c r="G5" i="10"/>
  <c r="B5" i="10"/>
  <c r="D5" i="10" s="1"/>
  <c r="G4" i="10"/>
  <c r="F4" i="10"/>
  <c r="F17" i="10" s="1"/>
  <c r="B4" i="10"/>
  <c r="D4" i="10" s="1"/>
  <c r="B63" i="9"/>
  <c r="B62" i="9"/>
  <c r="C62" i="9" s="1"/>
  <c r="B59" i="9"/>
  <c r="C58" i="9"/>
  <c r="B58" i="9"/>
  <c r="C54" i="9"/>
  <c r="C53" i="9"/>
  <c r="H51" i="9"/>
  <c r="C51" i="9"/>
  <c r="H50" i="9"/>
  <c r="C50" i="9"/>
  <c r="H49" i="9"/>
  <c r="C49" i="9"/>
  <c r="H48" i="9"/>
  <c r="C48" i="9"/>
  <c r="H47" i="9"/>
  <c r="C47" i="9"/>
  <c r="P46" i="9"/>
  <c r="C46" i="9"/>
  <c r="C45" i="9"/>
  <c r="E45" i="9" s="1"/>
  <c r="H44" i="9"/>
  <c r="C44" i="9"/>
  <c r="E44" i="9" s="1"/>
  <c r="H43" i="9"/>
  <c r="C43" i="9"/>
  <c r="E43" i="9" s="1"/>
  <c r="H42" i="9"/>
  <c r="C42" i="9"/>
  <c r="E42" i="9" s="1"/>
  <c r="H41" i="9"/>
  <c r="C41" i="9"/>
  <c r="E41" i="9" s="1"/>
  <c r="H40" i="9"/>
  <c r="C40" i="9"/>
  <c r="E40" i="9" s="1"/>
  <c r="H39" i="9"/>
  <c r="C39" i="9"/>
  <c r="E39" i="9" s="1"/>
  <c r="H38" i="9"/>
  <c r="C38" i="9"/>
  <c r="E38" i="9" s="1"/>
  <c r="H37" i="9"/>
  <c r="C37" i="9"/>
  <c r="E37" i="9" s="1"/>
  <c r="H36" i="9"/>
  <c r="C36" i="9"/>
  <c r="E36" i="9" s="1"/>
  <c r="H35" i="9"/>
  <c r="C35" i="9"/>
  <c r="E35" i="9" s="1"/>
  <c r="H34" i="9"/>
  <c r="C34" i="9"/>
  <c r="E34" i="9" s="1"/>
  <c r="P33" i="9"/>
  <c r="H33" i="9"/>
  <c r="C33" i="9"/>
  <c r="E33" i="9" s="1"/>
  <c r="H32" i="9"/>
  <c r="C32" i="9"/>
  <c r="E32" i="9" s="1"/>
  <c r="H31" i="9"/>
  <c r="C31" i="9"/>
  <c r="E31" i="9" s="1"/>
  <c r="H30" i="9"/>
  <c r="C30" i="9"/>
  <c r="E30" i="9" s="1"/>
  <c r="H29" i="9"/>
  <c r="C29" i="9"/>
  <c r="E29" i="9" s="1"/>
  <c r="H28" i="9"/>
  <c r="C28" i="9"/>
  <c r="E28" i="9" s="1"/>
  <c r="C27" i="9"/>
  <c r="E27" i="9" s="1"/>
  <c r="H26" i="9"/>
  <c r="C26" i="9"/>
  <c r="E26" i="9" s="1"/>
  <c r="P25" i="9"/>
  <c r="H25" i="9"/>
  <c r="C25" i="9"/>
  <c r="H24" i="9"/>
  <c r="C24" i="9"/>
  <c r="E24" i="9" s="1"/>
  <c r="H23" i="9"/>
  <c r="C23" i="9"/>
  <c r="E23" i="9" s="1"/>
  <c r="H22" i="9"/>
  <c r="C22" i="9"/>
  <c r="E22" i="9" s="1"/>
  <c r="H21" i="9"/>
  <c r="C21" i="9"/>
  <c r="E21" i="9" s="1"/>
  <c r="H20" i="9"/>
  <c r="C20" i="9"/>
  <c r="E20" i="9" s="1"/>
  <c r="P19" i="9"/>
  <c r="H19" i="9"/>
  <c r="C19" i="9"/>
  <c r="E19" i="9" s="1"/>
  <c r="G18" i="9"/>
  <c r="C18" i="9"/>
  <c r="H17" i="9"/>
  <c r="C17" i="9"/>
  <c r="E17" i="9" s="1"/>
  <c r="H16" i="9"/>
  <c r="C16" i="9"/>
  <c r="E16" i="9" s="1"/>
  <c r="H15" i="9"/>
  <c r="C15" i="9"/>
  <c r="E15" i="9" s="1"/>
  <c r="H14" i="9"/>
  <c r="C14" i="9"/>
  <c r="E14" i="9" s="1"/>
  <c r="H13" i="9"/>
  <c r="C13" i="9"/>
  <c r="E13" i="9" s="1"/>
  <c r="H12" i="9"/>
  <c r="C12" i="9"/>
  <c r="E12" i="9" s="1"/>
  <c r="H11" i="9"/>
  <c r="C11" i="9"/>
  <c r="E11" i="9" s="1"/>
  <c r="H10" i="9"/>
  <c r="C10" i="9"/>
  <c r="E10" i="9" s="1"/>
  <c r="H9" i="9"/>
  <c r="C9" i="9"/>
  <c r="E9" i="9" s="1"/>
  <c r="H8" i="9"/>
  <c r="C8" i="9"/>
  <c r="E8" i="9" s="1"/>
  <c r="H7" i="9"/>
  <c r="C7" i="9"/>
  <c r="E7" i="9" s="1"/>
  <c r="H6" i="9"/>
  <c r="C6" i="9"/>
  <c r="E6" i="9" s="1"/>
  <c r="H5" i="9"/>
  <c r="C5" i="9"/>
  <c r="H4" i="9"/>
  <c r="C4" i="9"/>
  <c r="E4" i="9" s="1"/>
  <c r="P3" i="9"/>
  <c r="H3" i="9"/>
  <c r="C3" i="9"/>
  <c r="E3" i="9" s="1"/>
  <c r="MI9" i="7"/>
  <c r="MG9" i="7"/>
  <c r="ME9" i="7"/>
  <c r="MC9" i="7"/>
  <c r="MA9" i="7"/>
  <c r="MD9" i="7" s="1"/>
  <c r="MC12" i="7" s="1" a="1"/>
  <c r="MC12" i="7" s="1"/>
  <c r="LY9" i="7"/>
  <c r="LZ9" i="7" s="1"/>
  <c r="LY12" i="7" s="1" a="1"/>
  <c r="LY12" i="7" s="1"/>
  <c r="LW9" i="7"/>
  <c r="LX9" i="7" s="1"/>
  <c r="LW12" i="7" s="1" a="1"/>
  <c r="LW12" i="7" s="1"/>
  <c r="LU9" i="7"/>
  <c r="LV9" i="7" s="1"/>
  <c r="LU12" i="7" s="1" a="1"/>
  <c r="LU12" i="7" s="1"/>
  <c r="LS9" i="7"/>
  <c r="LT9" i="7" s="1"/>
  <c r="LS12" i="7" s="1" a="1"/>
  <c r="LS12" i="7" s="1"/>
  <c r="LQ9" i="7"/>
  <c r="LR9" i="7" s="1"/>
  <c r="LQ12" i="7" s="1" a="1"/>
  <c r="LQ12" i="7" s="1"/>
  <c r="LO9" i="7"/>
  <c r="LP9" i="7" s="1"/>
  <c r="LO12" i="7" s="1" a="1"/>
  <c r="LO12" i="7" s="1"/>
  <c r="LM9" i="7"/>
  <c r="LN9" i="7" s="1"/>
  <c r="LM12" i="7" s="1" a="1"/>
  <c r="LM12" i="7" s="1"/>
  <c r="LM14" i="7" s="1"/>
  <c r="LK9" i="7"/>
  <c r="LL9" i="7" s="1"/>
  <c r="LK12" i="7" s="1" a="1"/>
  <c r="LK12" i="7" s="1"/>
  <c r="LI9" i="7"/>
  <c r="LJ9" i="7" s="1"/>
  <c r="LI12" i="7" s="1" a="1"/>
  <c r="LI12" i="7" s="1"/>
  <c r="LG9" i="7"/>
  <c r="LH9" i="7" s="1"/>
  <c r="LG12" i="7" s="1" a="1"/>
  <c r="LG12" i="7" s="1"/>
  <c r="LG14" i="7" s="1"/>
  <c r="LE9" i="7"/>
  <c r="LF9" i="7" s="1"/>
  <c r="LE12" i="7" s="1" a="1"/>
  <c r="LE12" i="7" s="1"/>
  <c r="LC9" i="7"/>
  <c r="LD9" i="7" s="1"/>
  <c r="LC12" i="7" s="1" a="1"/>
  <c r="LC12" i="7" s="1"/>
  <c r="LC13" i="7" s="1"/>
  <c r="LA9" i="7"/>
  <c r="LB9" i="7" s="1"/>
  <c r="LA12" i="7" s="1" a="1"/>
  <c r="LA12" i="7" s="1"/>
  <c r="KY9" i="7"/>
  <c r="KZ9" i="7" s="1"/>
  <c r="KY12" i="7" s="1" a="1"/>
  <c r="KY12" i="7" s="1"/>
  <c r="KW9" i="7"/>
  <c r="KX9" i="7" s="1"/>
  <c r="KW12" i="7" s="1" a="1"/>
  <c r="KW12" i="7" s="1"/>
  <c r="KU9" i="7"/>
  <c r="KV9" i="7" s="1"/>
  <c r="KU12" i="7" s="1" a="1"/>
  <c r="KU12" i="7" s="1"/>
  <c r="KS9" i="7"/>
  <c r="KT9" i="7" s="1"/>
  <c r="KS12" i="7" s="1" a="1"/>
  <c r="KS12" i="7" s="1"/>
  <c r="KQ9" i="7"/>
  <c r="KR9" i="7" s="1"/>
  <c r="KQ12" i="7" s="1" a="1"/>
  <c r="KQ12" i="7" s="1"/>
  <c r="KO9" i="7"/>
  <c r="KP9" i="7" s="1"/>
  <c r="KO12" i="7" s="1" a="1"/>
  <c r="KO12" i="7" s="1"/>
  <c r="KO14" i="7" s="1"/>
  <c r="KM9" i="7"/>
  <c r="KN9" i="7" s="1"/>
  <c r="KM12" i="7" s="1" a="1"/>
  <c r="KM12" i="7" s="1"/>
  <c r="KK9" i="7"/>
  <c r="KL9" i="7" s="1"/>
  <c r="KK12" i="7" s="1" a="1"/>
  <c r="KK12" i="7" s="1"/>
  <c r="KI9" i="7"/>
  <c r="KJ9" i="7" s="1"/>
  <c r="KI12" i="7" s="1" a="1"/>
  <c r="KI12" i="7" s="1"/>
  <c r="KG9" i="7"/>
  <c r="KH9" i="7" s="1"/>
  <c r="KG12" i="7" s="1" a="1"/>
  <c r="KG12" i="7" s="1"/>
  <c r="KE9" i="7"/>
  <c r="KF9" i="7" s="1"/>
  <c r="KE12" i="7" s="1" a="1"/>
  <c r="KE12" i="7" s="1"/>
  <c r="KC9" i="7"/>
  <c r="KD9" i="7" s="1"/>
  <c r="KC12" i="7" s="1" a="1"/>
  <c r="KC12" i="7" s="1"/>
  <c r="KA9" i="7"/>
  <c r="KB9" i="7" s="1"/>
  <c r="KA12" i="7" s="1" a="1"/>
  <c r="KA12" i="7" s="1"/>
  <c r="JY9" i="7"/>
  <c r="JZ9" i="7" s="1"/>
  <c r="JY12" i="7" s="1" a="1"/>
  <c r="JY12" i="7" s="1"/>
  <c r="JW9" i="7"/>
  <c r="JX9" i="7" s="1"/>
  <c r="JW12" i="7" s="1" a="1"/>
  <c r="JW12" i="7" s="1"/>
  <c r="JU9" i="7"/>
  <c r="JV9" i="7" s="1"/>
  <c r="JU12" i="7" s="1" a="1"/>
  <c r="JU12" i="7" s="1"/>
  <c r="JS9" i="7"/>
  <c r="JT9" i="7" s="1"/>
  <c r="JS12" i="7" s="1" a="1"/>
  <c r="JS12" i="7" s="1"/>
  <c r="JQ9" i="7"/>
  <c r="JR9" i="7" s="1"/>
  <c r="JQ12" i="7" s="1" a="1"/>
  <c r="JQ12" i="7" s="1"/>
  <c r="JQ13" i="7" s="1"/>
  <c r="JO9" i="7"/>
  <c r="JP9" i="7" s="1"/>
  <c r="JO12" i="7" s="1" a="1"/>
  <c r="JO12" i="7" s="1"/>
  <c r="JM9" i="7"/>
  <c r="JN9" i="7" s="1"/>
  <c r="JM12" i="7" s="1" a="1"/>
  <c r="JM12" i="7" s="1"/>
  <c r="JK9" i="7"/>
  <c r="JL9" i="7" s="1"/>
  <c r="JK12" i="7" s="1" a="1"/>
  <c r="JK12" i="7" s="1"/>
  <c r="JI9" i="7"/>
  <c r="JJ9" i="7" s="1"/>
  <c r="JI12" i="7" s="1" a="1"/>
  <c r="JI12" i="7" s="1"/>
  <c r="JG9" i="7"/>
  <c r="JH9" i="7" s="1"/>
  <c r="JG12" i="7" s="1" a="1"/>
  <c r="JG12" i="7" s="1"/>
  <c r="JE9" i="7"/>
  <c r="JF9" i="7" s="1"/>
  <c r="JE12" i="7" s="1" a="1"/>
  <c r="JE12" i="7" s="1"/>
  <c r="JE14" i="7" s="1"/>
  <c r="JC9" i="7"/>
  <c r="JD9" i="7" s="1"/>
  <c r="JC12" i="7" s="1" a="1"/>
  <c r="JC12" i="7" s="1"/>
  <c r="JA9" i="7"/>
  <c r="JB9" i="7" s="1"/>
  <c r="JA12" i="7" s="1" a="1"/>
  <c r="JA12" i="7" s="1"/>
  <c r="IY9" i="7"/>
  <c r="IZ9" i="7" s="1"/>
  <c r="IY12" i="7" s="1" a="1"/>
  <c r="IY12" i="7" s="1"/>
  <c r="IY13" i="7" s="1"/>
  <c r="IW9" i="7"/>
  <c r="IX9" i="7" s="1"/>
  <c r="IW12" i="7" s="1" a="1"/>
  <c r="IW12" i="7" s="1"/>
  <c r="IU9" i="7"/>
  <c r="IV9" i="7" s="1"/>
  <c r="IU12" i="7" s="1" a="1"/>
  <c r="IU12" i="7" s="1"/>
  <c r="IS9" i="7"/>
  <c r="IT9" i="7" s="1"/>
  <c r="IS12" i="7" s="1" a="1"/>
  <c r="IS12" i="7" s="1"/>
  <c r="IQ9" i="7"/>
  <c r="IR9" i="7" s="1"/>
  <c r="IQ12" i="7" s="1" a="1"/>
  <c r="IQ12" i="7" s="1"/>
  <c r="IO9" i="7"/>
  <c r="IP9" i="7" s="1"/>
  <c r="IO12" i="7" s="1" a="1"/>
  <c r="IO12" i="7" s="1"/>
  <c r="IM9" i="7"/>
  <c r="IN9" i="7" s="1"/>
  <c r="IM12" i="7" s="1" a="1"/>
  <c r="IM12" i="7" s="1"/>
  <c r="IK9" i="7"/>
  <c r="IL9" i="7" s="1"/>
  <c r="IK12" i="7" s="1" a="1"/>
  <c r="IK12" i="7" s="1"/>
  <c r="IK14" i="7" s="1"/>
  <c r="II9" i="7"/>
  <c r="IJ9" i="7" s="1"/>
  <c r="II12" i="7" s="1" a="1"/>
  <c r="II12" i="7" s="1"/>
  <c r="IG9" i="7"/>
  <c r="IH9" i="7" s="1"/>
  <c r="IG12" i="7" s="1" a="1"/>
  <c r="IG12" i="7" s="1"/>
  <c r="IG13" i="7" s="1"/>
  <c r="IE9" i="7"/>
  <c r="IF9" i="7" s="1"/>
  <c r="IE12" i="7" s="1" a="1"/>
  <c r="IE12" i="7" s="1"/>
  <c r="IC9" i="7"/>
  <c r="ID9" i="7" s="1"/>
  <c r="IC12" i="7" s="1" a="1"/>
  <c r="IC12" i="7" s="1"/>
  <c r="IA9" i="7"/>
  <c r="IB9" i="7" s="1"/>
  <c r="IA12" i="7" s="1" a="1"/>
  <c r="IA12" i="7" s="1"/>
  <c r="HY9" i="7"/>
  <c r="HZ9" i="7" s="1"/>
  <c r="HY12" i="7" s="1" a="1"/>
  <c r="HY12" i="7" s="1"/>
  <c r="HW9" i="7"/>
  <c r="HX9" i="7" s="1"/>
  <c r="HW12" i="7" s="1" a="1"/>
  <c r="HW12" i="7" s="1"/>
  <c r="HU9" i="7"/>
  <c r="HV9" i="7" s="1"/>
  <c r="HU12" i="7" s="1" a="1"/>
  <c r="HU12" i="7" s="1"/>
  <c r="HS9" i="7"/>
  <c r="HT9" i="7" s="1"/>
  <c r="HS12" i="7" s="1" a="1"/>
  <c r="HS12" i="7" s="1"/>
  <c r="HQ9" i="7"/>
  <c r="HR9" i="7" s="1"/>
  <c r="HQ12" i="7" s="1" a="1"/>
  <c r="HQ12" i="7" s="1"/>
  <c r="HO9" i="7"/>
  <c r="HP9" i="7" s="1"/>
  <c r="HO12" i="7" s="1" a="1"/>
  <c r="HO12" i="7" s="1"/>
  <c r="HO13" i="7" s="1"/>
  <c r="HM9" i="7"/>
  <c r="HN9" i="7" s="1"/>
  <c r="HM12" i="7" s="1" a="1"/>
  <c r="HM12" i="7" s="1"/>
  <c r="HK9" i="7"/>
  <c r="HL9" i="7" s="1"/>
  <c r="HK12" i="7" s="1" a="1"/>
  <c r="HK12" i="7" s="1"/>
  <c r="HI9" i="7"/>
  <c r="HJ9" i="7" s="1"/>
  <c r="HI12" i="7" s="1" a="1"/>
  <c r="HI12" i="7" s="1"/>
  <c r="HG9" i="7"/>
  <c r="HH9" i="7" s="1"/>
  <c r="HG12" i="7" s="1" a="1"/>
  <c r="HG12" i="7" s="1"/>
  <c r="HE9" i="7"/>
  <c r="HF9" i="7" s="1"/>
  <c r="HE12" i="7" s="1" a="1"/>
  <c r="HE12" i="7" s="1"/>
  <c r="HE14" i="7" s="1"/>
  <c r="HC9" i="7"/>
  <c r="HD9" i="7" s="1"/>
  <c r="HC12" i="7" s="1" a="1"/>
  <c r="HC12" i="7" s="1"/>
  <c r="HA9" i="7"/>
  <c r="HB9" i="7" s="1"/>
  <c r="HA12" i="7" s="1" a="1"/>
  <c r="HA12" i="7" s="1"/>
  <c r="GY9" i="7"/>
  <c r="GZ9" i="7" s="1"/>
  <c r="GY12" i="7" s="1" a="1"/>
  <c r="GY12" i="7" s="1"/>
  <c r="GW9" i="7"/>
  <c r="GX9" i="7" s="1"/>
  <c r="GW12" i="7" s="1" a="1"/>
  <c r="GW12" i="7" s="1"/>
  <c r="GU9" i="7"/>
  <c r="GV9" i="7" s="1"/>
  <c r="GU12" i="7" s="1" a="1"/>
  <c r="GU12" i="7" s="1"/>
  <c r="GS9" i="7"/>
  <c r="GT9" i="7" s="1"/>
  <c r="GS12" i="7" s="1" a="1"/>
  <c r="GS12" i="7" s="1"/>
  <c r="GQ9" i="7"/>
  <c r="GR9" i="7" s="1"/>
  <c r="GQ12" i="7" s="1" a="1"/>
  <c r="GQ12" i="7" s="1"/>
  <c r="GO9" i="7"/>
  <c r="GP9" i="7" s="1"/>
  <c r="GO12" i="7" s="1" a="1"/>
  <c r="GO12" i="7" s="1"/>
  <c r="GO14" i="7" s="1"/>
  <c r="GM9" i="7"/>
  <c r="GN9" i="7" s="1"/>
  <c r="GM12" i="7" s="1" a="1"/>
  <c r="GM12" i="7" s="1"/>
  <c r="GK9" i="7"/>
  <c r="GL9" i="7" s="1"/>
  <c r="GK12" i="7" s="1" a="1"/>
  <c r="GK12" i="7" s="1"/>
  <c r="GI9" i="7"/>
  <c r="GJ9" i="7" s="1"/>
  <c r="GI12" i="7" s="1" a="1"/>
  <c r="GI12" i="7" s="1"/>
  <c r="GI14" i="7" s="1"/>
  <c r="GG9" i="7"/>
  <c r="GH9" i="7" s="1"/>
  <c r="GG12" i="7" s="1" a="1"/>
  <c r="GG12" i="7" s="1"/>
  <c r="GE9" i="7"/>
  <c r="GF9" i="7" s="1"/>
  <c r="GE12" i="7" s="1" a="1"/>
  <c r="GE12" i="7" s="1"/>
  <c r="GE13" i="7" s="1"/>
  <c r="GC9" i="7"/>
  <c r="GD9" i="7" s="1"/>
  <c r="GC12" i="7" s="1" a="1"/>
  <c r="GC12" i="7" s="1"/>
  <c r="GA9" i="7"/>
  <c r="GB9" i="7" s="1"/>
  <c r="GA12" i="7" s="1" a="1"/>
  <c r="GA12" i="7" s="1"/>
  <c r="FY9" i="7"/>
  <c r="FZ9" i="7" s="1"/>
  <c r="FY12" i="7" s="1" a="1"/>
  <c r="FY12" i="7" s="1"/>
  <c r="FW9" i="7"/>
  <c r="FX9" i="7" s="1"/>
  <c r="FW12" i="7" s="1" a="1"/>
  <c r="FW12" i="7" s="1"/>
  <c r="FU9" i="7"/>
  <c r="FV9" i="7" s="1"/>
  <c r="FU12" i="7" s="1" a="1"/>
  <c r="FU12" i="7" s="1"/>
  <c r="FS9" i="7"/>
  <c r="FT9" i="7" s="1"/>
  <c r="FS12" i="7" s="1" a="1"/>
  <c r="FS12" i="7" s="1"/>
  <c r="FQ9" i="7"/>
  <c r="FR9" i="7" s="1"/>
  <c r="FQ12" i="7" s="1" a="1"/>
  <c r="FQ12" i="7" s="1"/>
  <c r="FQ14" i="7" s="1"/>
  <c r="FO9" i="7"/>
  <c r="FP9" i="7" s="1"/>
  <c r="FO12" i="7" s="1" a="1"/>
  <c r="FO12" i="7" s="1"/>
  <c r="FM9" i="7"/>
  <c r="FN9" i="7" s="1"/>
  <c r="FM12" i="7" s="1" a="1"/>
  <c r="FM12" i="7" s="1"/>
  <c r="FK9" i="7"/>
  <c r="FL9" i="7" s="1"/>
  <c r="FK12" i="7" s="1" a="1"/>
  <c r="FK12" i="7" s="1"/>
  <c r="FI9" i="7"/>
  <c r="FJ9" i="7" s="1"/>
  <c r="FI12" i="7" s="1" a="1"/>
  <c r="FI12" i="7" s="1"/>
  <c r="FG9" i="7"/>
  <c r="FH9" i="7" s="1"/>
  <c r="FG12" i="7" s="1" a="1"/>
  <c r="FG12" i="7" s="1"/>
  <c r="FE9" i="7"/>
  <c r="FF9" i="7" s="1"/>
  <c r="FE12" i="7" s="1" a="1"/>
  <c r="FE12" i="7" s="1"/>
  <c r="FC9" i="7"/>
  <c r="FD9" i="7" s="1"/>
  <c r="FC12" i="7" s="1" a="1"/>
  <c r="FC12" i="7" s="1"/>
  <c r="FA9" i="7"/>
  <c r="FB9" i="7" s="1"/>
  <c r="FA12" i="7" s="1" a="1"/>
  <c r="FA12" i="7" s="1"/>
  <c r="EY9" i="7"/>
  <c r="EZ9" i="7" s="1"/>
  <c r="EY12" i="7" s="1" a="1"/>
  <c r="EY12" i="7" s="1"/>
  <c r="EY14" i="7" s="1"/>
  <c r="EW9" i="7"/>
  <c r="EX9" i="7" s="1"/>
  <c r="EW12" i="7" s="1" a="1"/>
  <c r="EW12" i="7" s="1"/>
  <c r="EU9" i="7"/>
  <c r="EV9" i="7" s="1"/>
  <c r="EU12" i="7" s="1" a="1"/>
  <c r="EU12" i="7" s="1"/>
  <c r="ES9" i="7"/>
  <c r="ET9" i="7" s="1"/>
  <c r="ES12" i="7" s="1" a="1"/>
  <c r="ES12" i="7" s="1"/>
  <c r="EQ9" i="7"/>
  <c r="ER9" i="7" s="1"/>
  <c r="EQ12" i="7" s="1" a="1"/>
  <c r="EQ12" i="7" s="1"/>
  <c r="EO9" i="7"/>
  <c r="EP9" i="7" s="1"/>
  <c r="EO12" i="7" s="1" a="1"/>
  <c r="EO12" i="7" s="1"/>
  <c r="EM9" i="7"/>
  <c r="EN9" i="7" s="1"/>
  <c r="EM12" i="7" s="1" a="1"/>
  <c r="EM12" i="7" s="1"/>
  <c r="EK9" i="7"/>
  <c r="EL9" i="7" s="1"/>
  <c r="EK12" i="7" s="1" a="1"/>
  <c r="EK12" i="7" s="1"/>
  <c r="EI9" i="7"/>
  <c r="EJ9" i="7" s="1"/>
  <c r="EI12" i="7" s="1" a="1"/>
  <c r="EI12" i="7" s="1"/>
  <c r="EG9" i="7"/>
  <c r="EH9" i="7" s="1"/>
  <c r="EG12" i="7" s="1" a="1"/>
  <c r="EG12" i="7" s="1"/>
  <c r="EG14" i="7" s="1"/>
  <c r="EE9" i="7"/>
  <c r="EF9" i="7" s="1"/>
  <c r="EE12" i="7" s="1" a="1"/>
  <c r="EE12" i="7" s="1"/>
  <c r="EC9" i="7"/>
  <c r="ED9" i="7" s="1"/>
  <c r="EC12" i="7" s="1" a="1"/>
  <c r="EC12" i="7" s="1"/>
  <c r="EA9" i="7"/>
  <c r="EB9" i="7" s="1"/>
  <c r="EA12" i="7" s="1" a="1"/>
  <c r="EA12" i="7" s="1"/>
  <c r="EA13" i="7" s="1"/>
  <c r="DY9" i="7"/>
  <c r="DZ9" i="7" s="1"/>
  <c r="DY12" i="7" s="1" a="1"/>
  <c r="DY12" i="7" s="1"/>
  <c r="DW9" i="7"/>
  <c r="DX9" i="7" s="1"/>
  <c r="DW12" i="7" s="1" a="1"/>
  <c r="DW12" i="7" s="1"/>
  <c r="DU9" i="7"/>
  <c r="DV9" i="7" s="1"/>
  <c r="DU12" i="7" s="1" a="1"/>
  <c r="DU12" i="7" s="1"/>
  <c r="DS9" i="7"/>
  <c r="DT9" i="7" s="1"/>
  <c r="DS12" i="7" s="1" a="1"/>
  <c r="DS12" i="7" s="1"/>
  <c r="DQ9" i="7"/>
  <c r="DR9" i="7" s="1"/>
  <c r="DQ12" i="7" s="1" a="1"/>
  <c r="DQ12" i="7" s="1"/>
  <c r="DO9" i="7"/>
  <c r="DP9" i="7" s="1"/>
  <c r="DO12" i="7" s="1" a="1"/>
  <c r="DO12" i="7" s="1"/>
  <c r="DM9" i="7"/>
  <c r="DN9" i="7" s="1"/>
  <c r="DM12" i="7" s="1" a="1"/>
  <c r="DM12" i="7" s="1"/>
  <c r="DK9" i="7"/>
  <c r="DL9" i="7" s="1"/>
  <c r="DK12" i="7" s="1" a="1"/>
  <c r="DK12" i="7" s="1"/>
  <c r="DI9" i="7"/>
  <c r="DJ9" i="7" s="1"/>
  <c r="DI12" i="7" s="1" a="1"/>
  <c r="DI12" i="7" s="1"/>
  <c r="DI13" i="7" s="1"/>
  <c r="DG9" i="7"/>
  <c r="DH9" i="7" s="1"/>
  <c r="DG12" i="7" s="1" a="1"/>
  <c r="DG12" i="7" s="1"/>
  <c r="DE9" i="7"/>
  <c r="DF9" i="7" s="1"/>
  <c r="DE12" i="7" s="1" a="1"/>
  <c r="DE12" i="7" s="1"/>
  <c r="DC9" i="7"/>
  <c r="DD9" i="7" s="1"/>
  <c r="DC12" i="7" s="1" a="1"/>
  <c r="DC12" i="7" s="1"/>
  <c r="DA9" i="7"/>
  <c r="DB9" i="7" s="1"/>
  <c r="DA12" i="7" s="1" a="1"/>
  <c r="DA12" i="7" s="1"/>
  <c r="CY9" i="7"/>
  <c r="CZ9" i="7" s="1"/>
  <c r="CY12" i="7" s="1" a="1"/>
  <c r="CY12" i="7" s="1"/>
  <c r="CW9" i="7"/>
  <c r="CX9" i="7" s="1"/>
  <c r="CW12" i="7" s="1" a="1"/>
  <c r="CW12" i="7" s="1"/>
  <c r="CU9" i="7"/>
  <c r="CV9" i="7" s="1"/>
  <c r="CU12" i="7" s="1" a="1"/>
  <c r="CU12" i="7" s="1"/>
  <c r="CU14" i="7" s="1"/>
  <c r="CS9" i="7"/>
  <c r="CT9" i="7" s="1"/>
  <c r="CS12" i="7" s="1" a="1"/>
  <c r="CS12" i="7" s="1"/>
  <c r="CQ9" i="7"/>
  <c r="CR9" i="7" s="1"/>
  <c r="CQ12" i="7" s="1" a="1"/>
  <c r="CQ12" i="7" s="1"/>
  <c r="CQ13" i="7" s="1"/>
  <c r="CO9" i="7"/>
  <c r="CP9" i="7" s="1"/>
  <c r="CO12" i="7" s="1" a="1"/>
  <c r="CO12" i="7" s="1"/>
  <c r="CM9" i="7"/>
  <c r="CN9" i="7" s="1"/>
  <c r="CM12" i="7" s="1" a="1"/>
  <c r="CM12" i="7" s="1"/>
  <c r="CK9" i="7"/>
  <c r="CL9" i="7" s="1"/>
  <c r="CK12" i="7" s="1" a="1"/>
  <c r="CK12" i="7" s="1"/>
  <c r="CI9" i="7"/>
  <c r="CJ9" i="7" s="1"/>
  <c r="CI12" i="7" s="1" a="1"/>
  <c r="CI12" i="7" s="1"/>
  <c r="CG9" i="7"/>
  <c r="CH9" i="7" s="1"/>
  <c r="CG12" i="7" s="1" a="1"/>
  <c r="CG12" i="7" s="1"/>
  <c r="CG14" i="7" s="1"/>
  <c r="CE9" i="7"/>
  <c r="CF9" i="7" s="1"/>
  <c r="CE12" i="7" s="1" a="1"/>
  <c r="CE12" i="7" s="1"/>
  <c r="CC9" i="7"/>
  <c r="CD9" i="7" s="1"/>
  <c r="CC12" i="7" s="1" a="1"/>
  <c r="CC12" i="7" s="1"/>
  <c r="CA9" i="7"/>
  <c r="CB9" i="7" s="1"/>
  <c r="CA12" i="7" s="1" a="1"/>
  <c r="CA12" i="7" s="1"/>
  <c r="BY9" i="7"/>
  <c r="BZ9" i="7" s="1"/>
  <c r="BY12" i="7" s="1" a="1"/>
  <c r="BY12" i="7" s="1"/>
  <c r="BW9" i="7"/>
  <c r="BX9" i="7" s="1"/>
  <c r="BW12" i="7" s="1" a="1"/>
  <c r="BW12" i="7" s="1"/>
  <c r="BU9" i="7"/>
  <c r="BV9" i="7" s="1"/>
  <c r="BU12" i="7" s="1" a="1"/>
  <c r="BU12" i="7" s="1"/>
  <c r="BS9" i="7"/>
  <c r="BT9" i="7" s="1"/>
  <c r="BS12" i="7" s="1" a="1"/>
  <c r="BS12" i="7" s="1"/>
  <c r="BQ9" i="7"/>
  <c r="BR9" i="7" s="1"/>
  <c r="BQ12" i="7" s="1" a="1"/>
  <c r="BQ12" i="7" s="1"/>
  <c r="BQ14" i="7" s="1"/>
  <c r="BO9" i="7"/>
  <c r="BP9" i="7" s="1"/>
  <c r="BO12" i="7" s="1" a="1"/>
  <c r="BO12" i="7" s="1"/>
  <c r="BM9" i="7"/>
  <c r="BK9" i="7"/>
  <c r="BN9" i="7" s="1"/>
  <c r="BM12" i="7" s="1" a="1"/>
  <c r="BM12" i="7" s="1"/>
  <c r="BI9" i="7"/>
  <c r="BJ9" i="7" s="1"/>
  <c r="BI12" i="7" s="1" a="1"/>
  <c r="BI12" i="7" s="1"/>
  <c r="BG9" i="7"/>
  <c r="BH9" i="7" s="1"/>
  <c r="BG12" i="7" s="1" a="1"/>
  <c r="BG12" i="7" s="1"/>
  <c r="BG13" i="7" s="1"/>
  <c r="BE9" i="7"/>
  <c r="BF9" i="7" s="1"/>
  <c r="BE12" i="7" s="1" a="1"/>
  <c r="BE12" i="7" s="1"/>
  <c r="BC9" i="7"/>
  <c r="BD9" i="7" s="1"/>
  <c r="BC12" i="7" s="1" a="1"/>
  <c r="BC12" i="7" s="1"/>
  <c r="BA9" i="7"/>
  <c r="BB9" i="7" s="1"/>
  <c r="BA12" i="7" s="1" a="1"/>
  <c r="BA12" i="7" s="1"/>
  <c r="AY9" i="7"/>
  <c r="AZ9" i="7" s="1"/>
  <c r="AY12" i="7" s="1" a="1"/>
  <c r="AY12" i="7" s="1"/>
  <c r="AW9" i="7"/>
  <c r="AX9" i="7" s="1"/>
  <c r="AW12" i="7" s="1" a="1"/>
  <c r="AW12" i="7" s="1"/>
  <c r="AU9" i="7"/>
  <c r="AV9" i="7" s="1"/>
  <c r="AU12" i="7" s="1" a="1"/>
  <c r="AU12" i="7" s="1"/>
  <c r="AS9" i="7"/>
  <c r="AT9" i="7" s="1"/>
  <c r="AS12" i="7" s="1" a="1"/>
  <c r="AS12" i="7" s="1"/>
  <c r="AS14" i="7" s="1"/>
  <c r="AQ9" i="7"/>
  <c r="AR9" i="7" s="1"/>
  <c r="AQ12" i="7" s="1" a="1"/>
  <c r="AQ12" i="7" s="1"/>
  <c r="AO9" i="7"/>
  <c r="AP9" i="7" s="1"/>
  <c r="AO12" i="7" s="1" a="1"/>
  <c r="AO12" i="7" s="1"/>
  <c r="AM9" i="7"/>
  <c r="AN9" i="7" s="1"/>
  <c r="AM12" i="7" s="1" a="1"/>
  <c r="AM12" i="7" s="1"/>
  <c r="AK9" i="7"/>
  <c r="AL9" i="7" s="1"/>
  <c r="AK12" i="7" s="1" a="1"/>
  <c r="AK12" i="7" s="1"/>
  <c r="AI9" i="7"/>
  <c r="AJ9" i="7" s="1"/>
  <c r="AI12" i="7" s="1" a="1"/>
  <c r="AI12" i="7" s="1"/>
  <c r="AG9" i="7"/>
  <c r="AH9" i="7" s="1"/>
  <c r="AG12" i="7" s="1" a="1"/>
  <c r="AG12" i="7" s="1"/>
  <c r="AE9" i="7"/>
  <c r="AF9" i="7" s="1"/>
  <c r="AE12" i="7" s="1" a="1"/>
  <c r="AE12" i="7" s="1"/>
  <c r="AC9" i="7"/>
  <c r="AA9" i="7"/>
  <c r="AD9" i="7" s="1"/>
  <c r="AC12" i="7" s="1" a="1"/>
  <c r="AC12" i="7" s="1"/>
  <c r="Y9" i="7"/>
  <c r="Z9" i="7" s="1"/>
  <c r="Y12" i="7" s="1" a="1"/>
  <c r="Y12" i="7" s="1"/>
  <c r="W9" i="7"/>
  <c r="X9" i="7" s="1"/>
  <c r="W12" i="7" s="1" a="1"/>
  <c r="W12" i="7" s="1"/>
  <c r="U9" i="7"/>
  <c r="V9" i="7" s="1"/>
  <c r="U12" i="7" s="1" a="1"/>
  <c r="U12" i="7" s="1"/>
  <c r="U13" i="7" s="1"/>
  <c r="S9" i="7"/>
  <c r="T9" i="7" s="1"/>
  <c r="S12" i="7" s="1" a="1"/>
  <c r="S12" i="7" s="1"/>
  <c r="Q9" i="7"/>
  <c r="R9" i="7" s="1"/>
  <c r="Q12" i="7" s="1" a="1"/>
  <c r="Q12" i="7" s="1"/>
  <c r="O9" i="7"/>
  <c r="P9" i="7" s="1"/>
  <c r="O12" i="7" s="1" a="1"/>
  <c r="O12" i="7" s="1"/>
  <c r="M9" i="7"/>
  <c r="N9" i="7" s="1"/>
  <c r="M12" i="7" s="1" a="1"/>
  <c r="M12" i="7" s="1"/>
  <c r="K9" i="7"/>
  <c r="L9" i="7" s="1"/>
  <c r="K12" i="7" s="1" a="1"/>
  <c r="K12" i="7" s="1"/>
  <c r="I9" i="7"/>
  <c r="J9" i="7" s="1"/>
  <c r="I12" i="7" s="1" a="1"/>
  <c r="I12" i="7" s="1"/>
  <c r="I14" i="7" s="1"/>
  <c r="G9" i="7"/>
  <c r="H9" i="7" s="1"/>
  <c r="G12" i="7" s="1" a="1"/>
  <c r="G12" i="7" s="1"/>
  <c r="E36" i="6"/>
  <c r="D36" i="6"/>
  <c r="D9" i="7" s="1"/>
  <c r="C36" i="6"/>
  <c r="C9" i="7" s="1"/>
  <c r="B36" i="6"/>
  <c r="B9" i="7" s="1"/>
  <c r="E35" i="6"/>
  <c r="D35" i="6"/>
  <c r="C35" i="6"/>
  <c r="B35" i="6"/>
  <c r="E34" i="6"/>
  <c r="D34" i="6"/>
  <c r="C34" i="6"/>
  <c r="B34" i="6"/>
  <c r="E33" i="6"/>
  <c r="D33" i="6"/>
  <c r="C33" i="6"/>
  <c r="B33" i="6"/>
  <c r="E32" i="6"/>
  <c r="D32" i="6"/>
  <c r="C32" i="6"/>
  <c r="B32" i="6"/>
  <c r="E31" i="6"/>
  <c r="D31" i="6"/>
  <c r="C31" i="6"/>
  <c r="B31" i="6"/>
  <c r="E30" i="6"/>
  <c r="D30" i="6"/>
  <c r="C30" i="6"/>
  <c r="B30" i="6"/>
  <c r="E29" i="6"/>
  <c r="D29" i="6"/>
  <c r="C29" i="6"/>
  <c r="B29" i="6"/>
  <c r="E28" i="6"/>
  <c r="D28" i="6"/>
  <c r="C28" i="6"/>
  <c r="B28" i="6"/>
  <c r="D19" i="4"/>
  <c r="D18" i="4"/>
  <c r="D17" i="4"/>
  <c r="D16" i="4"/>
  <c r="D15" i="4"/>
  <c r="D14" i="4"/>
  <c r="D13" i="4"/>
  <c r="D12" i="4"/>
  <c r="D11" i="4"/>
  <c r="D10" i="4"/>
  <c r="C9" i="4"/>
  <c r="C8" i="4"/>
  <c r="C7" i="4"/>
  <c r="C6" i="4"/>
  <c r="C5" i="4"/>
  <c r="C4" i="4"/>
  <c r="C3" i="4"/>
  <c r="C2" i="4"/>
  <c r="F926" i="1"/>
  <c r="F662" i="1"/>
  <c r="F661" i="1"/>
  <c r="F348" i="1"/>
  <c r="HO14" i="7" l="1"/>
  <c r="GI13" i="7"/>
  <c r="LG13" i="7"/>
  <c r="DI14" i="7"/>
  <c r="DM14" i="7"/>
  <c r="DM13" i="7"/>
  <c r="JW14" i="7"/>
  <c r="JW13" i="7"/>
  <c r="CC14" i="7"/>
  <c r="CC13" i="7"/>
  <c r="HA14" i="7"/>
  <c r="HA13" i="7"/>
  <c r="LY14" i="7"/>
  <c r="LY13" i="7"/>
  <c r="EC13" i="7"/>
  <c r="EC14" i="7"/>
  <c r="HS14" i="7"/>
  <c r="HS13" i="7"/>
  <c r="JA13" i="7"/>
  <c r="JA14" i="7"/>
  <c r="BY13" i="7"/>
  <c r="BY14" i="7"/>
  <c r="GW13" i="7"/>
  <c r="GW14" i="7"/>
  <c r="LU13" i="7"/>
  <c r="LU14" i="7"/>
  <c r="ES13" i="7"/>
  <c r="ES14" i="7"/>
  <c r="MF9" i="7"/>
  <c r="ME12" i="7" s="1" a="1"/>
  <c r="ME12" i="7" s="1"/>
  <c r="MH9" i="7"/>
  <c r="MG12" i="7" s="1" a="1"/>
  <c r="MG12" i="7" s="1"/>
  <c r="AB9" i="7"/>
  <c r="AA12" i="7" s="1" a="1"/>
  <c r="AA12" i="7" s="1"/>
  <c r="AA14" i="7" s="1"/>
  <c r="MB9" i="7"/>
  <c r="MA12" i="7" s="1" a="1"/>
  <c r="MA12" i="7" s="1"/>
  <c r="MA14" i="7" s="1"/>
  <c r="MJ9" i="7"/>
  <c r="MI12" i="7" s="1" a="1"/>
  <c r="MI12" i="7" s="1"/>
  <c r="IG14" i="7"/>
  <c r="CQ14" i="7"/>
  <c r="JQ14" i="7"/>
  <c r="G13" i="7"/>
  <c r="G14" i="7"/>
  <c r="W13" i="7"/>
  <c r="W14" i="7"/>
  <c r="IE14" i="7"/>
  <c r="IE13" i="7"/>
  <c r="BS13" i="7"/>
  <c r="BS14" i="7"/>
  <c r="BM14" i="7"/>
  <c r="BM13" i="7"/>
  <c r="FS14" i="7"/>
  <c r="FS13" i="7"/>
  <c r="AU14" i="7"/>
  <c r="AU13" i="7"/>
  <c r="CY13" i="7"/>
  <c r="CY14" i="7"/>
  <c r="FK13" i="7"/>
  <c r="FK14" i="7"/>
  <c r="KI13" i="7"/>
  <c r="KI14" i="7"/>
  <c r="BC13" i="7"/>
  <c r="BC14" i="7"/>
  <c r="AM13" i="7"/>
  <c r="AM14" i="7"/>
  <c r="CA13" i="7"/>
  <c r="CA14" i="7"/>
  <c r="O14" i="7"/>
  <c r="O13" i="7"/>
  <c r="KQ14" i="7"/>
  <c r="KQ13" i="7"/>
  <c r="AE14" i="7"/>
  <c r="AE13" i="7"/>
  <c r="DO13" i="7"/>
  <c r="DO14" i="7"/>
  <c r="BO14" i="7"/>
  <c r="BO13" i="7"/>
  <c r="CW14" i="7"/>
  <c r="CW13" i="7"/>
  <c r="HU14" i="7"/>
  <c r="HU13" i="7"/>
  <c r="AW14" i="7"/>
  <c r="AW13" i="7"/>
  <c r="BW14" i="7"/>
  <c r="BW13" i="7"/>
  <c r="DQ14" i="7"/>
  <c r="DQ13" i="7"/>
  <c r="GK14" i="7"/>
  <c r="GK13" i="7"/>
  <c r="HW13" i="7"/>
  <c r="HW14" i="7"/>
  <c r="EG13" i="7"/>
  <c r="DE14" i="7"/>
  <c r="DE13" i="7"/>
  <c r="GA13" i="7"/>
  <c r="GA14" i="7"/>
  <c r="GS14" i="7"/>
  <c r="GS13" i="7"/>
  <c r="IC14" i="7"/>
  <c r="IC13" i="7"/>
  <c r="IM13" i="7"/>
  <c r="IM14" i="7"/>
  <c r="KY13" i="7"/>
  <c r="KY14" i="7"/>
  <c r="LQ14" i="7"/>
  <c r="LQ13" i="7"/>
  <c r="Y14" i="7"/>
  <c r="Y13" i="7"/>
  <c r="AQ13" i="7"/>
  <c r="AQ14" i="7"/>
  <c r="DG14" i="7"/>
  <c r="DG13" i="7"/>
  <c r="EQ14" i="7"/>
  <c r="EQ13" i="7"/>
  <c r="HM14" i="7"/>
  <c r="HM13" i="7"/>
  <c r="JG14" i="7"/>
  <c r="JG13" i="7"/>
  <c r="LA14" i="7"/>
  <c r="LA13" i="7"/>
  <c r="JE13" i="7"/>
  <c r="FI14" i="7"/>
  <c r="FI13" i="7"/>
  <c r="KG14" i="7"/>
  <c r="KG13" i="7"/>
  <c r="FC14" i="7"/>
  <c r="FC13" i="7"/>
  <c r="FU14" i="7"/>
  <c r="FU13" i="7"/>
  <c r="GM14" i="7"/>
  <c r="GM13" i="7"/>
  <c r="KA14" i="7"/>
  <c r="KA13" i="7"/>
  <c r="LK14" i="7"/>
  <c r="LK13" i="7"/>
  <c r="AY14" i="7"/>
  <c r="AY13" i="7"/>
  <c r="FA14" i="7"/>
  <c r="FA13" i="7"/>
  <c r="IO14" i="7"/>
  <c r="IO13" i="7"/>
  <c r="LI14" i="7"/>
  <c r="LI13" i="7"/>
  <c r="FQ13" i="7"/>
  <c r="EA14" i="7"/>
  <c r="AC14" i="7"/>
  <c r="AC13" i="7"/>
  <c r="AK14" i="7"/>
  <c r="AK13" i="7"/>
  <c r="BA14" i="7"/>
  <c r="BA13" i="7"/>
  <c r="BI13" i="7"/>
  <c r="BI14" i="7"/>
  <c r="HG13" i="7"/>
  <c r="HG14" i="7"/>
  <c r="JO14" i="7"/>
  <c r="JO13" i="7"/>
  <c r="I13" i="7"/>
  <c r="EY13" i="7"/>
  <c r="KO13" i="7"/>
  <c r="KS14" i="7"/>
  <c r="KS13" i="7"/>
  <c r="AG14" i="7"/>
  <c r="AG13" i="7"/>
  <c r="CE14" i="7"/>
  <c r="CE13" i="7"/>
  <c r="DS14" i="7"/>
  <c r="DS13" i="7"/>
  <c r="GU14" i="7"/>
  <c r="GU13" i="7"/>
  <c r="IY14" i="7"/>
  <c r="M14" i="7"/>
  <c r="M13" i="7"/>
  <c r="CI13" i="7"/>
  <c r="CI14" i="7"/>
  <c r="DA14" i="7"/>
  <c r="DA13" i="7"/>
  <c r="EK14" i="7"/>
  <c r="EK13" i="7"/>
  <c r="EU13" i="7"/>
  <c r="EU14" i="7"/>
  <c r="FM14" i="7"/>
  <c r="FM13" i="7"/>
  <c r="HY14" i="7"/>
  <c r="HY13" i="7"/>
  <c r="JI14" i="7"/>
  <c r="JI13" i="7"/>
  <c r="JS13" i="7"/>
  <c r="JS14" i="7"/>
  <c r="KK14" i="7"/>
  <c r="KK13" i="7"/>
  <c r="K14" i="7"/>
  <c r="K13" i="7"/>
  <c r="BE14" i="7"/>
  <c r="BE13" i="7"/>
  <c r="DY14" i="7"/>
  <c r="DY13" i="7"/>
  <c r="AS13" i="7"/>
  <c r="CS13" i="7"/>
  <c r="CS14" i="7"/>
  <c r="DK13" i="7"/>
  <c r="DK14" i="7"/>
  <c r="EM14" i="7"/>
  <c r="EM13" i="7"/>
  <c r="FE14" i="7"/>
  <c r="FE13" i="7"/>
  <c r="FW14" i="7"/>
  <c r="FW13" i="7"/>
  <c r="GY13" i="7"/>
  <c r="GY14" i="7"/>
  <c r="HQ13" i="7"/>
  <c r="HQ14" i="7"/>
  <c r="II13" i="7"/>
  <c r="II14" i="7"/>
  <c r="JK14" i="7"/>
  <c r="JK13" i="7"/>
  <c r="KC14" i="7"/>
  <c r="KC13" i="7"/>
  <c r="KU14" i="7"/>
  <c r="KU13" i="7"/>
  <c r="LW13" i="7"/>
  <c r="LW14" i="7"/>
  <c r="Q14" i="7"/>
  <c r="Q13" i="7"/>
  <c r="AI14" i="7"/>
  <c r="AI13" i="7"/>
  <c r="CM14" i="7"/>
  <c r="CM13" i="7"/>
  <c r="HC14" i="7"/>
  <c r="HC13" i="7"/>
  <c r="IQ14" i="7"/>
  <c r="IQ13" i="7"/>
  <c r="JY14" i="7"/>
  <c r="JY13" i="7"/>
  <c r="LS14" i="7"/>
  <c r="LS13" i="7"/>
  <c r="U14" i="7"/>
  <c r="BL9" i="7"/>
  <c r="BK12" i="7" s="1" a="1"/>
  <c r="BK12" i="7" s="1"/>
  <c r="CK14" i="7"/>
  <c r="CK13" i="7"/>
  <c r="DC14" i="7"/>
  <c r="DC13" i="7"/>
  <c r="DU14" i="7"/>
  <c r="DU13" i="7"/>
  <c r="EE13" i="7"/>
  <c r="EE14" i="7"/>
  <c r="EW14" i="7"/>
  <c r="EW13" i="7"/>
  <c r="FO13" i="7"/>
  <c r="FO14" i="7"/>
  <c r="GG13" i="7"/>
  <c r="GG14" i="7"/>
  <c r="GQ13" i="7"/>
  <c r="GQ14" i="7"/>
  <c r="HI14" i="7"/>
  <c r="HI13" i="7"/>
  <c r="IA14" i="7"/>
  <c r="IA13" i="7"/>
  <c r="IS14" i="7"/>
  <c r="IS13" i="7"/>
  <c r="JC13" i="7"/>
  <c r="JC14" i="7"/>
  <c r="JU14" i="7"/>
  <c r="JU13" i="7"/>
  <c r="KM13" i="7"/>
  <c r="KM14" i="7"/>
  <c r="LE13" i="7"/>
  <c r="LE14" i="7"/>
  <c r="LO13" i="7"/>
  <c r="LO14" i="7"/>
  <c r="AO14" i="7"/>
  <c r="AO13" i="7"/>
  <c r="CO14" i="7"/>
  <c r="CO13" i="7"/>
  <c r="EI14" i="7"/>
  <c r="EI13" i="7"/>
  <c r="GC14" i="7"/>
  <c r="GC13" i="7"/>
  <c r="IW14" i="7"/>
  <c r="IW13" i="7"/>
  <c r="BU14" i="7"/>
  <c r="BU13" i="7"/>
  <c r="DW14" i="7"/>
  <c r="DW13" i="7"/>
  <c r="EO14" i="7"/>
  <c r="EO13" i="7"/>
  <c r="FG14" i="7"/>
  <c r="FG13" i="7"/>
  <c r="FY14" i="7"/>
  <c r="FY13" i="7"/>
  <c r="IU14" i="7"/>
  <c r="IU13" i="7"/>
  <c r="JM14" i="7"/>
  <c r="JM13" i="7"/>
  <c r="KE14" i="7"/>
  <c r="KE13" i="7"/>
  <c r="KW14" i="7"/>
  <c r="KW13" i="7"/>
  <c r="S14" i="7"/>
  <c r="S13" i="7"/>
  <c r="HK14" i="7"/>
  <c r="HK13" i="7"/>
  <c r="CU13" i="7"/>
  <c r="IK13" i="7"/>
  <c r="BG14" i="7"/>
  <c r="GE14" i="7"/>
  <c r="LC14" i="7"/>
  <c r="CG13" i="7"/>
  <c r="HE13" i="7"/>
  <c r="BQ13" i="7"/>
  <c r="GO13" i="7"/>
  <c r="LM13" i="7"/>
  <c r="AA13" i="7" l="1"/>
  <c r="MA13" i="7"/>
  <c r="BK14" i="7"/>
  <c r="BK1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N2" authorId="0" shapeId="0" xr:uid="{00000000-0006-0000-0500-000016000000}">
      <text>
        <r>
          <rPr>
            <sz val="12"/>
            <color theme="1"/>
            <rFont val="Calibri"/>
            <family val="2"/>
            <scheme val="minor"/>
          </rPr>
          <t>======
ID#AAABft3HxIs
COSMED    (2025-03-12 10:37:30)
nom INCI va potentiellement changer</t>
        </r>
      </text>
    </comment>
    <comment ref="I4" authorId="0" shapeId="0" xr:uid="{00000000-0006-0000-0500-000013000000}">
      <text>
        <r>
          <rPr>
            <sz val="12"/>
            <color theme="1"/>
            <rFont val="Calibri"/>
            <family val="2"/>
            <scheme val="minor"/>
          </rPr>
          <t>======
ID#AAABft3HxI4
Cosmed    (2025-03-12 10:37:30)
Pour calculer le pourcentage  d'étiquettage, prendre en compte la somme de toutes les sources.</t>
        </r>
      </text>
    </comment>
    <comment ref="W4" authorId="0" shapeId="0" xr:uid="{00000000-0006-0000-0500-000006000000}">
      <text>
        <r>
          <rPr>
            <sz val="12"/>
            <color theme="1"/>
            <rFont val="Calibri"/>
            <family val="2"/>
            <scheme val="minor"/>
          </rPr>
          <t>======
ID#AAABft3HxJo
Cosmed    (2025-03-12 10:37:30)
Pour calculer le pourcentage  d'étiquettage, prendre en compte la somme de toutes les sources.</t>
        </r>
      </text>
    </comment>
    <comment ref="X4" authorId="0" shapeId="0" xr:uid="{00000000-0006-0000-0500-00000B000000}">
      <text>
        <r>
          <rPr>
            <sz val="12"/>
            <color theme="1"/>
            <rFont val="Calibri"/>
            <family val="2"/>
            <scheme val="minor"/>
          </rPr>
          <t>======
ID#AAABft3HxJY
Cosmed    (2025-03-12 10:37:30)
Pour calculer le pourcentage  d'étiquettage, prendre en compte la somme de toutes les sources.</t>
        </r>
      </text>
    </comment>
    <comment ref="Y4" authorId="0" shapeId="0" xr:uid="{00000000-0006-0000-0500-000012000000}">
      <text>
        <r>
          <rPr>
            <sz val="12"/>
            <color theme="1"/>
            <rFont val="Calibri"/>
            <family val="2"/>
            <scheme val="minor"/>
          </rPr>
          <t>======
ID#AAABft3HxI8
Cosmed    (2025-03-12 10:37:30)
Pour calculer le pourcentage  d'étiquettage, prendre en compte la somme de toutes les sources.</t>
        </r>
      </text>
    </comment>
    <comment ref="AF4" authorId="0" shapeId="0" xr:uid="{00000000-0006-0000-0500-000014000000}">
      <text>
        <r>
          <rPr>
            <sz val="12"/>
            <color theme="1"/>
            <rFont val="Calibri"/>
            <family val="2"/>
            <scheme val="minor"/>
          </rPr>
          <t>======
ID#AAABft3HxIw
Cosmed    (2025-03-12 10:37:30)
Pour calculer le pourcentage  d'étiquettage, prendre en compte la somme de toutes les sources.</t>
        </r>
      </text>
    </comment>
    <comment ref="AG4" authorId="0" shapeId="0" xr:uid="{00000000-0006-0000-0500-000017000000}">
      <text>
        <r>
          <rPr>
            <sz val="12"/>
            <color theme="1"/>
            <rFont val="Calibri"/>
            <family val="2"/>
            <scheme val="minor"/>
          </rPr>
          <t>======
ID#AAABft3HxIo
Cosmed    (2025-03-12 10:37:30)
Pour calculer le pourcentage  d'étiquettage, prendre en compte la somme de toutes les sources.</t>
        </r>
      </text>
    </comment>
    <comment ref="CD4" authorId="0" shapeId="0" xr:uid="{00000000-0006-0000-0500-00001D000000}">
      <text>
        <r>
          <rPr>
            <sz val="12"/>
            <color theme="1"/>
            <rFont val="Calibri"/>
            <family val="2"/>
            <scheme val="minor"/>
          </rPr>
          <t>======
ID#AAABft3HxIQ
Cosmed    (2025-03-12 10:37:30)
Pour calculer le pourcentage  d'étiquettage, prendre en compte la somme de toutes les sources.</t>
        </r>
      </text>
    </comment>
    <comment ref="CL4" authorId="0" shapeId="0" xr:uid="{00000000-0006-0000-0500-000011000000}">
      <text>
        <r>
          <rPr>
            <sz val="12"/>
            <color theme="1"/>
            <rFont val="Calibri"/>
            <family val="2"/>
            <scheme val="minor"/>
          </rPr>
          <t>======
ID#AAABft3HxJA
Cosmed    (2025-03-12 10:37:30)
Pour calculer le pourcentage  d'étiquettage, prendre en compte la somme de toutes les sources.</t>
        </r>
      </text>
    </comment>
    <comment ref="CO4" authorId="0" shapeId="0" xr:uid="{00000000-0006-0000-0500-00000D000000}">
      <text>
        <r>
          <rPr>
            <sz val="12"/>
            <color theme="1"/>
            <rFont val="Calibri"/>
            <family val="2"/>
            <scheme val="minor"/>
          </rPr>
          <t>======
ID#AAABft3HxJQ
Cosmed    (2025-03-12 10:37:30)
Pour calculer le pourcentage  d'étiquettage, prendre en compte la somme de toutes les sources.</t>
        </r>
      </text>
    </comment>
    <comment ref="CP4" authorId="0" shapeId="0" xr:uid="{00000000-0006-0000-0500-00001B000000}">
      <text>
        <r>
          <rPr>
            <sz val="12"/>
            <color theme="1"/>
            <rFont val="Calibri"/>
            <family val="2"/>
            <scheme val="minor"/>
          </rPr>
          <t>======
ID#AAABft3HxIc
Cosmed    (2025-03-12 10:37:30)
Pour calculer le pourcentage  d'étiquettage, prendre en compte la somme de toutes les sources.</t>
        </r>
      </text>
    </comment>
    <comment ref="CQ4" authorId="0" shapeId="0" xr:uid="{00000000-0006-0000-0500-000009000000}">
      <text>
        <r>
          <rPr>
            <sz val="12"/>
            <color theme="1"/>
            <rFont val="Calibri"/>
            <family val="2"/>
            <scheme val="minor"/>
          </rPr>
          <t>======
ID#AAABft3HxJg
Cosmed    (2025-03-12 10:37:30)
Pour calculer le pourcentage  d'étiquettage, prendre en compte la somme de toutes les sources.</t>
        </r>
      </text>
    </comment>
    <comment ref="CR4" authorId="0" shapeId="0" xr:uid="{00000000-0006-0000-0500-000008000000}">
      <text>
        <r>
          <rPr>
            <sz val="12"/>
            <color theme="1"/>
            <rFont val="Calibri"/>
            <family val="2"/>
            <scheme val="minor"/>
          </rPr>
          <t>======
ID#AAABft3HxJk
Cosmed    (2025-03-12 10:37:30)
Pour calculer le pourcentage  d'étiquettage, prendre en compte la somme de toutes les sources.</t>
        </r>
      </text>
    </comment>
    <comment ref="CS4" authorId="0" shapeId="0" xr:uid="{00000000-0006-0000-0500-000001000000}">
      <text>
        <r>
          <rPr>
            <sz val="12"/>
            <color theme="1"/>
            <rFont val="Calibri"/>
            <family val="2"/>
            <scheme val="minor"/>
          </rPr>
          <t>======
ID#AAABft3HxKA
Cosmed    (2025-03-12 10:37:30)
Pour calculer le pourcentage  d'étiquettage, prendre en compte la somme de toutes les sources.</t>
        </r>
      </text>
    </comment>
    <comment ref="DA4" authorId="0" shapeId="0" xr:uid="{00000000-0006-0000-0500-000002000000}">
      <text>
        <r>
          <rPr>
            <sz val="12"/>
            <color theme="1"/>
            <rFont val="Calibri"/>
            <family val="2"/>
            <scheme val="minor"/>
          </rPr>
          <t>======
ID#AAABft3HxJ8
Cosmed    (2025-03-12 10:37:30)
Pour calculer le pourcentage  d'étiquettage, prendre en compte la somme de toutes les sources.</t>
        </r>
      </text>
    </comment>
    <comment ref="DB4" authorId="0" shapeId="0" xr:uid="{00000000-0006-0000-0500-000007000000}">
      <text>
        <r>
          <rPr>
            <sz val="12"/>
            <color theme="1"/>
            <rFont val="Calibri"/>
            <family val="2"/>
            <scheme val="minor"/>
          </rPr>
          <t>======
ID#AAABft3HxJs
Cosmed    (2025-03-12 10:37:30)
Pour calculer le pourcentage  d'étiquettage, prendre en compte la somme de toutes les sources.</t>
        </r>
      </text>
    </comment>
    <comment ref="DC4" authorId="0" shapeId="0" xr:uid="{00000000-0006-0000-0500-000005000000}">
      <text>
        <r>
          <rPr>
            <sz val="12"/>
            <color theme="1"/>
            <rFont val="Calibri"/>
            <family val="2"/>
            <scheme val="minor"/>
          </rPr>
          <t>======
ID#AAABft3HxJw
Cosmed    (2025-03-12 10:37:30)
Pour calculer le pourcentage  d'étiquettage, prendre en compte la somme de toutes les sources.</t>
        </r>
      </text>
    </comment>
    <comment ref="DD4" authorId="0" shapeId="0" xr:uid="{00000000-0006-0000-0500-000004000000}">
      <text>
        <r>
          <rPr>
            <sz val="12"/>
            <color theme="1"/>
            <rFont val="Calibri"/>
            <family val="2"/>
            <scheme val="minor"/>
          </rPr>
          <t>======
ID#AAABft3HxJ0
Cosmed    (2025-03-12 10:37:30)
Pour calculer le pourcentage  d'étiquettage, prendre en compte la somme de toutes les sources.</t>
        </r>
      </text>
    </comment>
    <comment ref="DF4" authorId="0" shapeId="0" xr:uid="{00000000-0006-0000-0500-000019000000}">
      <text>
        <r>
          <rPr>
            <sz val="12"/>
            <color theme="1"/>
            <rFont val="Calibri"/>
            <family val="2"/>
            <scheme val="minor"/>
          </rPr>
          <t>======
ID#AAABft3HxIg
Cosmed    (2025-03-12 10:37:30)
Pour calculer le pourcentage  d'étiquettage, prendre en compte la somme de toutes les sources.</t>
        </r>
      </text>
    </comment>
    <comment ref="DG4" authorId="0" shapeId="0" xr:uid="{00000000-0006-0000-0500-000018000000}">
      <text>
        <r>
          <rPr>
            <sz val="12"/>
            <color theme="1"/>
            <rFont val="Calibri"/>
            <family val="2"/>
            <scheme val="minor"/>
          </rPr>
          <t>======
ID#AAABft3HxIk
Cosmed    (2025-03-12 10:37:30)
Pour calculer le pourcentage  d'étiquettage, prendre en compte la somme de toutes les sources.</t>
        </r>
      </text>
    </comment>
    <comment ref="DH4" authorId="0" shapeId="0" xr:uid="{00000000-0006-0000-0500-00001E000000}">
      <text>
        <r>
          <rPr>
            <sz val="12"/>
            <color theme="1"/>
            <rFont val="Calibri"/>
            <family val="2"/>
            <scheme val="minor"/>
          </rPr>
          <t>======
ID#AAABft3HxIM
Cosmed    (2025-03-12 10:37:30)
Pour calculer le pourcentage  d'étiquettage, prendre en compte la somme de toutes les sources.</t>
        </r>
      </text>
    </comment>
    <comment ref="DI4" authorId="0" shapeId="0" xr:uid="{00000000-0006-0000-0500-00000F000000}">
      <text>
        <r>
          <rPr>
            <sz val="12"/>
            <color theme="1"/>
            <rFont val="Calibri"/>
            <family val="2"/>
            <scheme val="minor"/>
          </rPr>
          <t>======
ID#AAABft3HxJI
Cosmed    (2025-03-12 10:37:30)
Pour calculer le pourcentage  d'étiquettage, prendre en compte la somme de toutes les sources.</t>
        </r>
      </text>
    </comment>
    <comment ref="DJ4" authorId="0" shapeId="0" xr:uid="{00000000-0006-0000-0500-000015000000}">
      <text>
        <r>
          <rPr>
            <sz val="12"/>
            <color theme="1"/>
            <rFont val="Calibri"/>
            <family val="2"/>
            <scheme val="minor"/>
          </rPr>
          <t>======
ID#AAABft3HxI0
Cosmed    (2025-03-12 10:37:30)
Pour calculer le pourcentage  d'étiquettage, prendre en compte la somme de toutes les sources.</t>
        </r>
      </text>
    </comment>
    <comment ref="DK4" authorId="0" shapeId="0" xr:uid="{00000000-0006-0000-0500-000010000000}">
      <text>
        <r>
          <rPr>
            <sz val="12"/>
            <color theme="1"/>
            <rFont val="Calibri"/>
            <family val="2"/>
            <scheme val="minor"/>
          </rPr>
          <t>======
ID#AAABft3HxJE
Cosmed    (2025-03-12 10:37:30)
Pour calculer le pourcentage  d'étiquettage, prendre en compte la somme de toutes les sources.</t>
        </r>
      </text>
    </comment>
    <comment ref="DL4" authorId="0" shapeId="0" xr:uid="{00000000-0006-0000-0500-00001C000000}">
      <text>
        <r>
          <rPr>
            <sz val="12"/>
            <color theme="1"/>
            <rFont val="Calibri"/>
            <family val="2"/>
            <scheme val="minor"/>
          </rPr>
          <t>======
ID#AAABft3HxIU
Cosmed    (2025-03-12 10:37:30)
Pour calculer le pourcentage  d'étiquettage, prendre en compte la somme de toutes les sources.</t>
        </r>
      </text>
    </comment>
    <comment ref="DM4" authorId="0" shapeId="0" xr:uid="{00000000-0006-0000-0500-00000C000000}">
      <text>
        <r>
          <rPr>
            <sz val="12"/>
            <color theme="1"/>
            <rFont val="Calibri"/>
            <family val="2"/>
            <scheme val="minor"/>
          </rPr>
          <t>======
ID#AAABft3HxJU
Cosmed    (2025-03-12 10:37:30)
Pour calculer le pourcentage  d'étiquettage, prendre en compte la somme de toutes les sources.</t>
        </r>
      </text>
    </comment>
    <comment ref="DN4" authorId="0" shapeId="0" xr:uid="{00000000-0006-0000-0500-00001A000000}">
      <text>
        <r>
          <rPr>
            <sz val="12"/>
            <color theme="1"/>
            <rFont val="Calibri"/>
            <family val="2"/>
            <scheme val="minor"/>
          </rPr>
          <t>======
ID#AAABft3HxIY
Cosmed    (2025-03-12 10:37:30)
Pour calculer le pourcentage  d'étiquettage, prendre en compte la somme de toutes les sources.</t>
        </r>
      </text>
    </comment>
    <comment ref="DR4" authorId="0" shapeId="0" xr:uid="{00000000-0006-0000-0500-00000A000000}">
      <text>
        <r>
          <rPr>
            <sz val="12"/>
            <color theme="1"/>
            <rFont val="Calibri"/>
            <family val="2"/>
            <scheme val="minor"/>
          </rPr>
          <t>======
ID#AAABft3HxJc
Cosmed    (2025-03-12 10:37:30)
Pour calculer le pourcentage  d'étiquettage, prendre en compte la somme de toutes les sources.</t>
        </r>
      </text>
    </comment>
    <comment ref="EC4" authorId="0" shapeId="0" xr:uid="{00000000-0006-0000-0500-00000E000000}">
      <text>
        <r>
          <rPr>
            <sz val="12"/>
            <color theme="1"/>
            <rFont val="Calibri"/>
            <family val="2"/>
            <scheme val="minor"/>
          </rPr>
          <t>======
ID#AAABft3HxJM
Cosmed    (2025-03-12 10:37:30)
Pour calculer le pourcentage  d'étiquettage, prendre en compte la somme de toutes les sources.</t>
        </r>
      </text>
    </comment>
    <comment ref="EK4" authorId="0" shapeId="0" xr:uid="{00000000-0006-0000-0500-000003000000}">
      <text>
        <r>
          <rPr>
            <sz val="12"/>
            <color theme="1"/>
            <rFont val="Calibri"/>
            <family val="2"/>
            <scheme val="minor"/>
          </rPr>
          <t>======
ID#AAABft3HxJ4
Cosmed    (2025-03-12 10:37:30)
Pour calculer le pourcentage  d'étiquettage, prendre en compte la somme de toutes les sources.</t>
        </r>
      </text>
    </comment>
  </commentList>
  <extLst>
    <ext xmlns:r="http://schemas.openxmlformats.org/officeDocument/2006/relationships" uri="GoogleSheetsCustomDataVersion2">
      <go:sheetsCustomData xmlns:go="http://customooxmlschemas.google.com/" r:id="rId1" roundtripDataSignature="AMtx7miA+sbY+o7ReiIUzL7Cg75L5W6rq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I3" authorId="0" shapeId="0" xr:uid="{18B29911-1B9A-4E4B-8B02-9C8F66D099A1}">
      <text>
        <r>
          <rPr>
            <sz val="12"/>
            <color rgb="FF000000"/>
            <rFont val="Calibri"/>
            <family val="2"/>
          </rPr>
          <t xml:space="preserve">======
</t>
        </r>
        <r>
          <rPr>
            <sz val="12"/>
            <color rgb="FF000000"/>
            <rFont val="Calibri"/>
            <family val="2"/>
          </rPr>
          <t xml:space="preserve">ID#AAABft3HxI4
</t>
        </r>
        <r>
          <rPr>
            <sz val="12"/>
            <color rgb="FF000000"/>
            <rFont val="Calibri"/>
            <family val="2"/>
          </rPr>
          <t xml:space="preserve">Cosmed    (2025-03-12 10:37:30)
</t>
        </r>
        <r>
          <rPr>
            <sz val="12"/>
            <color rgb="FF000000"/>
            <rFont val="Calibri"/>
            <family val="2"/>
          </rPr>
          <t>Pour calculer le pourcentage  d'étiquettage, prendre en compte la somme de toutes les sources.</t>
        </r>
      </text>
    </comment>
    <comment ref="W3" authorId="0" shapeId="0" xr:uid="{16EBFCBE-95B1-6C48-8003-D45A378DE871}">
      <text>
        <r>
          <rPr>
            <sz val="12"/>
            <color rgb="FF000000"/>
            <rFont val="Calibri"/>
            <family val="2"/>
          </rPr>
          <t xml:space="preserve">======
</t>
        </r>
        <r>
          <rPr>
            <sz val="12"/>
            <color rgb="FF000000"/>
            <rFont val="Calibri"/>
            <family val="2"/>
          </rPr>
          <t xml:space="preserve">ID#AAABft3HxJo
</t>
        </r>
        <r>
          <rPr>
            <sz val="12"/>
            <color rgb="FF000000"/>
            <rFont val="Calibri"/>
            <family val="2"/>
          </rPr>
          <t xml:space="preserve">Cosmed    (2025-03-12 10:37:30)
</t>
        </r>
        <r>
          <rPr>
            <sz val="12"/>
            <color rgb="FF000000"/>
            <rFont val="Calibri"/>
            <family val="2"/>
          </rPr>
          <t>Pour calculer le pourcentage  d'étiquettage, prendre en compte la somme de toutes les sources.</t>
        </r>
      </text>
    </comment>
  </commentList>
</comments>
</file>

<file path=xl/sharedStrings.xml><?xml version="1.0" encoding="utf-8"?>
<sst xmlns="http://schemas.openxmlformats.org/spreadsheetml/2006/main" count="6829" uniqueCount="4136">
  <si>
    <t>Code</t>
  </si>
  <si>
    <t>Description</t>
  </si>
  <si>
    <t>Fournisseur principal</t>
  </si>
  <si>
    <t>INCI</t>
  </si>
  <si>
    <t>Catégorie</t>
  </si>
  <si>
    <t>En stock</t>
  </si>
  <si>
    <t>Remarques</t>
  </si>
  <si>
    <t>%PPAI</t>
  </si>
  <si>
    <t>%PPAI Bio</t>
  </si>
  <si>
    <t>%CPAI</t>
  </si>
  <si>
    <t>%CPAI Bio</t>
  </si>
  <si>
    <t>Fonctions</t>
  </si>
  <si>
    <t>N°CAS</t>
  </si>
  <si>
    <t>Impuretés</t>
  </si>
  <si>
    <t>ECH-AMB001</t>
  </si>
  <si>
    <t>Ambrette CO2</t>
  </si>
  <si>
    <t>Aroma Zone</t>
  </si>
  <si>
    <t>Extrait CO2</t>
  </si>
  <si>
    <t>ECH-AMB002</t>
  </si>
  <si>
    <t>HE Ambrette</t>
  </si>
  <si>
    <t>Diffusions Aromatiques</t>
  </si>
  <si>
    <t>Huile essentielle</t>
  </si>
  <si>
    <t>ECH-AMB003</t>
  </si>
  <si>
    <t>Ambrette graines extrait CO2</t>
  </si>
  <si>
    <t>ECH-AMY001</t>
  </si>
  <si>
    <t>Amyris</t>
  </si>
  <si>
    <t>Astier Demarest</t>
  </si>
  <si>
    <t>ECH-AP001</t>
  </si>
  <si>
    <t>Poudre d'avoine colloïdale</t>
  </si>
  <si>
    <t>Actif poudre</t>
  </si>
  <si>
    <t>ECH-AP002</t>
  </si>
  <si>
    <t>Lait d'amande douche en poudre</t>
  </si>
  <si>
    <t>ECH-AP003</t>
  </si>
  <si>
    <t>Lait de coco en poudre</t>
  </si>
  <si>
    <t>ECH-AP004</t>
  </si>
  <si>
    <t>Nelumbo nucifera seeds (poudre)</t>
  </si>
  <si>
    <t>BPAE</t>
  </si>
  <si>
    <t>ECH-AP005</t>
  </si>
  <si>
    <t>Curcuma Longa Rhizome</t>
  </si>
  <si>
    <t>ECH-AP006</t>
  </si>
  <si>
    <t>Natural anhydrous caffeine powder</t>
  </si>
  <si>
    <t>Naturex</t>
  </si>
  <si>
    <t>Non</t>
  </si>
  <si>
    <t>ECH-AP007</t>
  </si>
  <si>
    <t>Rutin 95%</t>
  </si>
  <si>
    <t>254,10(1kg), 182,20(10kg). % utilisation : max 0,5%. pH : from 2 to 7. Solubility : 1% (10% d'après leur labo) in hot glycerin for clear product - In surfactant or aqueous systems: add the blend at the end of the process - In emulsion: add the blend at the end after 40°C.</t>
  </si>
  <si>
    <t>ECH-AP008</t>
  </si>
  <si>
    <t>Poudre Aloe vera BIO</t>
  </si>
  <si>
    <t>IES Labo</t>
  </si>
  <si>
    <t>ECH-AP009</t>
  </si>
  <si>
    <t>Guarana PE 2,4% Caffeine</t>
  </si>
  <si>
    <t>ECH-AP010</t>
  </si>
  <si>
    <t>Spiruline poudre</t>
  </si>
  <si>
    <t>?</t>
  </si>
  <si>
    <t>ECH-AP011</t>
  </si>
  <si>
    <t>L-Arginine</t>
  </si>
  <si>
    <t>Inolex</t>
  </si>
  <si>
    <t>ECH-AP012</t>
  </si>
  <si>
    <t>Moringa poudre</t>
  </si>
  <si>
    <t>ECH-AP013</t>
  </si>
  <si>
    <t>Oxyde de Zinc</t>
  </si>
  <si>
    <t>ECH-AP014</t>
  </si>
  <si>
    <t>Lavande fleurs poudre BIO</t>
  </si>
  <si>
    <t>L'Herbier du Diois</t>
  </si>
  <si>
    <t>ECH-AP015</t>
  </si>
  <si>
    <t>Tomate poudre BIO</t>
  </si>
  <si>
    <t>ECH-AP016</t>
  </si>
  <si>
    <t>Bardane racine poudre BIO</t>
  </si>
  <si>
    <t>ECH-AP017</t>
  </si>
  <si>
    <t>Réglisse racine poudre BIO</t>
  </si>
  <si>
    <t>ECH-AP018</t>
  </si>
  <si>
    <t>Mauve PA poudre BIO</t>
  </si>
  <si>
    <t>ECH-AP019</t>
  </si>
  <si>
    <t>Moga Cha BIO</t>
  </si>
  <si>
    <t>Alveus</t>
  </si>
  <si>
    <t>ECH-AP020</t>
  </si>
  <si>
    <t>Curcuma poudre BIO</t>
  </si>
  <si>
    <t>ECH-AP021</t>
  </si>
  <si>
    <t>Iris pâle PA poudre BIO</t>
  </si>
  <si>
    <t>ECH-AP022</t>
  </si>
  <si>
    <t>Eucalyptus feuille poudre BIO</t>
  </si>
  <si>
    <t>ECH-AP023</t>
  </si>
  <si>
    <t>Citron zeste poudre BIO</t>
  </si>
  <si>
    <t>ECH-AP024</t>
  </si>
  <si>
    <t>Rose pâle fleur poudre BIO</t>
  </si>
  <si>
    <t>ECH-AP025</t>
  </si>
  <si>
    <t>Oranger big. Bouton poudre BIO</t>
  </si>
  <si>
    <t>ECH-AP026</t>
  </si>
  <si>
    <t>Orange amère zeste poudre BIO</t>
  </si>
  <si>
    <t>ECH-AP027</t>
  </si>
  <si>
    <t>Ortie piquante PA poudre BIO</t>
  </si>
  <si>
    <t>ECH-AP028</t>
  </si>
  <si>
    <t>Guimauve racine poudre BIO</t>
  </si>
  <si>
    <t>ECH-AP029</t>
  </si>
  <si>
    <t>Oat Phylpeel 2000T</t>
  </si>
  <si>
    <t>Safic Alcan</t>
  </si>
  <si>
    <t>Avena Sativa Kernel Extract</t>
  </si>
  <si>
    <t>Flocons</t>
  </si>
  <si>
    <t>ECH-AP030</t>
  </si>
  <si>
    <t>Oat Phylpeel 1000T</t>
  </si>
  <si>
    <t>ECH-AP033</t>
  </si>
  <si>
    <t>Glucohyami-SAE (Maintenant Glucohyami GL)</t>
  </si>
  <si>
    <t>Alban Muller</t>
  </si>
  <si>
    <t>104.56€/kg (par 25kg), 114.39€/kg (par 5kg)</t>
  </si>
  <si>
    <t>ECH-AP034</t>
  </si>
  <si>
    <t>Sel de la mer morte</t>
  </si>
  <si>
    <t>ECH-AP035</t>
  </si>
  <si>
    <t>Farine de café unmilled</t>
  </si>
  <si>
    <t>Caffe Bueno</t>
  </si>
  <si>
    <t>ECH-AP036</t>
  </si>
  <si>
    <t>Farine de café milled</t>
  </si>
  <si>
    <t>ECH-AP037</t>
  </si>
  <si>
    <t>Argile grade surfine</t>
  </si>
  <si>
    <t>ECH-AP038</t>
  </si>
  <si>
    <t>Kaolin Imercare Opaque</t>
  </si>
  <si>
    <t>ECH-AP039</t>
  </si>
  <si>
    <t>Pigment végétal Rose Patate douce</t>
  </si>
  <si>
    <t>Distarch Phosphate, Anthocyanins, Citric Acid</t>
  </si>
  <si>
    <t>Colorant</t>
  </si>
  <si>
    <t>ECH-AP040</t>
  </si>
  <si>
    <t>SpecWhite 02</t>
  </si>
  <si>
    <t>Maprecos</t>
  </si>
  <si>
    <t>Ascorbyl Glucoside</t>
  </si>
  <si>
    <t>Vitamine C forme stable</t>
  </si>
  <si>
    <t>Attention peut devenir orange (restaer à un pH de 6,5)</t>
  </si>
  <si>
    <t>ECH-AP041</t>
  </si>
  <si>
    <t>Specpure GBE001</t>
  </si>
  <si>
    <t>Sodium Copper Chlorophyllin</t>
  </si>
  <si>
    <t>ECH-AP042</t>
  </si>
  <si>
    <t>Vanilla Exfoliating soft Powder</t>
  </si>
  <si>
    <t>Pacifique Sud</t>
  </si>
  <si>
    <t>Exfoliant physique</t>
  </si>
  <si>
    <t>ECH-AP043</t>
  </si>
  <si>
    <t>Spent Bourbon vanilla seeds</t>
  </si>
  <si>
    <t>Euro Vanille</t>
  </si>
  <si>
    <t>Graines odorantes</t>
  </si>
  <si>
    <t>ECH-AP044</t>
  </si>
  <si>
    <t>Grains naturels de vanille Bourbon</t>
  </si>
  <si>
    <t>ECH-AP045</t>
  </si>
  <si>
    <t>SpecPure BML60</t>
  </si>
  <si>
    <t>Bromelain 60W</t>
  </si>
  <si>
    <t>Enzyme</t>
  </si>
  <si>
    <t>Bromélaine, enzyme issue de l’ananas. Peeling chimique, blanchissant</t>
  </si>
  <si>
    <t>ECH-AP046</t>
  </si>
  <si>
    <t>Promois</t>
  </si>
  <si>
    <t>Iwase</t>
  </si>
  <si>
    <t>Hydrolyzed Pea Proten</t>
  </si>
  <si>
    <t>Protéine de pois</t>
  </si>
  <si>
    <t>ECH-AP047</t>
  </si>
  <si>
    <t>Spirulina ET-F</t>
  </si>
  <si>
    <t>ECH-AP048</t>
  </si>
  <si>
    <t>Linablue G1-S</t>
  </si>
  <si>
    <t>Colorant spiruline</t>
  </si>
  <si>
    <t>ECH-AP049</t>
  </si>
  <si>
    <t>Spiruline bio poudre</t>
  </si>
  <si>
    <t>Azur Naturel</t>
  </si>
  <si>
    <t>ECH-AP050</t>
  </si>
  <si>
    <t>CBP Inulin FOS</t>
  </si>
  <si>
    <t>DKSH</t>
  </si>
  <si>
    <t>Inulin</t>
  </si>
  <si>
    <t>Inuline poudre</t>
  </si>
  <si>
    <t>ECH-AP051</t>
  </si>
  <si>
    <t>Noyaux d'olive en poudre</t>
  </si>
  <si>
    <t>Aroma-Zone</t>
  </si>
  <si>
    <t>ECH-AP052</t>
  </si>
  <si>
    <t>Noyaux d'abricot en poudre</t>
  </si>
  <si>
    <t>ECH-AP053</t>
  </si>
  <si>
    <t>Coque de noix en poudre</t>
  </si>
  <si>
    <t>ECH-AP054</t>
  </si>
  <si>
    <t>Charbon Végétal Active poudre</t>
  </si>
  <si>
    <t>Herboristerie Cailleau</t>
  </si>
  <si>
    <t>Poudre</t>
  </si>
  <si>
    <t>ECH-AP055</t>
  </si>
  <si>
    <t>Charbon végétal poudre (usage externe)</t>
  </si>
  <si>
    <t>ECH-AP056</t>
  </si>
  <si>
    <t>Charbon végétal active 400-600um</t>
  </si>
  <si>
    <t>ECH-AP057</t>
  </si>
  <si>
    <t>Poudre charbon végétal</t>
  </si>
  <si>
    <t>Prod'hyg</t>
  </si>
  <si>
    <t>ECH-AP058</t>
  </si>
  <si>
    <t>Charbon actif végétal 100-300 micron BIO</t>
  </si>
  <si>
    <t>Exinnov</t>
  </si>
  <si>
    <t>ECH-AP059</t>
  </si>
  <si>
    <t>Seatrace</t>
  </si>
  <si>
    <t>Lessonia</t>
  </si>
  <si>
    <t>Maris Sal</t>
  </si>
  <si>
    <t>Poudre reminéralisante</t>
  </si>
  <si>
    <t>Sel avec faible taux de NaCl, reminéralisant. Concentrée en oligoéléments et minéraux</t>
  </si>
  <si>
    <t>ECH-AP060</t>
  </si>
  <si>
    <t>Bio Microzest 50 Laminaria</t>
  </si>
  <si>
    <t>Laminaria digitata powder</t>
  </si>
  <si>
    <t>ECH-AP061</t>
  </si>
  <si>
    <t>Green Microzest 50 Red Clay</t>
  </si>
  <si>
    <t>Illite, Kaolin</t>
  </si>
  <si>
    <t>Argile</t>
  </si>
  <si>
    <t>ECH-AP062</t>
  </si>
  <si>
    <t>Olive GreenExfoliator 500</t>
  </si>
  <si>
    <t>Olea Europaea seed powder</t>
  </si>
  <si>
    <t>ECH-AP063</t>
  </si>
  <si>
    <t>Bitter Orange Exfoliator 1000</t>
  </si>
  <si>
    <t>Citrus Anrantium Amara peel powder</t>
  </si>
  <si>
    <t>ECH-AP064</t>
  </si>
  <si>
    <t>Lemon Exfoliator 1000</t>
  </si>
  <si>
    <t>Citrus Lemon peel powder</t>
  </si>
  <si>
    <t>ECH-AP065</t>
  </si>
  <si>
    <t>Lemon Exfoliator 500</t>
  </si>
  <si>
    <t>ECH-AP066</t>
  </si>
  <si>
    <t>C+eramide G</t>
  </si>
  <si>
    <t>Triticum vulgare (wheat) seed extract</t>
  </si>
  <si>
    <t>Poudre active</t>
  </si>
  <si>
    <t>ECH-AP067</t>
  </si>
  <si>
    <t xml:space="preserve">Poudre de Banane </t>
  </si>
  <si>
    <t>ECH-AP068</t>
  </si>
  <si>
    <t>Erylite F8030</t>
  </si>
  <si>
    <t>AMI</t>
  </si>
  <si>
    <t>Erythritol</t>
  </si>
  <si>
    <t>ECH-AP069</t>
  </si>
  <si>
    <t xml:space="preserve">Tricalcium Citrate </t>
  </si>
  <si>
    <t>Calcium Citrate</t>
  </si>
  <si>
    <t>ECH-AP070</t>
  </si>
  <si>
    <t>Gluadin WP</t>
  </si>
  <si>
    <t>Hydrolyzed Wheat Protein</t>
  </si>
  <si>
    <t>ECH-AP071</t>
  </si>
  <si>
    <t>Glucono-Delta-Lactone</t>
  </si>
  <si>
    <t>Gluconolactone</t>
  </si>
  <si>
    <t>ECH-AP072</t>
  </si>
  <si>
    <t>Coenzym Q10 MP009</t>
  </si>
  <si>
    <t>Azelis</t>
  </si>
  <si>
    <t>Ubiquinone</t>
  </si>
  <si>
    <t>ECH-AP073</t>
  </si>
  <si>
    <t>Granulated sugar standard 500-950 microns</t>
  </si>
  <si>
    <t>Saccharose</t>
  </si>
  <si>
    <t>ECH-AP074</t>
  </si>
  <si>
    <t>Pierre ponce doux</t>
  </si>
  <si>
    <t>Pumice</t>
  </si>
  <si>
    <t>ECH-AP075</t>
  </si>
  <si>
    <t>Pierre ponce fort</t>
  </si>
  <si>
    <t>ECH-AP076</t>
  </si>
  <si>
    <t>Pierre ponce stimulant</t>
  </si>
  <si>
    <t>ECH-AP077</t>
  </si>
  <si>
    <t>Opuntia Biocomplex SH</t>
  </si>
  <si>
    <t>Interactifs</t>
  </si>
  <si>
    <t>Opuntia ficus-indica stem extract, Maltodextrin</t>
  </si>
  <si>
    <t>Actif prébiotique</t>
  </si>
  <si>
    <t>0,5 et 5%
Ratio = 1:25
Microbiome-friendly formulations
Skin care and hair care products for dry and sensitive skin Skin repair
Co-adjuvant in anti-dandruff shampoo
Cosmetic products for acne-prone skin</t>
  </si>
  <si>
    <t>ECH-AP078</t>
  </si>
  <si>
    <t xml:space="preserve">Maizena </t>
  </si>
  <si>
    <t xml:space="preserve">Maizena Fleur de Mais </t>
  </si>
  <si>
    <t>ECH-AP079</t>
  </si>
  <si>
    <t>Sodium Gluconate</t>
  </si>
  <si>
    <t xml:space="preserve">Sodium Gluconate </t>
  </si>
  <si>
    <t>ECH-AP080</t>
  </si>
  <si>
    <t xml:space="preserve">Thixcin R PC </t>
  </si>
  <si>
    <t>Elementis-DKSH</t>
  </si>
  <si>
    <t>Trihydroxystearin</t>
  </si>
  <si>
    <t>ECH-AP081</t>
  </si>
  <si>
    <t>Bentone Hydroclay 2100</t>
  </si>
  <si>
    <t>Hectorite</t>
  </si>
  <si>
    <t>ECH-AP082</t>
  </si>
  <si>
    <t>Urée</t>
  </si>
  <si>
    <t>Urea</t>
  </si>
  <si>
    <t>Exfoliant chimique</t>
  </si>
  <si>
    <t>Très utilisée en cosmétique et dans les préparations dermatologiques, l'urée est connue pour ses propriétés hydratantes* intenses et son effet kératolytique. Elle s'incorpore dans vos préparations cosmétiques pour favoriser l'élimination des squames et redonner souplesse et douceur aux peaux très sèches, rugueuses ou squameuses. Son pouvoir exfoliant doux et son excellente tolérance cutanée en font également une bonne alternative aux AHA acides de fruits pour lisser les irrégularités de la peau et redonner de l'éclat au teint. C'est aussi l'actif de choix pour traiter les callosités sur les pieds ou les mains. Un actif de base très professionnel !
*hydratation des couches supérieures de l'épiderme.</t>
  </si>
  <si>
    <t>ECH-AP083</t>
  </si>
  <si>
    <t>Bentone HydroClay 2000</t>
  </si>
  <si>
    <t>ECH-AP084</t>
  </si>
  <si>
    <t>Plankton Glass Flower</t>
  </si>
  <si>
    <t>ODYCEA</t>
  </si>
  <si>
    <t>Plankton extract</t>
  </si>
  <si>
    <t>Agent soft-focus</t>
  </si>
  <si>
    <t>Poudre dispersible dans l'eau et l'huile. % utilisation : 1-3%</t>
  </si>
  <si>
    <t>ECH-AP085</t>
  </si>
  <si>
    <t>Cellulobeads USF-X</t>
  </si>
  <si>
    <t>Daito Kasei</t>
  </si>
  <si>
    <t>Cellulose</t>
  </si>
  <si>
    <t>Effet blur, agent soft-focus et de couvrance (slip modifier)</t>
  </si>
  <si>
    <t>Hydrophile. Incorporer une fois l'émulsion/gel formé. Incorporer à 10% maximum. COSMOS. 100% cellulose obtained from wood pulp
213(20kg); 191,6(100kg); 182(400kg)</t>
  </si>
  <si>
    <t>ECH-AP086</t>
  </si>
  <si>
    <t>Easyliance</t>
  </si>
  <si>
    <t>Givaudan</t>
  </si>
  <si>
    <t>Acacia Senegal gum Rhizobian gum</t>
  </si>
  <si>
    <t>Effet liftant</t>
  </si>
  <si>
    <t>Hydrosoluble. % utilisation : 2-3%. Incorporer au début ou à la fin de la formulation entre 20 et 80 °C sous agitation douce. pH : 2-8</t>
  </si>
  <si>
    <t>ECH-AP087</t>
  </si>
  <si>
    <t>Vit-a-like PW LS 9898 (Retinol-like)</t>
  </si>
  <si>
    <t>BASF/AMI</t>
  </si>
  <si>
    <t>Vigna Aconitifolia Seed Extract (and) Maltodextrin</t>
  </si>
  <si>
    <t>Extrait de la graine de haricot papillon</t>
  </si>
  <si>
    <t>Rétinol-like. Hydrosoluble. %utilisation : 0,2-0,4%. Réaliser une solution en amont à 10% dans l'eau avant de l'incorporer dans la phase finale en dessous de 60°C. Optimal pH: 3 - 8
MOQ = 0,5kg</t>
  </si>
  <si>
    <t>ECH-AP088</t>
  </si>
  <si>
    <t xml:space="preserve">Oxyde Bleu </t>
  </si>
  <si>
    <t xml:space="preserve">Aroma Zone </t>
  </si>
  <si>
    <t>Ultramarine, Silica and Kaolin</t>
  </si>
  <si>
    <t xml:space="preserve">Pigment minéral </t>
  </si>
  <si>
    <t>ECH-AP089</t>
  </si>
  <si>
    <t>Primalhyal 10</t>
  </si>
  <si>
    <t>Hydrolyzed Hyaluronic Acid</t>
  </si>
  <si>
    <t>Actif</t>
  </si>
  <si>
    <t>&lt; à 10KDa
Représente notre acide hyaluronique nano</t>
  </si>
  <si>
    <t>ECH-AP090</t>
  </si>
  <si>
    <t>Cristalyal</t>
  </si>
  <si>
    <t>Sodium Hyaluronate</t>
  </si>
  <si>
    <t>1M à 1,4MDa
Représente notre MP007</t>
  </si>
  <si>
    <t>ECH-AP091</t>
  </si>
  <si>
    <t>Primalhyal 50</t>
  </si>
  <si>
    <t>50KDa
Représente notre 10K MP006 (10-100KDa)</t>
  </si>
  <si>
    <t>ECH-AP092</t>
  </si>
  <si>
    <t>Poudre exfoliante de noyau de pruneau Bio &lt;300µ</t>
  </si>
  <si>
    <t>Perles de Gascogne</t>
  </si>
  <si>
    <t>Organic Exfoliant Plum Kernel Powder</t>
  </si>
  <si>
    <t>Exfoliant</t>
  </si>
  <si>
    <t>25kg</t>
  </si>
  <si>
    <t>ECH-AP093</t>
  </si>
  <si>
    <t>Poudre exfoliante de noyau de pruneau Bio 300&lt;&gt;500µ</t>
  </si>
  <si>
    <t>ECH-AP094</t>
  </si>
  <si>
    <t>Poudre exfoliante de noyau de pruneau Bio 500&lt;&gt;800µ</t>
  </si>
  <si>
    <t>ECH-AP096</t>
  </si>
  <si>
    <t>Green Microzest 25 Bamboo</t>
  </si>
  <si>
    <t>Bambusa Arundinacea Stem Extract</t>
  </si>
  <si>
    <t>ECH-AP097</t>
  </si>
  <si>
    <t>Azelaic Acid</t>
  </si>
  <si>
    <t>ECH-AP098</t>
  </si>
  <si>
    <t>Phytolive Fine</t>
  </si>
  <si>
    <t>Sophim</t>
  </si>
  <si>
    <t>Exfoliant fait à partir de noyaux d'olive. Testé rapidement dans une crème, gratte bien !</t>
  </si>
  <si>
    <t>ECH-AP099</t>
  </si>
  <si>
    <t>Café grain</t>
  </si>
  <si>
    <t>ECH-AP100</t>
  </si>
  <si>
    <t>Coconut Milk Powder</t>
  </si>
  <si>
    <t>From Nature With Love</t>
  </si>
  <si>
    <t>Cocos Nucifera Fruit Powder (and) Maltodextrin (and) Sodium Starch Octenylsuccinate (Modified Food Starch)</t>
  </si>
  <si>
    <t>Lait poudre</t>
  </si>
  <si>
    <t>ECH-AP101</t>
  </si>
  <si>
    <t>Neosalyl</t>
  </si>
  <si>
    <t>Givaudan / Quimica Masso</t>
  </si>
  <si>
    <t>Salicylic Acid</t>
  </si>
  <si>
    <t>1kg =&gt;364€
5kg =&gt; 330€
10=&gt; 321€</t>
  </si>
  <si>
    <t>ECH-AP102</t>
  </si>
  <si>
    <t>Microzest Carrot pink</t>
  </si>
  <si>
    <t>ECH-AP103</t>
  </si>
  <si>
    <t>Microzest Carrot orange</t>
  </si>
  <si>
    <t>ECH-AP104</t>
  </si>
  <si>
    <t>Microzest Lemon</t>
  </si>
  <si>
    <t>ECH-AP105</t>
  </si>
  <si>
    <t>Microzest 50 Cocoa</t>
  </si>
  <si>
    <t>ECH-AP106</t>
  </si>
  <si>
    <t>Eco Collagen Amino Acids</t>
  </si>
  <si>
    <t>M7R Chemical</t>
  </si>
  <si>
    <t>Collagen Amino Acids</t>
  </si>
  <si>
    <t>ECO COLLAGEN, EXW30
MOQ 5kg à 300€/kg
20 kg à 270€/kg
40 kg à 260€/kg
100 kg à 230€/kg
250 kg à 195€/kg
500kg à 175€/kg</t>
  </si>
  <si>
    <t>9015-54-7</t>
  </si>
  <si>
    <t>ECH-AP107</t>
  </si>
  <si>
    <t>Sodium Ascorbyl Phosphate</t>
  </si>
  <si>
    <t>Azelis / Selco</t>
  </si>
  <si>
    <t>Sodium Ascorbyl Phosphate is an esterified derivative of ascobic acid, which is improving stability and is stable in cosmetic formulations. SAP penetrates into skin and there it is metabolized to ascorbic acid.
Excellent antioxydant
Boosts collagen production
Lightening and brighetning
Antimicrobial against Propionibacterium acnes</t>
  </si>
  <si>
    <t>ECH-AP108</t>
  </si>
  <si>
    <t>Kaffibre</t>
  </si>
  <si>
    <t>Kaffe Bueno / Nordmann</t>
  </si>
  <si>
    <t>Coffea Arabica Seed Powder</t>
  </si>
  <si>
    <t>Fabricant KaffeBueno                                                      
Code : 02001                                                                
MOQ 15kg                                                                      
60kg = 20€/kg
120kg = 14€/kg</t>
  </si>
  <si>
    <t>Scrub</t>
  </si>
  <si>
    <t>ECH-AP109</t>
  </si>
  <si>
    <t xml:space="preserve">Primalhyal 300 </t>
  </si>
  <si>
    <t>Quimica Masso (Givaudan)</t>
  </si>
  <si>
    <t>Hydrolised Hyaluronic Acid</t>
  </si>
  <si>
    <t>% of use : 0.05-0.2%</t>
  </si>
  <si>
    <t>Active ingredient</t>
  </si>
  <si>
    <t>ECH-AP110</t>
  </si>
  <si>
    <t>Aloe vera poudre Espagne</t>
  </si>
  <si>
    <t>Atalaya</t>
  </si>
  <si>
    <t>MOQ 1kg, 248€ du kg avec 20€ de frais de port</t>
  </si>
  <si>
    <t>ECH-AP111</t>
  </si>
  <si>
    <t>Tremel+HA</t>
  </si>
  <si>
    <t>Tremella Fuciformis Polysaccharide</t>
  </si>
  <si>
    <t xml:space="preserve">MOQ 1kg  </t>
  </si>
  <si>
    <t>778577-37-0</t>
  </si>
  <si>
    <t>Total Heavy metals : 20 ppm</t>
  </si>
  <si>
    <t>ECH-AP112</t>
  </si>
  <si>
    <t>Kaffage</t>
  </si>
  <si>
    <t>Coffee Arabica Seed Extract</t>
  </si>
  <si>
    <t xml:space="preserve">Biopolymère amphiphile dérivé du café, booster de SPF et anti-tâches 
Propriétés émulsifiantes et antimicrobiennes
MOQ 5kg
25kg : 210€/kg
100kg : 190€/kg
Existe aussi en extrait hydroglycériné (KAFFAGE-D) et en version décolorée (KAFFAGE-B) </t>
  </si>
  <si>
    <t>ECH-AP113</t>
  </si>
  <si>
    <t>Sterculia gum</t>
  </si>
  <si>
    <t>Alland &amp; Robert</t>
  </si>
  <si>
    <t>Sterculia Urens Gum</t>
  </si>
  <si>
    <t>Gélifiant</t>
  </si>
  <si>
    <t>MOQ 25kg</t>
  </si>
  <si>
    <t>9000-36-6</t>
  </si>
  <si>
    <t>ECH-AP114</t>
  </si>
  <si>
    <t xml:space="preserve">Demecare blend gel </t>
  </si>
  <si>
    <t>Sterculia Urens Gum (and) Acacia Senegal Gum</t>
  </si>
  <si>
    <t>9000-01-5 / 9000-36-6</t>
  </si>
  <si>
    <t>ECH-AP115</t>
  </si>
  <si>
    <t>YuraQ 250-425</t>
  </si>
  <si>
    <t>Döhler / Lavollée</t>
  </si>
  <si>
    <t>Phytelephas Aequatorialis Seed Powder</t>
  </si>
  <si>
    <t>MOQ 25kg
Exfoliant doux, poudre blanc cassé, éclaircissant</t>
  </si>
  <si>
    <t>ECH-AP116</t>
  </si>
  <si>
    <t>Vanatural</t>
  </si>
  <si>
    <t>Lavollée</t>
  </si>
  <si>
    <t>Bentonite</t>
  </si>
  <si>
    <t>Agent de suspension, stabilisation</t>
  </si>
  <si>
    <t>MOQ 20kg
Stabilisant en synergie avec la xanthane
Agent de toucher
Attention : hydratation dans l'eau SANS additif type glycérine, voir T°C et vitesse cisaillement</t>
  </si>
  <si>
    <t>Stabilisant</t>
  </si>
  <si>
    <t>1302-78-9</t>
  </si>
  <si>
    <t>ECH-AP117</t>
  </si>
  <si>
    <t>Cosphaderm EGCg ECONAT</t>
  </si>
  <si>
    <t>Cosphatec</t>
  </si>
  <si>
    <t>Camellia Sinensis Leaf Extract</t>
  </si>
  <si>
    <t>Actif anti-âge</t>
  </si>
  <si>
    <t xml:space="preserve">Epigallocatechin-3-gallate (EGCg) issue des feuilles de thé vert (camellia sinensis). Anti-oxydant et antibactérien, prévient la dégradation du collagène et réduit les dommages causés à la peau par les UV. </t>
  </si>
  <si>
    <t xml:space="preserve">Actif </t>
  </si>
  <si>
    <t>84650-60-2</t>
  </si>
  <si>
    <t>ECH-AP118</t>
  </si>
  <si>
    <t>Cosphaderm X soft</t>
  </si>
  <si>
    <t>Xanthan Gum</t>
  </si>
  <si>
    <t>Epaississant</t>
  </si>
  <si>
    <t>11138-66-2</t>
  </si>
  <si>
    <t>ECH-AP119</t>
  </si>
  <si>
    <t>Idroramnosan</t>
  </si>
  <si>
    <t>Nordmann</t>
  </si>
  <si>
    <t>Hydroxyethylcellulose</t>
  </si>
  <si>
    <t>Stabilise sans épaissir
% of use : 0.5% - 4.0%
Conseillé à 0,3% par Agnès pour une émulsion légère</t>
  </si>
  <si>
    <t>9004-62-0</t>
  </si>
  <si>
    <t>ECH-AP120</t>
  </si>
  <si>
    <t xml:space="preserve">HYACARE TREMELLA </t>
  </si>
  <si>
    <t>Evonik</t>
  </si>
  <si>
    <t>Tremella Fuciformis Sporocarp Extract</t>
  </si>
  <si>
    <t>Actif hydratant</t>
  </si>
  <si>
    <t>MOQ 500g
HA-like</t>
  </si>
  <si>
    <t>ECH-AP121</t>
  </si>
  <si>
    <t>BIOMER</t>
  </si>
  <si>
    <t>ECH-AP122</t>
  </si>
  <si>
    <t>Cluster Dextrin</t>
  </si>
  <si>
    <t>Maltodextrin</t>
  </si>
  <si>
    <t>Agent encapsulant</t>
  </si>
  <si>
    <t>Pour encapsuler un parfum ou une substance sensible et avoir une libération prolongée</t>
  </si>
  <si>
    <t>9050-36-6</t>
  </si>
  <si>
    <t>ECH-AP123</t>
  </si>
  <si>
    <t xml:space="preserve">Zincidone </t>
  </si>
  <si>
    <t>Solabia</t>
  </si>
  <si>
    <t xml:space="preserve">Zinc PCA </t>
  </si>
  <si>
    <t>Actif anti-acné</t>
  </si>
  <si>
    <t xml:space="preserve">Use level : 0,1-1%
MOQ 1kg </t>
  </si>
  <si>
    <t>15454-75-8</t>
  </si>
  <si>
    <t>ECH-AP124</t>
  </si>
  <si>
    <t>SILAZINC ECO</t>
  </si>
  <si>
    <t>Zinc Oxide / Phosphates de magnésium</t>
  </si>
  <si>
    <t>Filtre UV</t>
  </si>
  <si>
    <t>Absorption moindre dans les UVA
Sensible aux électrolytes
Disperser les hydrocolloïdes type xanthane et les polyols type glycérine avant ajout du ZnO
Agitation forte nécessaire lors de l'ajout du filtre
S'hydrolyse facilement dans l'eau et fait augmenter le pH
Pour un pH bas : disperser le ZnO dans l'huile ou le polyhydroxystearic acid</t>
  </si>
  <si>
    <t>ECH-AP125</t>
  </si>
  <si>
    <t xml:space="preserve">Raspberry Exfoliator 500 </t>
  </si>
  <si>
    <t>Rubus Idaeus seed powder</t>
  </si>
  <si>
    <t>ECH-AP126</t>
  </si>
  <si>
    <t>PINK/RED-WS-P</t>
  </si>
  <si>
    <t>Anthocyanins (and) Maltodextrin (and) Citric Acid</t>
  </si>
  <si>
    <t>Pigment végétal</t>
  </si>
  <si>
    <t>Hydrosoluble</t>
  </si>
  <si>
    <t>ECH-AP127</t>
  </si>
  <si>
    <t>Sunpuro Pearl Silver</t>
  </si>
  <si>
    <t>SunChemical / Maprecos</t>
  </si>
  <si>
    <t>Mica (and) Titanium Dioxide</t>
  </si>
  <si>
    <t>Nacres</t>
  </si>
  <si>
    <t>Coloring agent</t>
  </si>
  <si>
    <t>ECH-AP128</t>
  </si>
  <si>
    <t>Flamenco Velvet 120V</t>
  </si>
  <si>
    <t>ECH-AP129</t>
  </si>
  <si>
    <t>Bodyflux Olive</t>
  </si>
  <si>
    <t>Evonik / Adara</t>
  </si>
  <si>
    <t>Ceramide NP</t>
  </si>
  <si>
    <t>Actif nourrissant</t>
  </si>
  <si>
    <t>ECH-AP130</t>
  </si>
  <si>
    <t>Pigment</t>
  </si>
  <si>
    <t>Origine France
Prix pour 20kg</t>
  </si>
  <si>
    <t>ECH-AP131</t>
  </si>
  <si>
    <t xml:space="preserve">Bio Microzest 25 Argan </t>
  </si>
  <si>
    <t>Argania Spinosa shell powder</t>
  </si>
  <si>
    <t>100% upcyclé
Prix pour 10kg</t>
  </si>
  <si>
    <t>ECH-AP132</t>
  </si>
  <si>
    <t>Cosroma Retinol 100</t>
  </si>
  <si>
    <t xml:space="preserve">Cosroma </t>
  </si>
  <si>
    <t>Retinol</t>
  </si>
  <si>
    <t>Prix pour 1kg</t>
  </si>
  <si>
    <t>ECH-AP133</t>
  </si>
  <si>
    <t>Soft Red Iron Oxide C337775</t>
  </si>
  <si>
    <t>CI 77491</t>
  </si>
  <si>
    <t>Oui</t>
  </si>
  <si>
    <t>Oxyde de fer</t>
  </si>
  <si>
    <t>ECH-AP134</t>
  </si>
  <si>
    <t>Soft Brown FE Ox C337715</t>
  </si>
  <si>
    <t>Iron Oxides</t>
  </si>
  <si>
    <t>Mélange d'oxydes de fer rouge, jaune et noir</t>
  </si>
  <si>
    <t>ECH-AP135</t>
  </si>
  <si>
    <t>Soft-Tex Russet Iron Oxide</t>
  </si>
  <si>
    <t>ECH-AP136</t>
  </si>
  <si>
    <t>NEW RED 1805</t>
  </si>
  <si>
    <t>Anthocyanins (and) Montmorillonite (and) Maltodextrin (and) Citric Acid</t>
  </si>
  <si>
    <t>Attention, pas 100% végétal puisqu'il y a du Montmorillonite</t>
  </si>
  <si>
    <t>ECH-AP137</t>
  </si>
  <si>
    <t>GREEN WS-P HIGH</t>
  </si>
  <si>
    <t>Chlorophyle 
Documents non reçu !
Ok COSMOS</t>
  </si>
  <si>
    <t>ECH-AP138</t>
  </si>
  <si>
    <t>NEW PURLPLE 2364</t>
  </si>
  <si>
    <t>Montmorillonite (and) Maltodextrin (and) Anthocyanins (and) Citric Acid</t>
  </si>
  <si>
    <t>Documents non reçu !
Ok COSMOS</t>
  </si>
  <si>
    <t>ECH-AP139</t>
  </si>
  <si>
    <t>Sucre blond brut bio (911015)***</t>
  </si>
  <si>
    <t>Greentech</t>
  </si>
  <si>
    <t>SUCROSE</t>
  </si>
  <si>
    <t>MOQ 25 kg</t>
  </si>
  <si>
    <t>Agent de texture</t>
  </si>
  <si>
    <t>57-50-1</t>
  </si>
  <si>
    <t>NA</t>
  </si>
  <si>
    <t>ECH-AP140</t>
  </si>
  <si>
    <t>Eclipse Z2</t>
  </si>
  <si>
    <t>Zinc Oxide</t>
  </si>
  <si>
    <t>Filtre minéral</t>
  </si>
  <si>
    <t>Uncoated zinc oxide
en 20Kg : 53€ pour 20Kg – 33€ pour 200 KG</t>
  </si>
  <si>
    <t>ECH-AP141</t>
  </si>
  <si>
    <t xml:space="preserve">BergaMuls ET1 </t>
  </si>
  <si>
    <t>Unipex</t>
  </si>
  <si>
    <t xml:space="preserve">Beta-Glucan (and) Pectin </t>
  </si>
  <si>
    <t>Emulsionnant</t>
  </si>
  <si>
    <t xml:space="preserve">MOQ 25 kg
4x25 (100kg) : 52,50€/kg
Hydratant équivalent à la glycérine
Emulsifiant et épaississant naturel qui ne nécessite pas de co-émulsionnant. A froid ou à chaud. </t>
  </si>
  <si>
    <t>ECH-AP142</t>
  </si>
  <si>
    <t xml:space="preserve">Sucre brun biologique </t>
  </si>
  <si>
    <t>Ennagram</t>
  </si>
  <si>
    <t>Exfoliant végétal</t>
  </si>
  <si>
    <t>13€ les 5kg
5€ les 25kg
Granulométrie 900-1700 microns</t>
  </si>
  <si>
    <t>ECH-AP143</t>
  </si>
  <si>
    <t>Kanshield Max</t>
  </si>
  <si>
    <t>Pongamia Pinnata Seed Extract, Glycyrrhiza Glabra Root Extract, Nelumbo NuciferaFflower Extract</t>
  </si>
  <si>
    <t>SPF booster</t>
  </si>
  <si>
    <t>All-natural SPF and UVA booster
0,2 et 0,25%
Pre-solubization is intended to ensure solubilizing of KanShield Max and to prevent re-crystallization : à chauffer dans unc corps gras à 65°C (ratio 1:20 dans huile/ester)
Kanshield Max en emballage de 1 kg
Prix = 1080 € HT/kg par livraison de 1 kg
Prix = 1055 € HT/kg par livraison de 2 kg
Prix = 980 € HT/kg par livraison de 5 kg</t>
  </si>
  <si>
    <t>ECH-AP144</t>
  </si>
  <si>
    <t>Ectoin</t>
  </si>
  <si>
    <t>Protecteur du microbiome cutanée
Vu aussi dans Mono skin care la brume solaire, donc protège sûrement de l'inflammation / coup de soleil
Anti acné</t>
  </si>
  <si>
    <t>ECH-AP145</t>
  </si>
  <si>
    <t>Anagain pwd</t>
  </si>
  <si>
    <t>Mibelle</t>
  </si>
  <si>
    <t>Pisum Sativum (Pea) Sprout Extract (and) Isomalt (and) Aqua / Water</t>
  </si>
  <si>
    <t>Actif pousse cheveux</t>
  </si>
  <si>
    <t>Prix pour 10-40kg
• decreased the density of telogen hair
(– 28.3 % / p = 0.001 versus initial conditions) • increased the density of anagen hair
(+7.9% – p = 0.002 versus initial conditions).
• Recommended use level: 2 – 4 %
• Incorporation: For cold processes, dissolve AnaGainTM
into the aqueous phase. In cold / hot processes, add
during the cooling phase below 60°C.</t>
  </si>
  <si>
    <t>ECH-AP146</t>
  </si>
  <si>
    <t>Eclipse Z1</t>
  </si>
  <si>
    <t>Zinc oxide</t>
  </si>
  <si>
    <t>Eclipse Z1 en emballage de 20 kg
Prix = 53.20 € HT/kg par livraison de 20 kg
Prix = 43.10 € HT/kg par livraison de 40 kg
Prix = 36.60 € HT/kg par livraison de 100 kg
Prix = 32.00 € HT/kg par livraison de 200 kg
Prix = 30.60 € HT/kg par livraison de 320 kg (Palette complète)</t>
  </si>
  <si>
    <t>ECH-AP147</t>
  </si>
  <si>
    <t>Eclipse Z1-ZST</t>
  </si>
  <si>
    <t>Zinc Oxide, Zinc Stearate</t>
  </si>
  <si>
    <t>Zinc enrobé
Prix = 68.50 € HT/kg par livraison de 20 kg
Prix = 58.50 € HT/kg par livraison de 40 kg
Prix = 51.80 € HT/kg par livraison de 100 kg</t>
  </si>
  <si>
    <t>ECH-AP148</t>
  </si>
  <si>
    <t>Eclipse G1</t>
  </si>
  <si>
    <t>Eclipse Z1 sous forme de granulés
Eclipse G1 en emballage de 25 kg
Prix = 48.00 € HT/kg par livraison de 25 kg
Prix = 39.50 € HT/kg par livraison de 50 kg
Prix = 36.60 € HT/kg par livraison de 100 kg
Prix = 32.00 € HT/kg par livraison de 200 kg
Prix = 29.20 € HT/kg par livraison de 400 kg
Prix = 27.80 € HT/kg par livraison de 800 kg</t>
  </si>
  <si>
    <t>ECH-AP149</t>
  </si>
  <si>
    <t>Timica Gold Sparkle 212P</t>
  </si>
  <si>
    <t>Mica, Titanium Dioxide, Iron Oxides</t>
  </si>
  <si>
    <t>Mica</t>
  </si>
  <si>
    <t>Prix pour 5kg</t>
  </si>
  <si>
    <t>ECH-AP150</t>
  </si>
  <si>
    <t>Gemtone Amber G001</t>
  </si>
  <si>
    <t>ECH-AP151</t>
  </si>
  <si>
    <t>Cloisonne Sparkle Gold 222J</t>
  </si>
  <si>
    <t>ECH-AP152</t>
  </si>
  <si>
    <t xml:space="preserve">Rheobyk 7590 PC </t>
  </si>
  <si>
    <t>Gélifiant huileux</t>
  </si>
  <si>
    <t>En emballage de 25 kg
Prix = 28,50 € HT/kg par livraison de 25 kg
Prix = 26,30 € HT/kg par livraison de 50 kg
Prix = 18,80 € HT/kg par livraison de 100 kg
Prix sûrement aux alentours de 30€/kg en 2026 (augmentation prévue)</t>
  </si>
  <si>
    <t>Agent rhéologique</t>
  </si>
  <si>
    <t>139-44-6</t>
  </si>
  <si>
    <t>ECH-AP153</t>
  </si>
  <si>
    <t xml:space="preserve">Evicare wintergreen </t>
  </si>
  <si>
    <t>Evident</t>
  </si>
  <si>
    <t>MOQ 1kg
Pour 10kg : 210€/kg</t>
  </si>
  <si>
    <t>Actif exfoliant</t>
  </si>
  <si>
    <t>69-72-7</t>
  </si>
  <si>
    <t>ECH-ARN001</t>
  </si>
  <si>
    <t>Extrait Arnica CO2</t>
  </si>
  <si>
    <t xml:space="preserve"> </t>
  </si>
  <si>
    <t>ECH-BAI001</t>
  </si>
  <si>
    <t>Baies roses HE (Schinus terebenthifolius)</t>
  </si>
  <si>
    <t>Schinus terebenthifolius Oil</t>
  </si>
  <si>
    <t>ECH-BAS001</t>
  </si>
  <si>
    <t>HE Basilic Tropical</t>
  </si>
  <si>
    <t>Ocimum Basilicum</t>
  </si>
  <si>
    <t>ECH-BAS002</t>
  </si>
  <si>
    <t>HE Basilic sacré</t>
  </si>
  <si>
    <t>Ocimum Sanctum</t>
  </si>
  <si>
    <t>ECH-BAS003</t>
  </si>
  <si>
    <t>HE Basilic à linalol</t>
  </si>
  <si>
    <t>ECH-BAS004</t>
  </si>
  <si>
    <t xml:space="preserve">HE Basilic Inde </t>
  </si>
  <si>
    <t>Albert Vieille</t>
  </si>
  <si>
    <t>ECH-BEN001</t>
  </si>
  <si>
    <t>Benjoin SFE 915063</t>
  </si>
  <si>
    <t>Firmenich</t>
  </si>
  <si>
    <t>ECH-BEN002</t>
  </si>
  <si>
    <t>Benjoin 55% Alcool 45%</t>
  </si>
  <si>
    <t>Florihana</t>
  </si>
  <si>
    <t>Mélange HE alcool</t>
  </si>
  <si>
    <t>ECH-BER001</t>
  </si>
  <si>
    <t>Bergamote Italie BIO CE</t>
  </si>
  <si>
    <t>ECH-BER002</t>
  </si>
  <si>
    <t>Bergamote incolore sans furocoumarine Italie BIO CE</t>
  </si>
  <si>
    <t>ECH-BER003</t>
  </si>
  <si>
    <t>Bergamote FCF HE Italie BIO</t>
  </si>
  <si>
    <t>ECH-BUD001</t>
  </si>
  <si>
    <t>Pure Australian Buddha Wood Oil SMP</t>
  </si>
  <si>
    <t>Univar</t>
  </si>
  <si>
    <t>ECH-CAC001</t>
  </si>
  <si>
    <t>Cocoa absolute</t>
  </si>
  <si>
    <t>Bioland</t>
  </si>
  <si>
    <t>ECH-CAC002</t>
  </si>
  <si>
    <t>Cocoa absolute 30% / ETH</t>
  </si>
  <si>
    <t>ECH-CAC003</t>
  </si>
  <si>
    <t>Cocoa Select  CO2 Extract</t>
  </si>
  <si>
    <t>Theobroma Cacao Extract</t>
  </si>
  <si>
    <t>ECH-CAD001</t>
  </si>
  <si>
    <t>HE Cade rectifiée BIO</t>
  </si>
  <si>
    <t>Juniperus oxycedrus oil</t>
  </si>
  <si>
    <t>ECH-CAL001</t>
  </si>
  <si>
    <t>Extrait CO2 Calendula Marigold flower</t>
  </si>
  <si>
    <t>Flavex</t>
  </si>
  <si>
    <t>Calendula Officinalis flower extract</t>
  </si>
  <si>
    <t>ECH-CAM001</t>
  </si>
  <si>
    <t>HE Camomille matricaire bio</t>
  </si>
  <si>
    <t>Diffusions aromatiques</t>
  </si>
  <si>
    <t>Matricaria Recutita oil</t>
  </si>
  <si>
    <t>ECH-CAM002</t>
  </si>
  <si>
    <t>HE Camomille romaine</t>
  </si>
  <si>
    <t>Floral Concept</t>
  </si>
  <si>
    <t>ECH-CAM003</t>
  </si>
  <si>
    <t>HE Camomille sauvage Maroc</t>
  </si>
  <si>
    <t>ECH-CAM004</t>
  </si>
  <si>
    <t>HE Camomille bleue Egypte</t>
  </si>
  <si>
    <t>ECH-CAM005</t>
  </si>
  <si>
    <t>Camomile Flower CO2-to extract organic</t>
  </si>
  <si>
    <t>ECH-CAM006</t>
  </si>
  <si>
    <t>HE Camomille allemande</t>
  </si>
  <si>
    <t>Couleur bleue, riche en oxyde de bisabolol
Prix Helpac</t>
  </si>
  <si>
    <t>ECH-CAM007</t>
  </si>
  <si>
    <t>Chamaemelum nobile (ancienne appellation : Anthemis nobilis)</t>
  </si>
  <si>
    <t>ECH-CAN001</t>
  </si>
  <si>
    <t>HE Cannelle Chine</t>
  </si>
  <si>
    <t>ECH-CAR001</t>
  </si>
  <si>
    <t>HE Carvi Finlande</t>
  </si>
  <si>
    <t>ECH-CED001</t>
  </si>
  <si>
    <t>Cèdre Virginie</t>
  </si>
  <si>
    <t>ECH-CED002</t>
  </si>
  <si>
    <t>HE Cèdre Atlas BIO</t>
  </si>
  <si>
    <t>ECH-CED003</t>
  </si>
  <si>
    <t>HE Cèdre de l'Himalaya</t>
  </si>
  <si>
    <t>ECH-CED004</t>
  </si>
  <si>
    <t>ECH-CED005</t>
  </si>
  <si>
    <t>Algovital</t>
  </si>
  <si>
    <t>ECH-CHA001</t>
  </si>
  <si>
    <t>Champaea blanche absolue</t>
  </si>
  <si>
    <t>Argeville</t>
  </si>
  <si>
    <t>ECH-CHL001</t>
  </si>
  <si>
    <t>CVB Chlorella Vulgaris butter, Beurre de Chlorelle</t>
  </si>
  <si>
    <t>Chlorella vulgaris powder and ribes nigrum (blackcurrant) seed oil and olea europaea (olive) fruit oil and hydrogenated vegetable oil</t>
  </si>
  <si>
    <t>Beurre</t>
  </si>
  <si>
    <t>46.60-/kg par emballage de 25 kg</t>
  </si>
  <si>
    <t xml:space="preserve"> Pas de % spécifique recommandé,  point de fusion = 50-60°C . Incorporer en phase grasse chauffée avant émulsion. Si les autres composants de la phase grasse doivent être chauffés très fort et très longtemps, ajouter le beurre en fin de chauffe avant émulsion</t>
  </si>
  <si>
    <t>ECH-CIR001</t>
  </si>
  <si>
    <t>Cire abeille abs</t>
  </si>
  <si>
    <t>ECH-CIS001</t>
  </si>
  <si>
    <t>Ciste absolue</t>
  </si>
  <si>
    <t>ECH-CIS002</t>
  </si>
  <si>
    <t>HE Ciste Labdanifère</t>
  </si>
  <si>
    <t>Puressentiel</t>
  </si>
  <si>
    <t>ECH-CIS003</t>
  </si>
  <si>
    <t>Cistus spain organic oil</t>
  </si>
  <si>
    <t>ECH-CIS004</t>
  </si>
  <si>
    <t>HE Ciste Espagne bio</t>
  </si>
  <si>
    <t>Cistus Ladaniferus oil</t>
  </si>
  <si>
    <t>ECH-CIS005</t>
  </si>
  <si>
    <t>HE Ciste Espagne</t>
  </si>
  <si>
    <t>ECH-CIS006</t>
  </si>
  <si>
    <t>Selectone Arg S9 CIS101</t>
  </si>
  <si>
    <t>ECH-CIT001</t>
  </si>
  <si>
    <t>HE Citron BIO</t>
  </si>
  <si>
    <t>ECH-CIT002</t>
  </si>
  <si>
    <t>HE Citron vert BIO</t>
  </si>
  <si>
    <t>Campisi Citrus</t>
  </si>
  <si>
    <t>ECH-COC001</t>
  </si>
  <si>
    <t>Organic Coconut Select CO2 Extract</t>
  </si>
  <si>
    <t>Cocos Nucifera Pulp Extract</t>
  </si>
  <si>
    <t>Prix à revoir (en Livres)</t>
  </si>
  <si>
    <t>ECH-CON001</t>
  </si>
  <si>
    <t>Lexgard Natural</t>
  </si>
  <si>
    <t>ECH-CON002</t>
  </si>
  <si>
    <t>EPP</t>
  </si>
  <si>
    <t>ECH-CON006</t>
  </si>
  <si>
    <t>Extrait hydroglycériné BIO Pamplemousse</t>
  </si>
  <si>
    <t>ECH-CON007</t>
  </si>
  <si>
    <t>ABS White Willow Bark Extract Powder</t>
  </si>
  <si>
    <t>Active Micro</t>
  </si>
  <si>
    <t>Punica Granatum Sterols</t>
  </si>
  <si>
    <t>MOQ 5kg
10 kg : 181,10€/kg</t>
  </si>
  <si>
    <t>ECH-CON008</t>
  </si>
  <si>
    <t>Velsan CGE</t>
  </si>
  <si>
    <t>Clariant</t>
  </si>
  <si>
    <t xml:space="preserve">Caprylyl Glyceryl Ether </t>
  </si>
  <si>
    <t>ECH-CON009</t>
  </si>
  <si>
    <t>AMIPERFECT ER-SMI</t>
  </si>
  <si>
    <t>Gaultheria Procumbens (Wintergreen) Leaf Extract</t>
  </si>
  <si>
    <t>330 pour 5kg (offre spéciale)
310 pour 10kg</t>
  </si>
  <si>
    <t>PEELING</t>
  </si>
  <si>
    <t>ECH-CON010</t>
  </si>
  <si>
    <t>Cosphaderm Magnolia Extract 98</t>
  </si>
  <si>
    <t xml:space="preserve">Magnolia Officinalis Bark Extract </t>
  </si>
  <si>
    <t>Anti-fongique, anti-microbien, anti inflammatoire et anti-oxydant</t>
  </si>
  <si>
    <t>0,2% (in combination with other antibacterials for alternative preservation) or 0.05 % (as an active substance against caries or acne). Soluble in oils, alcohols and diols.
Riche en magnolol et Honokiol, antibactérien et antifongique
Method 1: dissolve the extract in a little part of the oil phase and add it directly before the emulsification step to the warm rest of the oil phase.
Method 2: dissolve the extract in Cosphaderm® Diols and at it at the end to the final formulation.
564,29 ; 535,21 €/kg H.T (par 5kg)</t>
  </si>
  <si>
    <t>ECH-CON011</t>
  </si>
  <si>
    <t>Dermosoft 1388 ECO</t>
  </si>
  <si>
    <t>Glycerin; Aqua; Sodium Levulinate; Sodium Anisate</t>
  </si>
  <si>
    <t>ECH-CON012</t>
  </si>
  <si>
    <t>Rosamox</t>
  </si>
  <si>
    <t>Helianthus Annuus (Sunflower) Seed Oil (and) Rosmarinus Officinalis (Rosemary) Leaf Extract</t>
  </si>
  <si>
    <t>Anti-oxydant, active ingredient</t>
  </si>
  <si>
    <t>MOQ : 5 kg
Prix : 223.40€/kg HT DDP France 
Délai : 4 à 6 semaines</t>
  </si>
  <si>
    <t xml:space="preserve">Anti-oxydant </t>
  </si>
  <si>
    <t>ECH-CON013</t>
  </si>
  <si>
    <t>Cosphaderm T-70 NON GMO ECO</t>
  </si>
  <si>
    <t>Tocopherol, Helianthus Annuus Seed Oil</t>
  </si>
  <si>
    <t>70% Tocopherol 
30% HV de tournersol</t>
  </si>
  <si>
    <t>1406-66-2 / 8001-21-6</t>
  </si>
  <si>
    <t>ECH-CON014</t>
  </si>
  <si>
    <t>FortiCulture Coconut</t>
  </si>
  <si>
    <t>Aqua, Cocos Nucifera (Coconut) Fruit Extract, Saccharomyces</t>
  </si>
  <si>
    <t>Conservateur large spectre</t>
  </si>
  <si>
    <t>Non ionique
Anti-âge
Equivalent au Leucidal large spectre
Favorise la croissance des peptides anti-microbiens</t>
  </si>
  <si>
    <t>Preservative</t>
  </si>
  <si>
    <t>ECH-CON015</t>
  </si>
  <si>
    <t>Propanediol natural palm free</t>
  </si>
  <si>
    <t>Propanediol</t>
  </si>
  <si>
    <t xml:space="preserve">Conservateur  </t>
  </si>
  <si>
    <t>Prix approximatif à vérifier</t>
  </si>
  <si>
    <t>ECH-CON016</t>
  </si>
  <si>
    <t>Cosphaderm T-90 NON GMO</t>
  </si>
  <si>
    <t xml:space="preserve">Tocopherol  </t>
  </si>
  <si>
    <t xml:space="preserve">Antioxydant </t>
  </si>
  <si>
    <t>Pour remplacer le Coviox 90. Mais ne possède pas d'HV en mélange.</t>
  </si>
  <si>
    <t>ECH-CON017</t>
  </si>
  <si>
    <t>Cosphaderm Zinc Lactate Natural</t>
  </si>
  <si>
    <t>Zinc Lactate</t>
  </si>
  <si>
    <t>Conservateur large spectre, antifongique</t>
  </si>
  <si>
    <t xml:space="preserve">MOQ 20kg  </t>
  </si>
  <si>
    <t>ECH-COP001</t>
  </si>
  <si>
    <t>HE Copahu cobaiba</t>
  </si>
  <si>
    <t>ECH-COP002</t>
  </si>
  <si>
    <t>Balsam Copaiba Organic SMP</t>
  </si>
  <si>
    <t xml:space="preserve">Huile essentielle </t>
  </si>
  <si>
    <t>ECH-COU001</t>
  </si>
  <si>
    <t>Coumarine naturelle</t>
  </si>
  <si>
    <t>Isolat</t>
  </si>
  <si>
    <t>Insoluble dans l'eau, soluble dans l'éthanol
Pour 1kg</t>
  </si>
  <si>
    <t>ECH-CRI001</t>
  </si>
  <si>
    <t>Criste Marine France BIO CE</t>
  </si>
  <si>
    <t>ECH-CRI002</t>
  </si>
  <si>
    <t>HE Christe marine BIO</t>
  </si>
  <si>
    <t>ECH-CUR001</t>
  </si>
  <si>
    <t>Curcuma côte d'ivoire BIO CE</t>
  </si>
  <si>
    <t>ECH-CUR002</t>
  </si>
  <si>
    <t>HE feuille curry</t>
  </si>
  <si>
    <t>Prod Madagascar</t>
  </si>
  <si>
    <t>ECH-CUR003</t>
  </si>
  <si>
    <t xml:space="preserve">HE curcuma </t>
  </si>
  <si>
    <t>ECH-CUR004</t>
  </si>
  <si>
    <t>Curcuma Longa HE SCFE (turmeric)</t>
  </si>
  <si>
    <t>ECH-CYP001</t>
  </si>
  <si>
    <t>HE Cyprès toujours vert bio</t>
  </si>
  <si>
    <t>Cupressus sempervirens oil</t>
  </si>
  <si>
    <t>ECH-CYP002</t>
  </si>
  <si>
    <t>ECH-CYP003</t>
  </si>
  <si>
    <t>HE Pure Aus White Cypress Wood Oil</t>
  </si>
  <si>
    <t>ECH-ENC001</t>
  </si>
  <si>
    <t>HE Encens</t>
  </si>
  <si>
    <t>ECH-ENC002</t>
  </si>
  <si>
    <t>HE Encens Oliban</t>
  </si>
  <si>
    <t>Boswellia Carterii</t>
  </si>
  <si>
    <t>ECH-ENC003</t>
  </si>
  <si>
    <t>HE Frankincense Oil Neglecta Organic SMP</t>
  </si>
  <si>
    <t>ECH-EPI001</t>
  </si>
  <si>
    <t xml:space="preserve">HE Epinette noire </t>
  </si>
  <si>
    <t xml:space="preserve">Picea mariana leaf oil </t>
  </si>
  <si>
    <t>ECH-EST001</t>
  </si>
  <si>
    <t>HE Estragon</t>
  </si>
  <si>
    <t xml:space="preserve">Artemisia dracunculus  </t>
  </si>
  <si>
    <t>ECH-EUC001</t>
  </si>
  <si>
    <t>HE Eucalyptus Citriodora</t>
  </si>
  <si>
    <t>ECH-EUC002</t>
  </si>
  <si>
    <t>HE Eucalyptus Dives BIO</t>
  </si>
  <si>
    <t>HE Eucalyptus Dives</t>
  </si>
  <si>
    <t>Pharmacie des 4 chemins</t>
  </si>
  <si>
    <t>ECH-EUC003</t>
  </si>
  <si>
    <t>HE Euclyptus radiata (officinal)</t>
  </si>
  <si>
    <t>ECH-EUC004</t>
  </si>
  <si>
    <t>HE Eucalyptus Globulus rectifié HE BIO</t>
  </si>
  <si>
    <t>ECH-FRA001</t>
  </si>
  <si>
    <t>Frangipanier absolue A1 FRA101</t>
  </si>
  <si>
    <t>ECH-GAU001</t>
  </si>
  <si>
    <t>HE Gaulthérie</t>
  </si>
  <si>
    <t>Docteur Valnet</t>
  </si>
  <si>
    <t>ECH-GER001</t>
  </si>
  <si>
    <t>Géranium absolue A2 GER101</t>
  </si>
  <si>
    <t>ECH-GER002</t>
  </si>
  <si>
    <t>HE Géranium Rosat</t>
  </si>
  <si>
    <t>ECH-GER003</t>
  </si>
  <si>
    <t>Géranium rose type bourbon Congo HE BIO</t>
  </si>
  <si>
    <t>ECH-GER004</t>
  </si>
  <si>
    <t>Géranium Egypte HE BIO</t>
  </si>
  <si>
    <t>ECH-GIN001</t>
  </si>
  <si>
    <t>Gingembre frais côte d'ivoire BIO CE</t>
  </si>
  <si>
    <t>ECH-GIN002</t>
  </si>
  <si>
    <t>HE Gingergrass</t>
  </si>
  <si>
    <t>ECH-GIN003</t>
  </si>
  <si>
    <t>HE Gingembre Inde</t>
  </si>
  <si>
    <t>ECH-GIN004</t>
  </si>
  <si>
    <t>Gingembre extrait CO2 Inde</t>
  </si>
  <si>
    <t>ECH-GIN005</t>
  </si>
  <si>
    <t xml:space="preserve">HE Gingembre </t>
  </si>
  <si>
    <t xml:space="preserve">Zingiber officinalis </t>
  </si>
  <si>
    <t>ECH-GRO001</t>
  </si>
  <si>
    <t>Gromwell Root Total CO2 Extract</t>
  </si>
  <si>
    <t>Simmondsia Chinensis Seed Oil and Lithospermum Erythorhizon Root Extract</t>
  </si>
  <si>
    <t>ECH-HB067</t>
  </si>
  <si>
    <t>Nat Hazelnut T.Oil</t>
  </si>
  <si>
    <t>Naturochim</t>
  </si>
  <si>
    <t xml:space="preserve">Corylus Avellana Seed Oil </t>
  </si>
  <si>
    <t>ECH-HBC001</t>
  </si>
  <si>
    <t>Macérât Millepertuis BIO</t>
  </si>
  <si>
    <t>ECH-HBC002</t>
  </si>
  <si>
    <t>HV Avocat  BIO</t>
  </si>
  <si>
    <t>ECH-HBC003</t>
  </si>
  <si>
    <t>HV Calophylle Inophyle BIO</t>
  </si>
  <si>
    <t>ECH-HBC004</t>
  </si>
  <si>
    <t>HV Germe de blé</t>
  </si>
  <si>
    <t>Aroma Zone (prix Helpac)</t>
  </si>
  <si>
    <t>ECH-HBC005</t>
  </si>
  <si>
    <t>Macérât Calendula BIO</t>
  </si>
  <si>
    <t>ECH-HBC006</t>
  </si>
  <si>
    <t>Macérât Arnica BIO</t>
  </si>
  <si>
    <t>ECH-HBC007</t>
  </si>
  <si>
    <t>HV Noisette BIO</t>
  </si>
  <si>
    <t>ECH-HBC008</t>
  </si>
  <si>
    <t>Karité beurre</t>
  </si>
  <si>
    <t>OKA</t>
  </si>
  <si>
    <t>ECH-HBC009</t>
  </si>
  <si>
    <t>Olifeel TD 7525</t>
  </si>
  <si>
    <t>Nordmann (anciennement COPCI)</t>
  </si>
  <si>
    <t>TRIOLEIN GLYCERYL DIOLEATE</t>
  </si>
  <si>
    <t>Ester sans palme</t>
  </si>
  <si>
    <t>ECH-HBC010</t>
  </si>
  <si>
    <t xml:space="preserve">Macérât graines de roucou Sésame BIO </t>
  </si>
  <si>
    <t>La Canopée</t>
  </si>
  <si>
    <t>ECH-HBC011</t>
  </si>
  <si>
    <t>SustOleo MCT</t>
  </si>
  <si>
    <t xml:space="preserve">Triheptanoin </t>
  </si>
  <si>
    <t xml:space="preserve">Emollient, Solubilizer and pigment wetting agent </t>
  </si>
  <si>
    <t>ECH-HBC012</t>
  </si>
  <si>
    <t xml:space="preserve">Macérât graines de roucou Macadamia </t>
  </si>
  <si>
    <t>ECH-HBC013</t>
  </si>
  <si>
    <t>HV Avocat vierge BIO</t>
  </si>
  <si>
    <t>Cauvin</t>
  </si>
  <si>
    <t>ECH-HBC014</t>
  </si>
  <si>
    <t>HV Chanvre vierge BIO</t>
  </si>
  <si>
    <t>ECH-HBC015</t>
  </si>
  <si>
    <t>HV noix vierge BIO</t>
  </si>
  <si>
    <t>ECH-HBC016</t>
  </si>
  <si>
    <t>HV Cameline vierge BIO</t>
  </si>
  <si>
    <t>ECH-HBC017</t>
  </si>
  <si>
    <t>HV Ricin vierge BIO</t>
  </si>
  <si>
    <t>Helpac</t>
  </si>
  <si>
    <t>ECH-HBC018</t>
  </si>
  <si>
    <t>HV Buriti</t>
  </si>
  <si>
    <t>ECH-HBC019</t>
  </si>
  <si>
    <t>Natural Rosehip oil</t>
  </si>
  <si>
    <t>Granasur</t>
  </si>
  <si>
    <t>ECH-HBC020</t>
  </si>
  <si>
    <t>HV argan pure non torréfiée</t>
  </si>
  <si>
    <t>DermArgan</t>
  </si>
  <si>
    <t>Huile végétale</t>
  </si>
  <si>
    <t>ECH-HBC021</t>
  </si>
  <si>
    <t>Naturel Rosehip oil lycotop</t>
  </si>
  <si>
    <t>ECH-HBC022</t>
  </si>
  <si>
    <t xml:space="preserve">Beurre de Karité </t>
  </si>
  <si>
    <t>Chimiparf</t>
  </si>
  <si>
    <t>ECH-HBC023</t>
  </si>
  <si>
    <t>Beurre de cacao</t>
  </si>
  <si>
    <t>ECH-HBC024</t>
  </si>
  <si>
    <t xml:space="preserve">HV argan  </t>
  </si>
  <si>
    <t>ECH-HBC025</t>
  </si>
  <si>
    <t>HV de pépins de figue de barbarie (prix Helpac)</t>
  </si>
  <si>
    <t>ECH-HBC026</t>
  </si>
  <si>
    <t>ABS Pomegranate Sterol</t>
  </si>
  <si>
    <t>Active Concept</t>
  </si>
  <si>
    <t>ECH-HBC027</t>
  </si>
  <si>
    <t>Lipolami Chardon marie ER</t>
  </si>
  <si>
    <t>ECH-HBC028</t>
  </si>
  <si>
    <t>HV de café</t>
  </si>
  <si>
    <t>Kaffe Bueno</t>
  </si>
  <si>
    <t>ECH-HBC029</t>
  </si>
  <si>
    <t xml:space="preserve">HV Rose musquée du Chilie </t>
  </si>
  <si>
    <t>ECH-HBC030</t>
  </si>
  <si>
    <t>Beurre de cacao du Cameroune</t>
  </si>
  <si>
    <t>Aromatic Monde</t>
  </si>
  <si>
    <t>ECH-HBC031</t>
  </si>
  <si>
    <t>ECH-HBC032</t>
  </si>
  <si>
    <t>Macérât BIO Calendula</t>
  </si>
  <si>
    <t>ECH-HBC034</t>
  </si>
  <si>
    <t>Macérât BIO Pâquerette</t>
  </si>
  <si>
    <t>ECH-HBC035</t>
  </si>
  <si>
    <t>HV Opuntia</t>
  </si>
  <si>
    <t>ECH-HBC036</t>
  </si>
  <si>
    <t>HV Calophyllum</t>
  </si>
  <si>
    <t>ECH-HBC037</t>
  </si>
  <si>
    <t>Chia Oil</t>
  </si>
  <si>
    <t>Biocosmethic</t>
  </si>
  <si>
    <t>Salvia Hispanica Seed Oil</t>
  </si>
  <si>
    <t>ECH-HBC038</t>
  </si>
  <si>
    <t>EFADUO Blackcurrant Seed Oil</t>
  </si>
  <si>
    <t>Blackcurrant Seed Oil</t>
  </si>
  <si>
    <t>ECH-HBC039</t>
  </si>
  <si>
    <t>Ucuuba Butter</t>
  </si>
  <si>
    <t>Virola Surinamensis Seed Butter</t>
  </si>
  <si>
    <t>Beurre végétale</t>
  </si>
  <si>
    <t>ECH-HBC040</t>
  </si>
  <si>
    <t>Blue Tocol Bilberry Seed Oil</t>
  </si>
  <si>
    <t>Vaccinum Myrtillus Seed Oil</t>
  </si>
  <si>
    <t>ECH-HBC041</t>
  </si>
  <si>
    <t>Fermentoil Sunflower Seed-MR</t>
  </si>
  <si>
    <t>Huile végétale fermentée</t>
  </si>
  <si>
    <t>ECH-HBC042</t>
  </si>
  <si>
    <t>Fermentoil Green Tea Seed-MR</t>
  </si>
  <si>
    <t>ECH-HBC043</t>
  </si>
  <si>
    <t>Fermentoil Olive-MR</t>
  </si>
  <si>
    <t>ECH-HBC044</t>
  </si>
  <si>
    <t>Pracaxi oil</t>
  </si>
  <si>
    <t>Pentaclethra macroloba seed oil</t>
  </si>
  <si>
    <t>ECH-HBC045</t>
  </si>
  <si>
    <t>Keteol V</t>
  </si>
  <si>
    <t>Phrodhyg</t>
  </si>
  <si>
    <t>Phytosqualan</t>
  </si>
  <si>
    <t>ECH-HBC046</t>
  </si>
  <si>
    <t>Huile d'argousier bio</t>
  </si>
  <si>
    <t>Natvit</t>
  </si>
  <si>
    <t>HIPPOPHAE RHAMNOIDES OIL</t>
  </si>
  <si>
    <t>ECH-HBC047</t>
  </si>
  <si>
    <t>Beracare BBA organic</t>
  </si>
  <si>
    <t>Pentaclethra macroloba seed oil, tocopherol</t>
  </si>
  <si>
    <t>ECH-HBC048</t>
  </si>
  <si>
    <t>Olifeel Pearls</t>
  </si>
  <si>
    <t>C10-18 Triglycérides</t>
  </si>
  <si>
    <t>Cire végétale</t>
  </si>
  <si>
    <t>ECH-HBC050</t>
  </si>
  <si>
    <t xml:space="preserve">Huile d'abricot Bio </t>
  </si>
  <si>
    <t xml:space="preserve">Non </t>
  </si>
  <si>
    <t>ECH-HBC051</t>
  </si>
  <si>
    <t>Squalane végétal</t>
  </si>
  <si>
    <t>Aroma-zone</t>
  </si>
  <si>
    <t>ECH-HBC052</t>
  </si>
  <si>
    <t>Plantasens Olive Squalane</t>
  </si>
  <si>
    <t>ECH-HBC053</t>
  </si>
  <si>
    <t>Huile de Buriti</t>
  </si>
  <si>
    <t>Mauritia flexuosa fruit oil</t>
  </si>
  <si>
    <t>ECH-HBC054</t>
  </si>
  <si>
    <t>HV Noyau d'abricot BIO</t>
  </si>
  <si>
    <t>Prunus Armeniaca Kernel oil</t>
  </si>
  <si>
    <t>ECH-HBC055</t>
  </si>
  <si>
    <t>HV Tournesol BIO</t>
  </si>
  <si>
    <t>Helianthus Annuus Seed oil</t>
  </si>
  <si>
    <t>ECH-HBC056</t>
  </si>
  <si>
    <t>HV Tournesol Linoléique BIO</t>
  </si>
  <si>
    <t>ECH-HBC057</t>
  </si>
  <si>
    <t>HV Tournesol Oléique BIO</t>
  </si>
  <si>
    <t>ECH-HBC058</t>
  </si>
  <si>
    <t>HV d'argan BIO</t>
  </si>
  <si>
    <t>ECH-HBC059</t>
  </si>
  <si>
    <t>HV Cacay de Colombie</t>
  </si>
  <si>
    <t>Caryodendron Orinocense Oil</t>
  </si>
  <si>
    <t>ECH-HBC060</t>
  </si>
  <si>
    <t>Beurre de Karité Végétal</t>
  </si>
  <si>
    <t>ECH-HBC061</t>
  </si>
  <si>
    <t>Beurre de Cacao Blanc</t>
  </si>
  <si>
    <t xml:space="preserve">Prix Exaflor </t>
  </si>
  <si>
    <t>ECH-HBC062</t>
  </si>
  <si>
    <t>Beurre Végétal Illipé</t>
  </si>
  <si>
    <t>Make it Beauty</t>
  </si>
  <si>
    <t>ECH-HBC063</t>
  </si>
  <si>
    <t>HV Buah Merah</t>
  </si>
  <si>
    <t>Pandanus Conoidus Fruit Oil</t>
  </si>
  <si>
    <t>à vérifier</t>
  </si>
  <si>
    <t>ECH-HBC064</t>
  </si>
  <si>
    <t>HV souchet BIO</t>
  </si>
  <si>
    <t>Cyperrus Esculentus Oil (à vérifier)</t>
  </si>
  <si>
    <t>Prix pour 50kg</t>
  </si>
  <si>
    <t>ECH-HBC065</t>
  </si>
  <si>
    <t>HV Kukui Nut</t>
  </si>
  <si>
    <t>MOQ 20kg</t>
  </si>
  <si>
    <t>ECH-HBC066</t>
  </si>
  <si>
    <t>HV Lentisque de Kabylie</t>
  </si>
  <si>
    <t>Pistacia Lentiscus Oil</t>
  </si>
  <si>
    <t>ECH-HBC068</t>
  </si>
  <si>
    <t>Capiseal</t>
  </si>
  <si>
    <t xml:space="preserve">Aceto Interactif </t>
  </si>
  <si>
    <t>Helianthus Annuus (Sunflower) Seed Extract (and) C9-12 Alkane (and) Squalane (and)
Argania Spinosa Kernel Oil (and) Citrullus Lanatus (Watermelon) Seed Oil (and) Coco_x0002_Caprylate/Caprate</t>
  </si>
  <si>
    <t>ECH-HBC069</t>
  </si>
  <si>
    <t>HV Carapate</t>
  </si>
  <si>
    <t>black Castor Seed Oil</t>
  </si>
  <si>
    <t>Texture proche de l'huile de ricin</t>
  </si>
  <si>
    <t>ECH-HBC070</t>
  </si>
  <si>
    <t>HV Pépins de Figue de Barbarie Bio</t>
  </si>
  <si>
    <t>Opuntia Ficus-indica stem extract, Maltodextrin</t>
  </si>
  <si>
    <t>ECH-HBC071</t>
  </si>
  <si>
    <t>Beurre d'olive</t>
  </si>
  <si>
    <t>ECH-HBC072</t>
  </si>
  <si>
    <t>HV de tomate</t>
  </si>
  <si>
    <t>ECH-HBC073</t>
  </si>
  <si>
    <t>Beurre d'amande</t>
  </si>
  <si>
    <t>ECH-HBC074</t>
  </si>
  <si>
    <t>Huile vierge de buah merah</t>
  </si>
  <si>
    <t>Jedwards</t>
  </si>
  <si>
    <t>Fournisseur potentiel pour remplacer DKSH</t>
  </si>
  <si>
    <t>ECH-HBC075</t>
  </si>
  <si>
    <t>Cire de soja</t>
  </si>
  <si>
    <t>ECH-HBC076</t>
  </si>
  <si>
    <t>ABWAX Mimic Beeswax</t>
  </si>
  <si>
    <t>Nordmann (Brasca)</t>
  </si>
  <si>
    <t>Oryza Sativa (Rice) Cera (Wax), Rhus Succedanea Fruit Cera, Shorea Robusta Resin, Squalene</t>
  </si>
  <si>
    <t>ECH-HBC077</t>
  </si>
  <si>
    <t>Abwax Rhus Wax Pearls</t>
  </si>
  <si>
    <t>Rhus Succedanea Fruit Cera</t>
  </si>
  <si>
    <t>ECH-HBC078</t>
  </si>
  <si>
    <t xml:space="preserve">Emotion Light </t>
  </si>
  <si>
    <t>Nordmann (Roelmi)</t>
  </si>
  <si>
    <t>Triperlagonin OU C8-C12 Acid Triglyceride</t>
  </si>
  <si>
    <t>Prix pour fût de 190kg
Issu du tournesol et du chardon-marie
Equivalent au MCT en terme de sensorialité</t>
  </si>
  <si>
    <t>ECH-HBC079</t>
  </si>
  <si>
    <t>Olifeel Butter</t>
  </si>
  <si>
    <t>Triolen, Glyceryl Dioleate, C10-18 Triglycerides</t>
  </si>
  <si>
    <t>Prix pour sac de 25kg
Point de fusion : 45-52°C</t>
  </si>
  <si>
    <t>ECH-HBC080</t>
  </si>
  <si>
    <t>Nat Organic Apricot Wax</t>
  </si>
  <si>
    <t>HYDROGENATED APRICOT KERNEL OIL</t>
  </si>
  <si>
    <t>Point de fusion : 67-73°C</t>
  </si>
  <si>
    <t>ECH-HBC081</t>
  </si>
  <si>
    <t>Organic MCT oil</t>
  </si>
  <si>
    <t>AGBV Nutrition</t>
  </si>
  <si>
    <t>Caprylic Capric Triglyceride</t>
  </si>
  <si>
    <t>Issus de l'huile de coco Bio !</t>
  </si>
  <si>
    <t>ECH-HBC082</t>
  </si>
  <si>
    <t>Nat organic Argan wax</t>
  </si>
  <si>
    <t>Argania Spinosa Kernel Oil, Hydrogenated Argania Spinosa Kernel Oil</t>
  </si>
  <si>
    <t>Pas sûre de l'INCI</t>
  </si>
  <si>
    <t>ECH-HBC083</t>
  </si>
  <si>
    <t>Premium Organic Coconut Butter</t>
  </si>
  <si>
    <t>Cocos Nucifera Oil, Hydrogenated Cocos Nucifera Oil</t>
  </si>
  <si>
    <t>ECH-HBC084</t>
  </si>
  <si>
    <t xml:space="preserve">Huile végétale d'Abricot </t>
  </si>
  <si>
    <t>ECH-HBC085</t>
  </si>
  <si>
    <t xml:space="preserve">Chlorella Butter </t>
  </si>
  <si>
    <t>EfpBiotek/DKSH</t>
  </si>
  <si>
    <t>ECH-HBC086</t>
  </si>
  <si>
    <t xml:space="preserve">Organic Hibiscus Oil </t>
  </si>
  <si>
    <t xml:space="preserve">MED EXOIL </t>
  </si>
  <si>
    <t xml:space="preserve">Hibiscus Sabdariffa seed oil </t>
  </si>
  <si>
    <t>ECH-HBC087</t>
  </si>
  <si>
    <t xml:space="preserve">Organic Nigella Oil </t>
  </si>
  <si>
    <t xml:space="preserve">Nigella Sattiva seed oil </t>
  </si>
  <si>
    <t>ECH-HBC088</t>
  </si>
  <si>
    <t xml:space="preserve">Organic Prickly Pears Seeds Oil </t>
  </si>
  <si>
    <t xml:space="preserve">Opuntia Ficus-indica seed oil </t>
  </si>
  <si>
    <t>ECH-HBC089</t>
  </si>
  <si>
    <t>HV Pépins de Courge Bio</t>
  </si>
  <si>
    <t xml:space="preserve">Organic Virgin Pumpkin seed oil </t>
  </si>
  <si>
    <t>ECH-HBC090</t>
  </si>
  <si>
    <t xml:space="preserve">HV Noisette Toastée </t>
  </si>
  <si>
    <t xml:space="preserve">Roasted Hazelnut virgin oil </t>
  </si>
  <si>
    <t>ECH-HBC091</t>
  </si>
  <si>
    <t>Emogreen L 15</t>
  </si>
  <si>
    <t>Seppic</t>
  </si>
  <si>
    <t>Fabriqué par TOTAL !!</t>
  </si>
  <si>
    <t>ECH-HBC092</t>
  </si>
  <si>
    <t>Emogreen L 19</t>
  </si>
  <si>
    <t>ECH-HBC093</t>
  </si>
  <si>
    <t>Huile de karanja vierge</t>
  </si>
  <si>
    <t>Aldivia</t>
  </si>
  <si>
    <t>Prix pour 23kg</t>
  </si>
  <si>
    <t>ECH-HBC094</t>
  </si>
  <si>
    <t>Huile de framboise vierge</t>
  </si>
  <si>
    <t>ECH-HBC095</t>
  </si>
  <si>
    <t>Ubuntu Marula vierge</t>
  </si>
  <si>
    <t>ECH-HBC096</t>
  </si>
  <si>
    <t>Ubuntu Mongongo vierge</t>
  </si>
  <si>
    <t>ECH-HBC097</t>
  </si>
  <si>
    <t>Huile de Xiamerine</t>
  </si>
  <si>
    <t>ECH-HBC098</t>
  </si>
  <si>
    <t>Viamerine 10 000 désodorisée</t>
  </si>
  <si>
    <t>Cire</t>
  </si>
  <si>
    <t>Pour 4,6kg</t>
  </si>
  <si>
    <t>ECH-HBC099</t>
  </si>
  <si>
    <t>Lipex Shea solve</t>
  </si>
  <si>
    <t>Shea Butter Ethyl Esters</t>
  </si>
  <si>
    <t>33€ pour 9kg
28€ pour 185kg (fut)
Environ 18€ une palette de futs !
Odeur légère de gras
Texture ultra légère / sèche !
Issu du noyau de karité</t>
  </si>
  <si>
    <t>1456887-14-1</t>
  </si>
  <si>
    <t>ECH-HBC100</t>
  </si>
  <si>
    <t xml:space="preserve">DUB TGIS </t>
  </si>
  <si>
    <t xml:space="preserve">Stearinerie Dubois </t>
  </si>
  <si>
    <t>Triisostearate de glycerol</t>
  </si>
  <si>
    <t>ECH-HBC101</t>
  </si>
  <si>
    <t>Jojoba oil organic</t>
  </si>
  <si>
    <t xml:space="preserve">Huile végétale  </t>
  </si>
  <si>
    <t>Provenance : Israël</t>
  </si>
  <si>
    <t>ECH-HBC102</t>
  </si>
  <si>
    <t xml:space="preserve">Fleurs de Lavande séchées </t>
  </si>
  <si>
    <t>Herbier de France</t>
  </si>
  <si>
    <t>Lavandula Angustifolia Flower</t>
  </si>
  <si>
    <t>Fleurs</t>
  </si>
  <si>
    <t>ECH-HBC103</t>
  </si>
  <si>
    <t>Macérât de lavande fleur</t>
  </si>
  <si>
    <t>Olea Europaea fruit oil</t>
  </si>
  <si>
    <t xml:space="preserve">Macérât huileux </t>
  </si>
  <si>
    <t>100g de mélange avec 86% d'huile et 14% de fleurs permet d'obtenir 33g de macérât après filtration</t>
  </si>
  <si>
    <t>ECH-HBC104</t>
  </si>
  <si>
    <t>Ximenia Oil</t>
  </si>
  <si>
    <t xml:space="preserve">Swiss Basilea Ventures </t>
  </si>
  <si>
    <t xml:space="preserve">Ximenia Americana seed oil </t>
  </si>
  <si>
    <t xml:space="preserve">Huile végétale </t>
  </si>
  <si>
    <t xml:space="preserve">CCT like </t>
  </si>
  <si>
    <t>ECH-HBC105</t>
  </si>
  <si>
    <t>Organic virgin Raspberry oil (Huile de pépins de framboise vierge bio)</t>
  </si>
  <si>
    <t>Rubus Idaeus Seed Oil</t>
  </si>
  <si>
    <t>MOQ 5kg (jusqu'au 30/06/2023) sinon 10 ou 25kg</t>
  </si>
  <si>
    <t>Emollient</t>
  </si>
  <si>
    <t>ECH-HBC106</t>
  </si>
  <si>
    <t>Huile de framboise vierge BIO</t>
  </si>
  <si>
    <t>Rubus Idaeus Seed Oil*</t>
  </si>
  <si>
    <t>ECH-HBC107</t>
  </si>
  <si>
    <t>Natura-Tec Abysoft</t>
  </si>
  <si>
    <t>Quimica Masso (Natura-Tec)</t>
  </si>
  <si>
    <t>Crambe Abyssinica Seed Oil Phytosterol Esters</t>
  </si>
  <si>
    <t>Pour 180kg
25kg =&gt; 18,54€</t>
  </si>
  <si>
    <t>ECH-HBC108</t>
  </si>
  <si>
    <t>Huile de chanvre</t>
  </si>
  <si>
    <t>L'CHANVRE - Gouarec - France</t>
  </si>
  <si>
    <t>ECH-HBC109</t>
  </si>
  <si>
    <t>Grums'oil - Huile de café</t>
  </si>
  <si>
    <t>Grums</t>
  </si>
  <si>
    <t>ECH-HBC110</t>
  </si>
  <si>
    <t>ECH-HBC111</t>
  </si>
  <si>
    <t>Citropol H</t>
  </si>
  <si>
    <t>Polycitronellol</t>
  </si>
  <si>
    <t>Texture visqueuse, lourde sous le doigt mais résidu léger</t>
  </si>
  <si>
    <t>ECH-HBC112</t>
  </si>
  <si>
    <t xml:space="preserve">Huile d'Argan bio </t>
  </si>
  <si>
    <t>Odeur légère de chèvre</t>
  </si>
  <si>
    <t>ECH-HBC113</t>
  </si>
  <si>
    <t>Evicare Solve</t>
  </si>
  <si>
    <t>Unipex (Evident ingredients)</t>
  </si>
  <si>
    <t>MOQ 25kg
Texture ultra légère et fluide ! Odeur neutre
Issu du mélange colza, ricin 
Bon dispersant, AG chaines courtes, polaire
Equivalent à la D5</t>
  </si>
  <si>
    <t>ECH-HBC114</t>
  </si>
  <si>
    <t>Muyao Butter virgin</t>
  </si>
  <si>
    <t>FairOils</t>
  </si>
  <si>
    <t>Butyrospermum parkii (Nilotica type)</t>
  </si>
  <si>
    <t>MOQ 51 kg</t>
  </si>
  <si>
    <t>Epaississant/Emollient</t>
  </si>
  <si>
    <t>ECH-HBC115</t>
  </si>
  <si>
    <t>Kaffoil</t>
  </si>
  <si>
    <t>Coffea Arabica Seed Oil</t>
  </si>
  <si>
    <t>Huile non raffinée (existe en raffinée)               Fabricant Kaffe Bueno                                                MOQ : 5kg</t>
  </si>
  <si>
    <t>Emollient/Actif</t>
  </si>
  <si>
    <t>ECH-HBC116</t>
  </si>
  <si>
    <t xml:space="preserve">Blueberry NECTA </t>
  </si>
  <si>
    <t>CRODA (Upcycled beauty company)</t>
  </si>
  <si>
    <t>Vaccinium Myrtillus Seed Oil</t>
  </si>
  <si>
    <t xml:space="preserve">Anti-oxydant et anti lumière bleue </t>
  </si>
  <si>
    <t>Actif anti-oxydant</t>
  </si>
  <si>
    <t>ECH-HBC117</t>
  </si>
  <si>
    <t xml:space="preserve">HV Açaï Brésil </t>
  </si>
  <si>
    <t>EUTERPE OLERACEA FRUIT OIL</t>
  </si>
  <si>
    <t>44,7€ pour 5kg</t>
  </si>
  <si>
    <t>ECH-HBC118</t>
  </si>
  <si>
    <t>HV Brocoli BIO</t>
  </si>
  <si>
    <t>BRASSICA OLERACEA ITALICA SEED OIL</t>
  </si>
  <si>
    <t>65€ pour 1kg</t>
  </si>
  <si>
    <t>ECH-HBC119</t>
  </si>
  <si>
    <t>Kukui Nut Oil crude</t>
  </si>
  <si>
    <t>43€ pour 20kg</t>
  </si>
  <si>
    <t>ECH-HBC120</t>
  </si>
  <si>
    <t>100% crude Illipé Butter</t>
  </si>
  <si>
    <t>36€ pour 20kg</t>
  </si>
  <si>
    <t>ECH-HBC121</t>
  </si>
  <si>
    <t>Café verde</t>
  </si>
  <si>
    <t>Innova Coffee</t>
  </si>
  <si>
    <t>Huile végétale ou huile essentielle ? Pas d'info, et ne retrouve pas le fabricant</t>
  </si>
  <si>
    <t>ECH-HBC122</t>
  </si>
  <si>
    <t xml:space="preserve">Café tostado </t>
  </si>
  <si>
    <t>ECH-HBC123</t>
  </si>
  <si>
    <t xml:space="preserve">Sensolene Light ET </t>
  </si>
  <si>
    <t>Hallstar/Univar</t>
  </si>
  <si>
    <t>Ethyl Olivate, Olea Europaea (Olive) Leaf Extract</t>
  </si>
  <si>
    <t xml:space="preserve">Emollient </t>
  </si>
  <si>
    <t>ECH-HBC124</t>
  </si>
  <si>
    <t>Beurre de cacao BIO</t>
  </si>
  <si>
    <t>Exaflor</t>
  </si>
  <si>
    <t>ECH-HBC125</t>
  </si>
  <si>
    <t>Sensol 100</t>
  </si>
  <si>
    <t>MOQ 100kg 
MAIS possibilité de demander 25kg si 100 beaucoup trop pour nous (voir prix)
"Concrète" jaune, toucher gras, odeur légère</t>
  </si>
  <si>
    <t>ECH-HBC126</t>
  </si>
  <si>
    <t>Nat Gascony Plum Butter</t>
  </si>
  <si>
    <t>Prunus Domestica Seed Oil, Hydrogenated Prunus Domestica Seed Oil, Tocopherol</t>
  </si>
  <si>
    <t>MOQ 5kg
10 kg : 71,32€/kg</t>
  </si>
  <si>
    <t>ECH-HBC127</t>
  </si>
  <si>
    <t>Virgin Maracuja Oil</t>
  </si>
  <si>
    <t xml:space="preserve">Laboratoires Expanscience </t>
  </si>
  <si>
    <t>Passiflora Edulis Seed Oil</t>
  </si>
  <si>
    <t>MOQ 10kg</t>
  </si>
  <si>
    <t>91770-48-8</t>
  </si>
  <si>
    <t>ECH-HBC128</t>
  </si>
  <si>
    <t xml:space="preserve">Huile vierge de mirabelle </t>
  </si>
  <si>
    <t>Bertin</t>
  </si>
  <si>
    <t>Prunus insititia Seed Oil</t>
  </si>
  <si>
    <t>Mirabelles françaises. Toucher riche, pénètre rapidement, laisse la peau douce et satinée. Jaune orangée</t>
  </si>
  <si>
    <t>ECH-HBC129</t>
  </si>
  <si>
    <t>Pyrus malus Seed Oil</t>
  </si>
  <si>
    <t>Jaune clair/vert. 89% AG insaturés</t>
  </si>
  <si>
    <t>85251 - 63 - 4</t>
  </si>
  <si>
    <t>ECH-HBC130</t>
  </si>
  <si>
    <t>Huile vierge de noyaux de cerise amère</t>
  </si>
  <si>
    <t>Prunus cerasus Seed Oil</t>
  </si>
  <si>
    <t>Jaune orangée</t>
  </si>
  <si>
    <t>89997-53-5</t>
  </si>
  <si>
    <t>ECH-HBC131</t>
  </si>
  <si>
    <t>Huile de noisette Bio 2D</t>
  </si>
  <si>
    <t>Corylus avellana Seed Oil*</t>
  </si>
  <si>
    <t>Incolore et inodore, fini siliconé
HV noisette rafinée</t>
  </si>
  <si>
    <t>84012 - 21 - 5</t>
  </si>
  <si>
    <t>ECH-HBC132</t>
  </si>
  <si>
    <t>Huile de cameline vierge BIO</t>
  </si>
  <si>
    <t>Camelina Sativa Seed Oil*</t>
  </si>
  <si>
    <t>MOQ 5kg
25 kg : 14,65€/kg
100kg : 14,15€/kg</t>
  </si>
  <si>
    <t>ECH-HBC133</t>
  </si>
  <si>
    <t>Ubuntu Mafura vierge</t>
  </si>
  <si>
    <t>Trichilia Emetica Seed Butter</t>
  </si>
  <si>
    <t>Beurre végétal</t>
  </si>
  <si>
    <t>ECH-HBC134</t>
  </si>
  <si>
    <t xml:space="preserve">Biochemica cocoa butter natural </t>
  </si>
  <si>
    <t xml:space="preserve">Hallstar / Univar S </t>
  </si>
  <si>
    <t>Theobroma Cacao (Cocoa) seed butter</t>
  </si>
  <si>
    <t>MOQ 25kg
Existe aussi en organic</t>
  </si>
  <si>
    <t>ECH-HBC135</t>
  </si>
  <si>
    <t xml:space="preserve">Cosphaderm Feel </t>
  </si>
  <si>
    <t>MOQ 25kg
Triglyceride issu de l'huile de ricin et du colza
Substitut à la D5, "silicone like", toucher doux et fini sec
Apporte brillance aux soins capillaires
Polaire et légèrement visqueux
Disperse pigments et filtres UV</t>
  </si>
  <si>
    <t>620-67-7</t>
  </si>
  <si>
    <t>ECH-HBC136</t>
  </si>
  <si>
    <t xml:space="preserve">Oat Lipid e </t>
  </si>
  <si>
    <t>Oat cosmetics</t>
  </si>
  <si>
    <t>Avena sativa (Oat) Kernel Oil</t>
  </si>
  <si>
    <t>Riche en céramides, phospolipids, acide linoléique 
5 =&gt; 94.50€
20 =&gt; 88.20€</t>
  </si>
  <si>
    <t>84012-26-0</t>
  </si>
  <si>
    <t>ECH-HBC137</t>
  </si>
  <si>
    <t>Cacay Oil</t>
  </si>
  <si>
    <t>Prime Green</t>
  </si>
  <si>
    <t>Caryodendron Orinocense Seed Oil</t>
  </si>
  <si>
    <t>Riche en acide linoléique et en vit A, cicatrisante, anti-âge et exfoliante. Issue d'une pression à froid des noix</t>
  </si>
  <si>
    <t>1453469-52-7</t>
  </si>
  <si>
    <t>ECH-HBC138</t>
  </si>
  <si>
    <t>Buriti Oil</t>
  </si>
  <si>
    <t>Mauritia Flexuosa Fruit Oil</t>
  </si>
  <si>
    <t xml:space="preserve">Riche en beta-carotene (anti-oxydant et précurseur vit A) et en oméga 9. Riche en vit E, non comédogène.  </t>
  </si>
  <si>
    <t>394239-67-9</t>
  </si>
  <si>
    <t>ECH-HBC139</t>
  </si>
  <si>
    <t>Sacha Inchi Oil</t>
  </si>
  <si>
    <t>Plukenetia Volubilis Seed oil</t>
  </si>
  <si>
    <t xml:space="preserve">Riche en omégas 3 et 6, anti-inflammatoire, stable à l'oxydation </t>
  </si>
  <si>
    <t>68956-68-3</t>
  </si>
  <si>
    <t>ECH-HBC140</t>
  </si>
  <si>
    <t>Moringa Oil</t>
  </si>
  <si>
    <t>Moringa Oleifera Seed Oil</t>
  </si>
  <si>
    <t>Riche en acide oléique, anti-inflammatoire et anti-microbienne. Pénètre vite et hydrate. Résistante à l'oxydation. Adaptée aux peaux acnéiques et sensibles.</t>
  </si>
  <si>
    <t>93165-54-9</t>
  </si>
  <si>
    <t>ECH-HBC141</t>
  </si>
  <si>
    <t xml:space="preserve">Açai Oil </t>
  </si>
  <si>
    <t>Euterpe Oleracea Fruit oil</t>
  </si>
  <si>
    <t>861902-11-6</t>
  </si>
  <si>
    <t>ECH-HBC142</t>
  </si>
  <si>
    <t>Bio Tigernuts oil (HV souchet)</t>
  </si>
  <si>
    <t>Tigernuts</t>
  </si>
  <si>
    <t>MOQ 22,5kg</t>
  </si>
  <si>
    <t>ECH-HBC143</t>
  </si>
  <si>
    <t>Hyaluronic Tucuma Extr</t>
  </si>
  <si>
    <t>Citrobio</t>
  </si>
  <si>
    <t>Beurre de tucuma</t>
  </si>
  <si>
    <t>ECH-HBC144</t>
  </si>
  <si>
    <t xml:space="preserve">Beurre de Kokum </t>
  </si>
  <si>
    <t xml:space="preserve">Garcinia indica butter </t>
  </si>
  <si>
    <t>T°C fusion = 40-43°C</t>
  </si>
  <si>
    <t>ECH-HBC145</t>
  </si>
  <si>
    <t xml:space="preserve">Beurre de Sal </t>
  </si>
  <si>
    <t>Shorea Robusta Seed Butter</t>
  </si>
  <si>
    <t>225234-08-2</t>
  </si>
  <si>
    <t>ECH-HBC146</t>
  </si>
  <si>
    <t>Cos'Gelly Linen</t>
  </si>
  <si>
    <t>Cosmact / Lavollée</t>
  </si>
  <si>
    <t>Linum Usitatissimum seed oil, Hydroxystearic acid, caprylic/capric triglycerides, helianthus annuus seed wax, candelilla cera, Palmitic acid</t>
  </si>
  <si>
    <t>Emollient solide</t>
  </si>
  <si>
    <t>ECH-HBC147</t>
  </si>
  <si>
    <t>Cos'Gelly KDZ60</t>
  </si>
  <si>
    <t>Zinc Oxide, Pongamia Glabra seed oil*, Linum Usitatissimum seed oil, pongamol, Hydroxystearic acid, Polyglyceryl-3 Polyricinoleate, Helianthus Annus Seed Wax</t>
  </si>
  <si>
    <t>200kg = 66,30
500kg = 59,70
1T = 55,90</t>
  </si>
  <si>
    <t>ECH-HBC148</t>
  </si>
  <si>
    <t>Cos'Gelly Z60</t>
  </si>
  <si>
    <t>Zinc Oxide, Linum Usitatissimum seed oil, Pongamia Pinnata Seed Extract, Hydroxystearic acid, Polyglyceryl-3 Polyricinoleate, Helianthus Annus Seed Wax</t>
  </si>
  <si>
    <t xml:space="preserve">200Kg = 59,54
500Kg = 54,16
1T = 49,90
</t>
  </si>
  <si>
    <t>ECH-HBC149</t>
  </si>
  <si>
    <t>Cos'Gelly KD-T60</t>
  </si>
  <si>
    <t>Titanum Dioxide, Pongamia Glabra Seed Oil, Linum Usitatissimum seed oil,
Polyglyceryl-3 Polyricinoleate, Helianthus Annus Seed Wax, hydroxystearic acid, Jojoba Esters,
Silica, Pongamia Pinnata Seed Extract</t>
  </si>
  <si>
    <t>ECH-HBC150</t>
  </si>
  <si>
    <t>Cos'Gelly TZ60</t>
  </si>
  <si>
    <t>Linum Usitatissimum seed oil, pongamol, Zinc Oxide, Titanium Dioxide, Silica, Jojoba Esters, Hydroxystearic acid, Polyglyceryl-3 Polyricinoleate, Helianthus Annus Seed Wax</t>
  </si>
  <si>
    <t>ECH-HBC151</t>
  </si>
  <si>
    <t>Cos'Gelly KDTZ60</t>
  </si>
  <si>
    <t>Pongamia Glabra seed oil*, Linum Usitatissimum seed oil, pongamol, Zinc Oxide, Titanium Dioxide, Silica, Jojoba Esters, Hydroxystearic acid, Polyglyceryl-3 Polyricinoleate, Helianthus Annus Seed Wax</t>
  </si>
  <si>
    <t>ECH-HBC152</t>
  </si>
  <si>
    <t>Huile de pépins de figuier de babarie FR</t>
  </si>
  <si>
    <t>FDB Green</t>
  </si>
  <si>
    <t>Opuntia Stricta Seed Oil</t>
  </si>
  <si>
    <t>HV</t>
  </si>
  <si>
    <t xml:space="preserve">Quantités dispo : 5kg / 50kg / 100kg
Usage recommandé : 1-6% 
Récolte de la plante sauvage à Perpignan
Extrait CO2 de figuier de barbarie
Riche en stérols, vitamine E, AG 
Récolte en oct-dec   </t>
  </si>
  <si>
    <t>ECH-HBC153</t>
  </si>
  <si>
    <t>Huile vierge de Coriandre BIO</t>
  </si>
  <si>
    <t>Pour 5kg</t>
  </si>
  <si>
    <t>ECH-HBC154</t>
  </si>
  <si>
    <t>Base stick Melt and Pour</t>
  </si>
  <si>
    <t>Helianthus Annuus Seed Oil, Rhus Verniciflua Peel Cera, Ricinus Communis Seed Oil, Simmondsia Chinensis Seed Oil, Candelilla Cera, Copernicia Cerifera Wax, Shorea robusta seed butter, Tocopherol.</t>
  </si>
  <si>
    <t>Base anhydre</t>
  </si>
  <si>
    <t>ECH-HBC155</t>
  </si>
  <si>
    <t xml:space="preserve">Besterol-E </t>
  </si>
  <si>
    <t>TS Biotech / Lavollée</t>
  </si>
  <si>
    <t xml:space="preserve">Phytosteryl Oleate </t>
  </si>
  <si>
    <t>Actif anti-rides</t>
  </si>
  <si>
    <t>ECH-HBC156</t>
  </si>
  <si>
    <t>Alpicare D3</t>
  </si>
  <si>
    <t>Caldic</t>
  </si>
  <si>
    <t xml:space="preserve">Polyhydroxystearic acid </t>
  </si>
  <si>
    <t>Dispersant</t>
  </si>
  <si>
    <t>Caldicare D300 (emballage 20kg)</t>
  </si>
  <si>
    <t>Dispersing agent</t>
  </si>
  <si>
    <t>ECH-HBC157</t>
  </si>
  <si>
    <t>Evicare GB</t>
  </si>
  <si>
    <t>Glyceryl Behenate</t>
  </si>
  <si>
    <t>Gelifiant huileux</t>
  </si>
  <si>
    <t>30233-64-8</t>
  </si>
  <si>
    <t>ECH-HEL001</t>
  </si>
  <si>
    <t>Helichrysum organic oil</t>
  </si>
  <si>
    <t>ECH-HEL002</t>
  </si>
  <si>
    <t xml:space="preserve">HE Hélichryse italienne de Corse </t>
  </si>
  <si>
    <t>Helichrysum Italicum flower oil</t>
  </si>
  <si>
    <t>ECH-HY001</t>
  </si>
  <si>
    <t>Eau florale Géranium BIO (2% Leucidal Liquid)</t>
  </si>
  <si>
    <t>ECH-HY002</t>
  </si>
  <si>
    <t>Eau florale Géranium Rosat</t>
  </si>
  <si>
    <t>Rosessences</t>
  </si>
  <si>
    <t>ECH-HY004</t>
  </si>
  <si>
    <t>Eau florale florale Camomille Romaine BIO (2% Leucidal Liquid)</t>
  </si>
  <si>
    <t>ECH-HY005</t>
  </si>
  <si>
    <t>Eau distillée de cocombre BIO</t>
  </si>
  <si>
    <t>Gazignaire</t>
  </si>
  <si>
    <t>ECH-HY006</t>
  </si>
  <si>
    <t>Eau distillée de Camomille matricaine BIO</t>
  </si>
  <si>
    <t>ECH-HY007</t>
  </si>
  <si>
    <t>Eau distillée de camomille romaine</t>
  </si>
  <si>
    <t>ECH-HY008</t>
  </si>
  <si>
    <t>Eau distillée de fleur d'oranger BIO 2% Leucidal</t>
  </si>
  <si>
    <t>ECH-HY009</t>
  </si>
  <si>
    <t>Eau distillée de fleur d'oranger conv. 2%</t>
  </si>
  <si>
    <t>ECH-HY010</t>
  </si>
  <si>
    <t>Hydrolat Hélichryse italienne de Corse BIO</t>
  </si>
  <si>
    <t>ECH-HY011</t>
  </si>
  <si>
    <t>Ginkgo Leaves Water Distillate</t>
  </si>
  <si>
    <t>Botanica</t>
  </si>
  <si>
    <t>Ginkgo Biloba Leaf Water, Citric Acid</t>
  </si>
  <si>
    <t>Hydrolat</t>
  </si>
  <si>
    <t>ECH-HY012</t>
  </si>
  <si>
    <t>Hydrolat d'Achillée Millefeuille (2% Leucidal Liquid)</t>
  </si>
  <si>
    <t>ACHILLEA MILLEFOLIUM FLOWER WATER</t>
  </si>
  <si>
    <t>ECH-HY013</t>
  </si>
  <si>
    <t>Hydrolat d'Achillée Millefeuille  (2% Leucidal Liquid)</t>
  </si>
  <si>
    <t>ECH-HY014</t>
  </si>
  <si>
    <t>Hydrolat Hamamélis BIO (2% Leucidal Liquid)</t>
  </si>
  <si>
    <t>HAMAMELIS VIRGINIANA LEAF WATER</t>
  </si>
  <si>
    <t>ECH-HY015</t>
  </si>
  <si>
    <t>Hydrolat Tilleul</t>
  </si>
  <si>
    <t>ECH-HY016</t>
  </si>
  <si>
    <t>Hydrolat Menthe Poivrée</t>
  </si>
  <si>
    <t>ECH-HY017</t>
  </si>
  <si>
    <t xml:space="preserve">Hydrolat Hélichryse italienne  </t>
  </si>
  <si>
    <t>ECH-HY018</t>
  </si>
  <si>
    <t>Hydrolat Verveine</t>
  </si>
  <si>
    <t>ECH-HY019</t>
  </si>
  <si>
    <t>Hydrolat Hélichryse + 2% Leucidal Liquid</t>
  </si>
  <si>
    <t>ECH-HY020</t>
  </si>
  <si>
    <t>Hydrolat Laurier Noble</t>
  </si>
  <si>
    <t>ECH-HY021</t>
  </si>
  <si>
    <t xml:space="preserve">Hydrolat Ciste + 2% Leucidal Liquid </t>
  </si>
  <si>
    <t>ECH-HY022</t>
  </si>
  <si>
    <t>Hydrolat Lavande fine sauvage</t>
  </si>
  <si>
    <t>ECH-HY023</t>
  </si>
  <si>
    <t>Hydrolat Myrte</t>
  </si>
  <si>
    <t>ECH-HY024</t>
  </si>
  <si>
    <t xml:space="preserve">Hydrolat Lavande fine  </t>
  </si>
  <si>
    <t>ECH-HY025</t>
  </si>
  <si>
    <t>Hydrolat Rose de Damas</t>
  </si>
  <si>
    <t>ECH-HY026</t>
  </si>
  <si>
    <t>ECH-HY027</t>
  </si>
  <si>
    <t>Hydrolat Verveine + 2% Leucidal Liquid</t>
  </si>
  <si>
    <t>ECH-HY028</t>
  </si>
  <si>
    <t>Hydrolat Thé vert</t>
  </si>
  <si>
    <t>ECH-HY029</t>
  </si>
  <si>
    <t>Hydrolat Bleuet</t>
  </si>
  <si>
    <t>ECH-HY030</t>
  </si>
  <si>
    <t xml:space="preserve">Hydrolat Ciste  </t>
  </si>
  <si>
    <t>ECH-HY031</t>
  </si>
  <si>
    <t>Hydrolat Camomille romaine BIO</t>
  </si>
  <si>
    <t>ECH-HY032</t>
  </si>
  <si>
    <t>Hydrolat Menthe poivrée BIO</t>
  </si>
  <si>
    <t>ECH-HY033</t>
  </si>
  <si>
    <t>Hydrolat Menthe poivrée BIO conservé au LL</t>
  </si>
  <si>
    <t>ECH-HY034</t>
  </si>
  <si>
    <t>Hydrolat Hamamelis BIO conservé au LL</t>
  </si>
  <si>
    <t>ECH-HY035</t>
  </si>
  <si>
    <t>Hydrolat bleut bio conservé au LL</t>
  </si>
  <si>
    <t>ECH-HY036</t>
  </si>
  <si>
    <t>Hydrolat encens Oliban</t>
  </si>
  <si>
    <t>ECH-HY037</t>
  </si>
  <si>
    <t>Zdravetz water</t>
  </si>
  <si>
    <t>Atmosphaer</t>
  </si>
  <si>
    <t>Sent un peu le patchouli ! Moyennement agréable…</t>
  </si>
  <si>
    <t>ECH-HY038</t>
  </si>
  <si>
    <t xml:space="preserve">Rose water </t>
  </si>
  <si>
    <t>ECH-HY039</t>
  </si>
  <si>
    <t>Apple Cellular Water</t>
  </si>
  <si>
    <t>Malus Domestica fruit water</t>
  </si>
  <si>
    <t>Eau de fruit</t>
  </si>
  <si>
    <t>Titré en acide ursolique 0.5μg/L, polyphenols, flavonoïdes, acide malique, acide citrique, Vitamines K1, C, B2, B3…</t>
  </si>
  <si>
    <t>ECH-HY040</t>
  </si>
  <si>
    <t xml:space="preserve">Hydrolat de fleur d'oranger BIO </t>
  </si>
  <si>
    <t xml:space="preserve">Florihana </t>
  </si>
  <si>
    <t>Citrus Aurantium Amara Flower Water</t>
  </si>
  <si>
    <t>ECH-HY041</t>
  </si>
  <si>
    <t>Hydrolat de Tea Tree BIO</t>
  </si>
  <si>
    <t>Melaleuca Alternifolia Leaf Water</t>
  </si>
  <si>
    <t>Origine Afrique du Sud</t>
  </si>
  <si>
    <t>85085-48-9</t>
  </si>
  <si>
    <t>ECH-IMM001</t>
  </si>
  <si>
    <t>Immortelle Italie BIO CE</t>
  </si>
  <si>
    <t>ECH-IMM002</t>
  </si>
  <si>
    <t>HE Immortelle BIO</t>
  </si>
  <si>
    <t>Helichrysum Italicum oil</t>
  </si>
  <si>
    <t>ECH-IRI001</t>
  </si>
  <si>
    <t>Extrait CO2 Iris</t>
  </si>
  <si>
    <t>ECH-IRI002</t>
  </si>
  <si>
    <t>Orris butter Landes 8% Irone</t>
  </si>
  <si>
    <t>ECH-JAS001</t>
  </si>
  <si>
    <t>Jasmin absolue Sambac</t>
  </si>
  <si>
    <t>ECH-JAS002</t>
  </si>
  <si>
    <t>Jasmin SFE 952657</t>
  </si>
  <si>
    <t>960€ pour 100g TTC</t>
  </si>
  <si>
    <t>ECH-LAU001</t>
  </si>
  <si>
    <t>HE Laurier noble</t>
  </si>
  <si>
    <t>ECH-LAV001</t>
  </si>
  <si>
    <t>Lavande fine BIO CE</t>
  </si>
  <si>
    <t>ECH-LAV002</t>
  </si>
  <si>
    <t>Lavande France absolue</t>
  </si>
  <si>
    <t>ECH-LAV003</t>
  </si>
  <si>
    <t>HE Lavandin Grosso BIO</t>
  </si>
  <si>
    <t>Innes Ingredients</t>
  </si>
  <si>
    <t>Lavandula Hybryda</t>
  </si>
  <si>
    <t>Fournisseur plus existant</t>
  </si>
  <si>
    <t>ECH-LAV004</t>
  </si>
  <si>
    <t>HE Lavandin SUPER</t>
  </si>
  <si>
    <t>Lavandula Hydrida Super Burtatii</t>
  </si>
  <si>
    <t>ECH-LEM001</t>
  </si>
  <si>
    <t>HE Lemongrass</t>
  </si>
  <si>
    <t>Cymbopogon flexuosus</t>
  </si>
  <si>
    <t>ECH-LIL001</t>
  </si>
  <si>
    <t>Organic Lilac total CO2 Extract</t>
  </si>
  <si>
    <t>Syringa Vulgaris (Lilac) Extract</t>
  </si>
  <si>
    <t>Si achat de 250g environ</t>
  </si>
  <si>
    <t>ECH-LIQ001</t>
  </si>
  <si>
    <t>Paprika BIO Extractive</t>
  </si>
  <si>
    <t>ECH-LIQ002</t>
  </si>
  <si>
    <t>Annatto BIO Extractive</t>
  </si>
  <si>
    <t>ECH-LIQ003</t>
  </si>
  <si>
    <t>Phytofuse Renew</t>
  </si>
  <si>
    <t>ECH-LIQ004</t>
  </si>
  <si>
    <t>Phytofuse Rejuvenate</t>
  </si>
  <si>
    <t>ECH-LIQ005</t>
  </si>
  <si>
    <t>Repulpami ER-F06 (Maintenant Repulpami EC)</t>
  </si>
  <si>
    <t>(par 25kg)</t>
  </si>
  <si>
    <t>ECH-LIQ006</t>
  </si>
  <si>
    <t>ACB Oat Extract Beta FF</t>
  </si>
  <si>
    <t>ECH-LIQ007</t>
  </si>
  <si>
    <t>AC Vegan yogurt Hydrolysate SF</t>
  </si>
  <si>
    <t>ECH-LIQ008</t>
  </si>
  <si>
    <t>Cosme-Phytami Mandarine FR-06</t>
  </si>
  <si>
    <t>ECH-LIQ011</t>
  </si>
  <si>
    <t>Cosme-Phytami Pamplemousse</t>
  </si>
  <si>
    <t>ECH-LIQ012</t>
  </si>
  <si>
    <t>Cosme-Phytami Alkekenge FR-F06</t>
  </si>
  <si>
    <t xml:space="preserve">Extrait de physalis, riche en acides organiques (acide citrique)
Projet lotion exfoliante </t>
  </si>
  <si>
    <t>ECH-LIQ015</t>
  </si>
  <si>
    <t>Amiporine ER-F01</t>
  </si>
  <si>
    <t>ECH-LIQ016</t>
  </si>
  <si>
    <t>Tinctami NHS Indigo</t>
  </si>
  <si>
    <t>ECH-LIQ017</t>
  </si>
  <si>
    <t>Bisabolol</t>
  </si>
  <si>
    <t>ECH-LIQ018</t>
  </si>
  <si>
    <t>Hibiscus Flower BIO Fairtrade Extract</t>
  </si>
  <si>
    <t>ECH-LIQ019</t>
  </si>
  <si>
    <t>Turmeric BIO Fairtrade Extractive</t>
  </si>
  <si>
    <t>ECH-LIQ020</t>
  </si>
  <si>
    <t>Caramel BIO Extractive</t>
  </si>
  <si>
    <t>ECH-LIQ022</t>
  </si>
  <si>
    <t>Eau de chaux</t>
  </si>
  <si>
    <t>ECH-LIQ023</t>
  </si>
  <si>
    <t>ACB Modified Pomegranate Enzyme PF</t>
  </si>
  <si>
    <t>Lactobacillus/Punica Granatum Fruit Ferment Extract</t>
  </si>
  <si>
    <t>Actif liquide</t>
  </si>
  <si>
    <t>5kg=&gt;71,30€
20kg=&gt;55.10€</t>
  </si>
  <si>
    <t>ECH-LIQ024</t>
  </si>
  <si>
    <t>ACB Modified Pumpkin Enzyme PF</t>
  </si>
  <si>
    <t>Active Concepts</t>
  </si>
  <si>
    <t>Lactobacillus/Pumpkin Ferment Extract</t>
  </si>
  <si>
    <t>5kg=&gt;70,40€
20kg=&gt;54,20€</t>
  </si>
  <si>
    <t>ECH-LIQ025</t>
  </si>
  <si>
    <t>Revital-Eyes</t>
  </si>
  <si>
    <t>Aqua, Lactobacillus Ferment Lysate, Camellia Sinensis Leaf Extract, Punica Granatum Extract, Caffeine</t>
  </si>
  <si>
    <t>ECH-LIQ026</t>
  </si>
  <si>
    <t>Renegrape</t>
  </si>
  <si>
    <t>ECH-LIQ027</t>
  </si>
  <si>
    <t>COSME-PHYTAMI Bio Hamamélis feuille</t>
  </si>
  <si>
    <t>Glycerin - Hamamelis Virginiana Leaf Extract</t>
  </si>
  <si>
    <t>ECH-LIQ028</t>
  </si>
  <si>
    <t>COSME-PHYTAMI Bio Vigne Rouge feuille</t>
  </si>
  <si>
    <t>Glycerin - Vitis Vinifera Leaf Extract</t>
  </si>
  <si>
    <t>ECH-LIQ029</t>
  </si>
  <si>
    <t>Turmeric Root Bio Fairtrade Extractive</t>
  </si>
  <si>
    <t>Helianthus Annuus Hybrid Oil, Curcuma Longa Root Extract</t>
  </si>
  <si>
    <t>ECH-LIQ030</t>
  </si>
  <si>
    <t>Licorice Root Bio Extractive</t>
  </si>
  <si>
    <t>Glycerin, Aqua, Glycyrrhiza Glabra Root Extract</t>
  </si>
  <si>
    <t>ECH-LIQ031</t>
  </si>
  <si>
    <t>Blush Oléoactif</t>
  </si>
  <si>
    <t>Hallstar Beauty</t>
  </si>
  <si>
    <t>Brassica Campestris Seed Oil (and) Polygonum Tinctorium Leaf Extract</t>
  </si>
  <si>
    <t>Actif/ colorant Liquide</t>
  </si>
  <si>
    <t>ECH-LIQ032</t>
  </si>
  <si>
    <t>Phytessence Blue Daisy</t>
  </si>
  <si>
    <t>Croda</t>
  </si>
  <si>
    <t>Glycerin, Water, Globularia Alypum Leaf Extract</t>
  </si>
  <si>
    <t>ECH-LIQ033</t>
  </si>
  <si>
    <t>DIAM Oléoactif</t>
  </si>
  <si>
    <t>Cocos Nucifera Oil (and) Oak Root Extract / Cocos Nucifera Oil (and) Quercus Suber Bark Extract (and) Oak Root Extract</t>
  </si>
  <si>
    <t>Actif semi-liquide</t>
  </si>
  <si>
    <t>ECH-LIQ034</t>
  </si>
  <si>
    <t>Solution à 10% Soude</t>
  </si>
  <si>
    <t>Water, Sodium hydroxyde</t>
  </si>
  <si>
    <t>Ajusteur de PH</t>
  </si>
  <si>
    <t>ECH-LIQ035</t>
  </si>
  <si>
    <t>Marigold BIO Extractive</t>
  </si>
  <si>
    <t>Helianthus Annuus Hybrid Oil, Calendula Officinalis Flower Extract, Rosmarinus Officinalis Leaf Extract</t>
  </si>
  <si>
    <t>Macérât de calendula</t>
  </si>
  <si>
    <t>ECH-LIQ036</t>
  </si>
  <si>
    <t>Balloonvine Herb Extract 'C' G</t>
  </si>
  <si>
    <t>Glycerin, Aqua, Cardiospermum Halicacabum Flower/Leaf/Vine Extract</t>
  </si>
  <si>
    <t>Extraction With a circulating ethanol-water mixture</t>
  </si>
  <si>
    <t>ECH-LIQ037</t>
  </si>
  <si>
    <t>Baby Apple Bio Extract 'C' G</t>
  </si>
  <si>
    <t>Glycerin, Aqua, Malus Domestica Fruit Extract</t>
  </si>
  <si>
    <t>Extraction With a circulating ethanol-water mixture
Antioxydant, anti tache, keratolique</t>
  </si>
  <si>
    <t>ECH-LIQ038</t>
  </si>
  <si>
    <t>Houseleek BIO Extract 'C' G</t>
  </si>
  <si>
    <t>Glycerin, Aqua, Sempervivum Tectorum Extract</t>
  </si>
  <si>
    <t>With a circulating bio ethanol-water mixture
Joubarbe, aloe des neiges.
 agoniste des récepteurs aux cannabinoïdes de type 1, agoniste de PPAR et
antagoniste des TrPV1, pour des propriétés apaisantes et réparatrices, activation de la voie
Nrf2 et augmentation de l'absorption du glucose dans les kératinocytes HaCaT pour des effets
de booster d’activité cellulaire et antioxydation naturelle, ainsi que des propriétés
d’uniformisation du teint grâce à un effet sur l’inhibition de la tyrosinase et de la synthèse de
mélanine (comparable à l’acide kojique)</t>
  </si>
  <si>
    <t>ECH-LIQ039</t>
  </si>
  <si>
    <t>Unwind Lotus Sacré S-HT BIO</t>
  </si>
  <si>
    <t>Naolys</t>
  </si>
  <si>
    <t>Glycerin, Nelumbo Nucifera Leaf Cell Extract</t>
  </si>
  <si>
    <t>Relaxant, apaisant, antioxydant</t>
  </si>
  <si>
    <t>ECH-LIQ040</t>
  </si>
  <si>
    <t>Unwind Lotus Sacré S-Gly BIO</t>
  </si>
  <si>
    <t>Helianthus Annuus Seed 
Oil, Nelumbo Nucifera Leaf Cell Extract</t>
  </si>
  <si>
    <t>ECH-LIQ041</t>
  </si>
  <si>
    <t>Fragile coton S-HT BIO</t>
  </si>
  <si>
    <t>Helianthus Annuus Seed Oil, Gossypium Arboreum Leaf Cell Extract</t>
  </si>
  <si>
    <t>ECH-LIQ042</t>
  </si>
  <si>
    <t>Fragile coton S-Gly BIO</t>
  </si>
  <si>
    <t>Glycerin, Gossypium Arboreum Leaf Cell Extract</t>
  </si>
  <si>
    <t>ECH-LIQ043</t>
  </si>
  <si>
    <t>Citrofol Al Extra</t>
  </si>
  <si>
    <t>Triethyl Citrate</t>
  </si>
  <si>
    <t>Solvant anti odeur (déodorant), bien pour filtre, émolient
estérification
d’acide citrique</t>
  </si>
  <si>
    <t>ECH-LIQ044</t>
  </si>
  <si>
    <t xml:space="preserve">Solution Tampon </t>
  </si>
  <si>
    <t xml:space="preserve">Aqua , Sodium Lactate 60 %, Acide Lactique </t>
  </si>
  <si>
    <t>ECH-LIQ045</t>
  </si>
  <si>
    <t>Solution Acide Citrique 10%</t>
  </si>
  <si>
    <t>ECH-LIQ046</t>
  </si>
  <si>
    <t>Sodium Lactate 60%</t>
  </si>
  <si>
    <t>ECH-LIQ047</t>
  </si>
  <si>
    <t>Gluadin Kera-P-L-M</t>
  </si>
  <si>
    <t>Hydrolyzed Vegetable Protein</t>
  </si>
  <si>
    <t>ECH-LIQ048</t>
  </si>
  <si>
    <t>Vinaigre Naturel Grenade</t>
  </si>
  <si>
    <t>ECH-LIQ049</t>
  </si>
  <si>
    <t>Vinaigre Naturel Coco</t>
  </si>
  <si>
    <t>ECH-LIQ050</t>
  </si>
  <si>
    <t xml:space="preserve">Macérat Huileux de Curcuma à 10% </t>
  </si>
  <si>
    <t>ECH-LIQ051</t>
  </si>
  <si>
    <t>Solution Amande Amer (1g/10)</t>
  </si>
  <si>
    <t>ECH-LIQ052</t>
  </si>
  <si>
    <t>Solution Vaniline (1g Vaniline/7)</t>
  </si>
  <si>
    <t>ECH-LIQ053</t>
  </si>
  <si>
    <t xml:space="preserve">Solution 0,5% Vaniline </t>
  </si>
  <si>
    <t>ECH-LIQ054</t>
  </si>
  <si>
    <t>Macérât huileux de Curcuma à 50%</t>
  </si>
  <si>
    <t>Poudre de curcuma avec HV olive pendant 15min à 80°C, puis filtration avec tissus</t>
  </si>
  <si>
    <t>ECH-LIQ055</t>
  </si>
  <si>
    <t>Bioferm Dragon Blood Oil</t>
  </si>
  <si>
    <t>Daemonorops Draco Extract, Saccharomyces Ferment Filtrate</t>
  </si>
  <si>
    <t>Bidon de 15kg MOQ</t>
  </si>
  <si>
    <t>ECH-LIQ056</t>
  </si>
  <si>
    <t>Woresana serum</t>
  </si>
  <si>
    <t>Lactobacillus, Rye flour, Ferment</t>
  </si>
  <si>
    <t>Farine de seigle fermentée
Anti âge, anti acne, anti pellicule etc…</t>
  </si>
  <si>
    <t>ECH-LIQ057</t>
  </si>
  <si>
    <t>Jade Green</t>
  </si>
  <si>
    <t>Biolie Unipex</t>
  </si>
  <si>
    <t>ECH-LIQ058</t>
  </si>
  <si>
    <t xml:space="preserve">Emerald Green </t>
  </si>
  <si>
    <t>ECH-LIQ059</t>
  </si>
  <si>
    <t xml:space="preserve">Amber Orange </t>
  </si>
  <si>
    <t>ECH-LIQ060</t>
  </si>
  <si>
    <t>Rhodonite Red</t>
  </si>
  <si>
    <t>ECH-LIQ061</t>
  </si>
  <si>
    <t xml:space="preserve">Solution de Coumarine dilué à 10 % </t>
  </si>
  <si>
    <t xml:space="preserve">Alcool , Coumarine </t>
  </si>
  <si>
    <t>ECH-LIQ062</t>
  </si>
  <si>
    <t xml:space="preserve">Solution de Vaniline dilué à 10 % </t>
  </si>
  <si>
    <t xml:space="preserve">Alcool , Vaniline </t>
  </si>
  <si>
    <t>ECH-LIQ063</t>
  </si>
  <si>
    <t>Ecran solaire naturel</t>
  </si>
  <si>
    <t>Pongamia Glabra Seed Oil, Titanium Dioxide, Dicaprylyl Carbonate, Polyglyceryl-3 Polyricinoleate, Polyhydroxystearic Acid, Silica, Jojoba Esters, Trihydroxystearin.</t>
  </si>
  <si>
    <t>ECH-LIQ064</t>
  </si>
  <si>
    <t>Maca Vital</t>
  </si>
  <si>
    <t>Glycerin, Lepidium meyenii root extract</t>
  </si>
  <si>
    <t>extrait de maca naturel</t>
  </si>
  <si>
    <t>Stimule la pousse des cheveux et prévient leur chute. 1 à 5% dans préparations</t>
  </si>
  <si>
    <t>ECH-LIQ065</t>
  </si>
  <si>
    <t>Cernilys 001151</t>
  </si>
  <si>
    <t>Aqua/Water, Glycerin, Cedrus Atlantica Bark Extract</t>
  </si>
  <si>
    <t>Extrait de cèdre de l'atlas</t>
  </si>
  <si>
    <t xml:space="preserve">Vasoconstricteur, inhibe l'angiogenèse (formation nouveaux vaisseaux), anti-oxydant, anti-inflammatoire. Concentration d’utilisation : 3%. Ajouter en fin de préparation à froid ou à 35-40°C dans les émulsions, au cours du refroidissement. Par 25 kg : 213,82 Euros/kg départ 
De 5 à 20 kg : 236,26 Euros/kg départ 
MOQ : 5 kg </t>
  </si>
  <si>
    <t>ECH-LIQ066</t>
  </si>
  <si>
    <t>Ameyezing</t>
  </si>
  <si>
    <t>SEDERMA</t>
  </si>
  <si>
    <t>Butylene Glycol, Zerumbone</t>
  </si>
  <si>
    <t xml:space="preserve">Extrait de zingiber zerumbet </t>
  </si>
  <si>
    <t>Réduit considérablement la production de mélanine in vitro et aide à réduire l’intensité des événements oxydatifs et pro inflammatoires pigmentaires. Soutient également l’intégrité des parois capillaires en protégeant et en renforçant ces structures fragiles composées d’élastine et de collagène, afin d’éviter les fuites de fluides. Hydrosoluble. Dose d’utilisation recommandée : 1,5%. L’indice de naturalité (contenu d'origine naturelle) est de 100 %. AMEYEZING™ est conforme au référentiel COSMOS mais KO CHINE.</t>
  </si>
  <si>
    <t>ECH-LIQ067</t>
  </si>
  <si>
    <t>Beautifeye</t>
  </si>
  <si>
    <t xml:space="preserve">Glycerin, Albizia Julibrissin Bark Extract, Sigesbeckia Orientalis Extract </t>
  </si>
  <si>
    <t>Extrait d'Albizia Julibrissin et de Sigesbeckia Orientalis</t>
  </si>
  <si>
    <t>Cette association d’un extrait d’Albizia julibrissin et de 500 ppm de darutoside extrait de Siegesbeckia orientalis, dans la glycérine est un excellent traitement global du contour des yeux. Cet actif apporte un effet lifting sur le relâchement des paupières supérieures tout en réduisant les rides des pattes d’oie mais va aussi avoir une action sur l’atténuation des cernes et la diminution des poches sous les yeux. Hydrosoluble. Dose d’utilisation recommandée est de 3%. L’indice de naturalité (contenu d'origine naturelle) est de 99.85 %. Conforme au référentiel COSMOS mais KO CHINE.</t>
  </si>
  <si>
    <t>ECH-LIQ068</t>
  </si>
  <si>
    <t>Soude Solution à env. 32%</t>
  </si>
  <si>
    <t>RonaCare MERCK</t>
  </si>
  <si>
    <t>Ajusteur de pH</t>
  </si>
  <si>
    <t>ECH-LIQ069</t>
  </si>
  <si>
    <t>Glucohyami GL (anciennement Glucohyami-SAE ECH-AP033)</t>
  </si>
  <si>
    <t>ECH-LIQ070</t>
  </si>
  <si>
    <t xml:space="preserve">Fleurs de Sureau Herbasol </t>
  </si>
  <si>
    <t>Lipoid</t>
  </si>
  <si>
    <t>Sambucus Nigra Flower Extract, Glycerin, Aqua</t>
  </si>
  <si>
    <t>extrait glycériné non conservé</t>
  </si>
  <si>
    <t>Riche en polyphénols et anthocyanes. Anti-inflammatoire, antimicrobien et antioxydant, piège le fer et protège les parois des vaisseaux sanguins. En intégrer une quantité de 1 à 10%, voire plus. L’extrait est hydrosoluble,possible de l’intégrer dans la phase aqueuse avant l’émulsion, à température ambiante, jusqu’à  60-70°C. Il est aussi possible d’intégrer l’extrait après l’émulsion. 65,95€ (5kg) ; 49,05€ (10kg) ; 39,40€ (25kg) ; 34,90€ (50kg) ; 30,60€ (100kg)</t>
  </si>
  <si>
    <t>ECH-LIQ071</t>
  </si>
  <si>
    <t>Pumpkin Seed Bio Extractive</t>
  </si>
  <si>
    <t>Cucurbita Pepo (Pumpkin) Fruit Extract (+Sunflower oil)</t>
  </si>
  <si>
    <t>ECH-LIQ072</t>
  </si>
  <si>
    <t>Eau de chaux maison</t>
  </si>
  <si>
    <t xml:space="preserve">Aqua (and) Calcium hydroxide </t>
  </si>
  <si>
    <t>Voir protocole 2</t>
  </si>
  <si>
    <t>Cleaning agent, pH adjuster</t>
  </si>
  <si>
    <t>ECH-LIQ073</t>
  </si>
  <si>
    <t>Campo Siddha Indra Neelam Yenai</t>
  </si>
  <si>
    <t>Quimica Masso</t>
  </si>
  <si>
    <t>ECH-LIQ074</t>
  </si>
  <si>
    <t>Campo Siddha Kaddal Neelam Ultra Sky Blue</t>
  </si>
  <si>
    <t>ECH-LIQ075</t>
  </si>
  <si>
    <t>Campo Siddha Karushalai Yenai</t>
  </si>
  <si>
    <t>ECH-LIQ076</t>
  </si>
  <si>
    <t>Campo Siddha Manjal Yenai</t>
  </si>
  <si>
    <t>ECH-LIQ077</t>
  </si>
  <si>
    <t>Campo Siddha Neer Kaddal Neelam</t>
  </si>
  <si>
    <t>ECH-LIQ078</t>
  </si>
  <si>
    <t>Campo Siddha Neer Kasturi Manjal</t>
  </si>
  <si>
    <t>ECH-LIQ079</t>
  </si>
  <si>
    <t>Campo Siddha Neer Pazchai</t>
  </si>
  <si>
    <t>ECH-LIQ080</t>
  </si>
  <si>
    <t>Campo Siddha Pazchai Yenai</t>
  </si>
  <si>
    <t>ECH-LIQ081</t>
  </si>
  <si>
    <t>Campo Siddha Vepuvillai Karushalai Yenai</t>
  </si>
  <si>
    <t>ECH-LIQ082</t>
  </si>
  <si>
    <t>Campo Siddha Vepuvillai Yenai_COSMOS_QUEST</t>
  </si>
  <si>
    <t>ECH-LIQ083</t>
  </si>
  <si>
    <t xml:space="preserve">Original Extract Ginger </t>
  </si>
  <si>
    <t>Gattefossé</t>
  </si>
  <si>
    <t xml:space="preserve">Zingiber officinale (Ginger) Water  </t>
  </si>
  <si>
    <t>Extrait aqueux</t>
  </si>
  <si>
    <t>ECH-LIQ084</t>
  </si>
  <si>
    <t>Myralys Bio 010026</t>
  </si>
  <si>
    <t>Aqua (and) Propanediol (and) Gentiana Lutea Root Extract</t>
  </si>
  <si>
    <t>ECH-LIQ085</t>
  </si>
  <si>
    <t xml:space="preserve">Solastemis </t>
  </si>
  <si>
    <t>Fructose (and) Glycerin (and) Water (and) Sechium Edule Fruit Extract (and) Sodium benzoate (and) Citric acid</t>
  </si>
  <si>
    <t>ECH-LIQ086</t>
  </si>
  <si>
    <t>Cosme-phytami Green Tea EC</t>
  </si>
  <si>
    <t>Glycerin, Camellia Sinensis Leaf Extract</t>
  </si>
  <si>
    <t>56-81-5, 84650-60-2</t>
  </si>
  <si>
    <t>ECH-LIQ088</t>
  </si>
  <si>
    <t>Infusion de camomille maison</t>
  </si>
  <si>
    <t xml:space="preserve">La Canopée </t>
  </si>
  <si>
    <t>Aqua, Chamomilla Recutita Flower Extract</t>
  </si>
  <si>
    <t>ECH-LIQ089</t>
  </si>
  <si>
    <t xml:space="preserve">Gatuline Expression </t>
  </si>
  <si>
    <t xml:space="preserve">Alcohol (and) Water (and) Acmella Oleracea Extract </t>
  </si>
  <si>
    <t>MOQ = 4kg ; % of use : 2-5%</t>
  </si>
  <si>
    <t xml:space="preserve">Active ingredient </t>
  </si>
  <si>
    <t xml:space="preserve"> 64-17-5 / 7732-18-5 / 90131-24-1</t>
  </si>
  <si>
    <t>ECH-LIQ090</t>
  </si>
  <si>
    <t>ARP 100 (001001)</t>
  </si>
  <si>
    <t>Serenoa Serrulata Fruit Extract, Epilobium Angustifolium Flower/Leaf/Stem Extract, Cucurbita Pepo (Pumpkin) Seed Extract</t>
  </si>
  <si>
    <t>Par 25 kg: 47,37 Euros/kg Départ
De 5 à 20 kg: 52,35 Euros/kg Départ
MOQ: 5kg
Limite la repousse du poil Réduit la pilosité
Courge (grimpante annuelle du Mexique)
Épilobe (herbacée européenne)
Sabal (palmier nord américain)
La proline, acide aminé essentiel contenu dans l’épilobe, limite la repousse du poil par inhibition de la formation de l’hélice constituant la kératine.</t>
  </si>
  <si>
    <t>ECH-LIQ091</t>
  </si>
  <si>
    <t>Retilife</t>
  </si>
  <si>
    <t>Helianthus Annuus (Tournesol) Seed Oil (et) Retinol (et) Rosmarinus Officinalis (Romarin) Leaf Extract (et) Tocopherol</t>
  </si>
  <si>
    <t>Liposoluble
Jusqu’à 0,6 % dans les crèmes ou produits lavants destinés aux mains et au visage, jusqu’à 0,1 % dans les lotions pour le corps.
Ajouter à la fin du processus de formulation (huile et émulsion),
à une température inférieure à 40 °C et à un pH compris entre 4 et 6.
1kg =&gt; 1720€
5kg =&gt; 1430€</t>
  </si>
  <si>
    <t>ECH-LIQ092</t>
  </si>
  <si>
    <t>Quora Noni-C 02</t>
  </si>
  <si>
    <t xml:space="preserve">Quimica Masso  </t>
  </si>
  <si>
    <t>Glycerin, Morinda Citrifolia Callus Culture Lysate, Citric Acid</t>
  </si>
  <si>
    <t>0,5 et 2%
1kg =&gt; 464€
5kg =&gt; 383€</t>
  </si>
  <si>
    <t>ECH-LIQ093</t>
  </si>
  <si>
    <t xml:space="preserve">EUROL BT </t>
  </si>
  <si>
    <t>Hallstar</t>
  </si>
  <si>
    <t>Olea Europaea (Olive) Leaf Extract, Water</t>
  </si>
  <si>
    <t>MOQ 1kg
Actif anti-pollution
Extrait de feuilles d'olivier</t>
  </si>
  <si>
    <t>ECH-LIQ094</t>
  </si>
  <si>
    <t>Cos Purple Sweet Potato liquid</t>
  </si>
  <si>
    <t>Ipomoea Batatas Root Extract, Citric acid</t>
  </si>
  <si>
    <t>Actif, colorant</t>
  </si>
  <si>
    <t>MOQ 5kg</t>
  </si>
  <si>
    <t>Colorant, active ingredient</t>
  </si>
  <si>
    <t>223749-11-9 / 77-92-9</t>
  </si>
  <si>
    <t>ECH-LIQ095</t>
  </si>
  <si>
    <t>Arôme naturel de framboise bio 23% vol</t>
  </si>
  <si>
    <t>Aroma, Sucrose, Alcohol, Aqua</t>
  </si>
  <si>
    <t>Arôme</t>
  </si>
  <si>
    <t>ECH-LIQ096</t>
  </si>
  <si>
    <t>Arôme naturel de myrtille bio 53% vol</t>
  </si>
  <si>
    <t>Aroma, Alcohol, Aqua</t>
  </si>
  <si>
    <t>ECH-LIQ097</t>
  </si>
  <si>
    <t>Arôme naturel d'ananas bio 40% vol</t>
  </si>
  <si>
    <t>ECH-LIQ098</t>
  </si>
  <si>
    <t>Arôme naturel de fraise bio 54% vol</t>
  </si>
  <si>
    <t>Aroma, Alcohol</t>
  </si>
  <si>
    <t>ECH-LIQ099</t>
  </si>
  <si>
    <t>Arôme naturel de caramel bio 20% vol</t>
  </si>
  <si>
    <t>ECH-LIQ100</t>
  </si>
  <si>
    <t>Arôme naturel de mangue bio 74% vol</t>
  </si>
  <si>
    <t>ECH-LIQ101</t>
  </si>
  <si>
    <t>Arôme naturel de pêche bio 47% vol</t>
  </si>
  <si>
    <t>ECH-LIQ102</t>
  </si>
  <si>
    <t>Infusion de thé noir 25%vol bio</t>
  </si>
  <si>
    <t>Infusion</t>
  </si>
  <si>
    <t>ECH-LIQ103</t>
  </si>
  <si>
    <t xml:space="preserve">Noix de coco extrait bio </t>
  </si>
  <si>
    <t>Aromatech</t>
  </si>
  <si>
    <t>ECH-LIQ104</t>
  </si>
  <si>
    <t xml:space="preserve">Pastèque extrait bio </t>
  </si>
  <si>
    <t>ECH-LIQ105</t>
  </si>
  <si>
    <t xml:space="preserve">Concombre extrait </t>
  </si>
  <si>
    <t>ECH-LIQ106</t>
  </si>
  <si>
    <t>GREEN-OS-L (Chlorophyll)</t>
  </si>
  <si>
    <t>CI 75810 (EU), Helianthus Annuus (Sunflower) Seed Oil</t>
  </si>
  <si>
    <t>Usage level : 1%</t>
  </si>
  <si>
    <t>ECH-LIQ107</t>
  </si>
  <si>
    <t xml:space="preserve">ACB Fruit Mix </t>
  </si>
  <si>
    <t xml:space="preserve">Active Concept </t>
  </si>
  <si>
    <t>Aqua, Vaccinium Myrtillus Fruit Extract, Saccharum Officinarum (Sugar Cane) Extract, Citrus Aurantium Dulcis (Orange) Fruit Extract, Citrus Limon (Lemon) Fruit Extract, Acer Saccharum (Sugar Maple) Extract</t>
  </si>
  <si>
    <t>MOQ 5 kg
Prix pour 20kg : 42,10€/kg
Mélange d'AHA riche en acide lactique, acide glycolique et autres (voir specs)</t>
  </si>
  <si>
    <t>7732-18-5 &amp; 84082-34-8 &amp; 91722-22-4 &amp; 8028-48-6 (OR)
84012-28-2 &amp; 84929-31-7 &amp; 91770-22-8</t>
  </si>
  <si>
    <t>ECH-LIQ108</t>
  </si>
  <si>
    <t>Oat Bio Extract</t>
  </si>
  <si>
    <t>Glycerin, Aqua, Avena Sativa Kernel Extract</t>
  </si>
  <si>
    <t>Extrait d'avoine BIO dans glycérine BIO
Prix sur 25kg mais possibilité 5kg</t>
  </si>
  <si>
    <t>56-81-5, 7732-18-5, 84012-26-0</t>
  </si>
  <si>
    <t>ECH-LIQ109</t>
  </si>
  <si>
    <t>Lotus Flower Extract</t>
  </si>
  <si>
    <t>Glycerin, Aqua, Nelumbo Nucifera Flower Extract</t>
  </si>
  <si>
    <t>Extrait de lotus dans glycérine BIO
Prix sur 5kg
25 kg : 32.55 €/Kg</t>
  </si>
  <si>
    <t>56-81-5, 7732-18-5, 85085-51-4</t>
  </si>
  <si>
    <t>ECH-LIQ110</t>
  </si>
  <si>
    <t>Kopryza</t>
  </si>
  <si>
    <t>Cozmat</t>
  </si>
  <si>
    <t xml:space="preserve">Bacillus / Rice Ferment Filtrate (and) Glycerin (and) Benzyl Alcohol (and) Lactic Acid </t>
  </si>
  <si>
    <r>
      <rPr>
        <sz val="12"/>
        <color theme="1"/>
        <rFont val="Calibri"/>
        <family val="2"/>
      </rPr>
      <t xml:space="preserve">MOQ 5kg
31,72€ pour 10 kg
25,77€ pour 25 kg
</t>
    </r>
    <r>
      <rPr>
        <b/>
        <sz val="12"/>
        <color rgb="FFFF0000"/>
        <rFont val="Calibri"/>
        <family val="2"/>
      </rPr>
      <t xml:space="preserve">Conservé au sodium benzoate et potassium sorbate…. </t>
    </r>
  </si>
  <si>
    <t>ECH-LIQ111</t>
  </si>
  <si>
    <t>Azelactive</t>
  </si>
  <si>
    <t xml:space="preserve">Socri </t>
  </si>
  <si>
    <t>POLYGLYCERYL-6 AZELATE</t>
  </si>
  <si>
    <t>Actif anti acné, anti-rougeur, anti-tâche</t>
  </si>
  <si>
    <t>2 - 25% (up to 50%)
Its low acid number compared to pure azelaic acid (20 vs 600 mgKOH/g), minimizes irritation 
pH-independent
Improved Skin Tone &amp; Brightness
ITA°: +44.4% at T28, +53.5% at T56
Sebum content: -12.8% at T28, -14.7% at T56
Erythema index: -5.3% at T28, -7.7% at T56 Hydration: +16.4% at T28, +26.7% at T56
DHT level: -52% at 0.1% concentration
Cell Viability: +14% at 1% and +9% at 0.3% concentration</t>
  </si>
  <si>
    <t>ECH-LIQ112</t>
  </si>
  <si>
    <t>Capilia Longa-C 01</t>
  </si>
  <si>
    <t>Vytrus</t>
  </si>
  <si>
    <t>Curcuma Longa (Turmeric) Root Extract, Water (Aqua), Pentylene Glycol, Phytic Acid</t>
  </si>
  <si>
    <t>Actif cheveux</t>
  </si>
  <si>
    <t>Suggested use level: 0.5 – 2%</t>
  </si>
  <si>
    <t>ECH-LON001</t>
  </si>
  <si>
    <t>HE Longoza</t>
  </si>
  <si>
    <t>Rééquilibre le micrbiote pour lutter contre l'acné
Diminue la taille des pores
Réduit la sécrétion de sébum
S'ajoute à froid</t>
  </si>
  <si>
    <t>ECH-LOT001</t>
  </si>
  <si>
    <t>Lotus pink absolue A1 Lot 101</t>
  </si>
  <si>
    <t>ECH-MAG001</t>
  </si>
  <si>
    <t>HE Magnolia fleurs</t>
  </si>
  <si>
    <t>ECH-MAL001</t>
  </si>
  <si>
    <t>Maltol Naturel</t>
  </si>
  <si>
    <t xml:space="preserve">pour 500g, 1200€/kg </t>
  </si>
  <si>
    <t>ECH-MAN001</t>
  </si>
  <si>
    <t>H. Essence mandarine</t>
  </si>
  <si>
    <t>ECH-MAN002</t>
  </si>
  <si>
    <t>H. Essence mandarine BIO</t>
  </si>
  <si>
    <t>ECH-MAR001</t>
  </si>
  <si>
    <t>HE Marjolaine à coquilles</t>
  </si>
  <si>
    <t>Origanum Majorana</t>
  </si>
  <si>
    <t>ECH-MEN001</t>
  </si>
  <si>
    <t>HE Pepper minth</t>
  </si>
  <si>
    <t>ECH-MEN002</t>
  </si>
  <si>
    <t>HE Menthe poivrée</t>
  </si>
  <si>
    <t xml:space="preserve">Phytosun arôms </t>
  </si>
  <si>
    <t>ECH-MEN003</t>
  </si>
  <si>
    <t>HE Menthe nanah</t>
  </si>
  <si>
    <t>ECH-MEN004</t>
  </si>
  <si>
    <t xml:space="preserve">HE Menthe poivrée de Provence </t>
  </si>
  <si>
    <t>Mentha Piperita</t>
  </si>
  <si>
    <t>ECH-MET001</t>
  </si>
  <si>
    <t>Methyl Cyclopentenolone</t>
  </si>
  <si>
    <t>ECH-MYR001</t>
  </si>
  <si>
    <t>Myrte vert Tunisie BIO CE</t>
  </si>
  <si>
    <t>ECH-NER001</t>
  </si>
  <si>
    <t>Néroli Tunisie BIO CE</t>
  </si>
  <si>
    <t>ECH-NER002</t>
  </si>
  <si>
    <t>Néroli Tunisie absolue</t>
  </si>
  <si>
    <t xml:space="preserve">  </t>
  </si>
  <si>
    <t>ECH-NER003</t>
  </si>
  <si>
    <t>Oranger absolue Tunisie</t>
  </si>
  <si>
    <t>ECH-NER004</t>
  </si>
  <si>
    <t>Néroli Egypte HE BIO</t>
  </si>
  <si>
    <t>ECH-NIA001</t>
  </si>
  <si>
    <t>HE Niaouli</t>
  </si>
  <si>
    <t>ECH-NIA002</t>
  </si>
  <si>
    <t>HE Niaouli BIO</t>
  </si>
  <si>
    <t>Melaleuca Viridiflora</t>
  </si>
  <si>
    <t>ECH-NIA003</t>
  </si>
  <si>
    <t>ECH-OLI001</t>
  </si>
  <si>
    <t>Olive fruits absolue A1 OLI101</t>
  </si>
  <si>
    <t>ECH-ORA001</t>
  </si>
  <si>
    <t>HE Orange sanguine BIO</t>
  </si>
  <si>
    <t>ECH-ORI001</t>
  </si>
  <si>
    <t>HE Origan du Maroc BIO</t>
  </si>
  <si>
    <t>ECH-ORI002</t>
  </si>
  <si>
    <t>HE bio Origan du Maroc</t>
  </si>
  <si>
    <t>ECH-OSM001</t>
  </si>
  <si>
    <t>Osmanthus absolue</t>
  </si>
  <si>
    <t>ECH-PAL001</t>
  </si>
  <si>
    <t>HE Palo santo</t>
  </si>
  <si>
    <t>ECH-PAM001</t>
  </si>
  <si>
    <t>HE Pamplemousse</t>
  </si>
  <si>
    <t>ECH-PAM002</t>
  </si>
  <si>
    <t>HE Pamplemousse rose BIO</t>
  </si>
  <si>
    <t>ECH-PAM003</t>
  </si>
  <si>
    <t>HE Pamplemousse BIO</t>
  </si>
  <si>
    <t>Citrus Paradisi</t>
  </si>
  <si>
    <t>ECH-PAR001</t>
  </si>
  <si>
    <t>Huile d'Or Natco</t>
  </si>
  <si>
    <t>Expression Parfumée</t>
  </si>
  <si>
    <t>Parfum</t>
  </si>
  <si>
    <t>ECH-PAR002</t>
  </si>
  <si>
    <t>Rose Jasmin</t>
  </si>
  <si>
    <t>Laboratoire Rosier Davenne</t>
  </si>
  <si>
    <t>ECH-PAR003</t>
  </si>
  <si>
    <t>Vert de pamplemousse</t>
  </si>
  <si>
    <t>ECH-PAR004</t>
  </si>
  <si>
    <t>Watermelon</t>
  </si>
  <si>
    <t>ECH-PAR005</t>
  </si>
  <si>
    <t>Sauge</t>
  </si>
  <si>
    <t>ECH-PAR006</t>
  </si>
  <si>
    <t>Ambre jasmin</t>
  </si>
  <si>
    <t>ECH-PAR007</t>
  </si>
  <si>
    <t>Néroli Jasmin</t>
  </si>
  <si>
    <t>ECH-PAR008</t>
  </si>
  <si>
    <t>Compo. Contretype crème concentrée aux actifs repulpants</t>
  </si>
  <si>
    <t>ECH-PAR009</t>
  </si>
  <si>
    <t>Jasmin Néroli A</t>
  </si>
  <si>
    <t>ECH-PAR010</t>
  </si>
  <si>
    <t>ECH-PAR011</t>
  </si>
  <si>
    <t>Sea &amp; Wind</t>
  </si>
  <si>
    <t>ECH-PAR012</t>
  </si>
  <si>
    <t>Jasmin Néroli B</t>
  </si>
  <si>
    <t>ECH-PAR013</t>
  </si>
  <si>
    <t>Orchidée ITM0185974</t>
  </si>
  <si>
    <t>ECH-PAR014</t>
  </si>
  <si>
    <t>Pêche Bergamote ITM0185973</t>
  </si>
  <si>
    <t>ECH-PAR015</t>
  </si>
  <si>
    <t>Feuille de figuier ITM0185975</t>
  </si>
  <si>
    <t>ECH-PAR016</t>
  </si>
  <si>
    <t>Ylang Austral ITM0185977</t>
  </si>
  <si>
    <t>ECH-PAR017</t>
  </si>
  <si>
    <t>Rose anisée ITM0185972</t>
  </si>
  <si>
    <t>ECH-PAR018</t>
  </si>
  <si>
    <t>Eau Celte ITM0185976</t>
  </si>
  <si>
    <t>ECH-PAR019</t>
  </si>
  <si>
    <t>Vanille ITM0452653</t>
  </si>
  <si>
    <t>ECH-PAR020</t>
  </si>
  <si>
    <t>Fleur de coco</t>
  </si>
  <si>
    <t>ECH-PAR021</t>
  </si>
  <si>
    <t>Délices d'Orient</t>
  </si>
  <si>
    <t>ECH-PAR022</t>
  </si>
  <si>
    <t>Monoï fragrance cosmétique</t>
  </si>
  <si>
    <t>ECH-PAR023</t>
  </si>
  <si>
    <t>Lait de coco</t>
  </si>
  <si>
    <t>Rosier Davenne</t>
  </si>
  <si>
    <t>Référence ok solaire
03R/LAICOC</t>
  </si>
  <si>
    <t>ECH-PAR024</t>
  </si>
  <si>
    <t xml:space="preserve">Fleur oranger C </t>
  </si>
  <si>
    <t>Référence ok solaire
03S/FLEORA8</t>
  </si>
  <si>
    <t>ECH-PAR025</t>
  </si>
  <si>
    <t xml:space="preserve">Vanille coco K </t>
  </si>
  <si>
    <t>Référence ok solaire
03R/VANCOC2</t>
  </si>
  <si>
    <t>ECH-PAR026</t>
  </si>
  <si>
    <t xml:space="preserve">Coconut A </t>
  </si>
  <si>
    <t>Référence ok solaire
03/ROUCOC</t>
  </si>
  <si>
    <t>ECH-PAR027</t>
  </si>
  <si>
    <t xml:space="preserve">Glace à la vanille A </t>
  </si>
  <si>
    <t>Référence ok solaire
03R/GLACEV</t>
  </si>
  <si>
    <t>ECH-PAR028</t>
  </si>
  <si>
    <t xml:space="preserve">Sucre vanille A </t>
  </si>
  <si>
    <t>Référence ok solaire
03R/SUCVAN</t>
  </si>
  <si>
    <t>ECH-PAR029</t>
  </si>
  <si>
    <t xml:space="preserve">Pamplemousse et jasmin A </t>
  </si>
  <si>
    <t>Référence ok solaire
03R/PAMJAS</t>
  </si>
  <si>
    <t>ECH-PAR030</t>
  </si>
  <si>
    <t xml:space="preserve">Contretype crème concentrée aux actifs repulpants </t>
  </si>
  <si>
    <t>Reformulation parfum Jasmin Vanessence pour crème concentrée
03R/ACTREP</t>
  </si>
  <si>
    <t>ECH-PAT001</t>
  </si>
  <si>
    <t>Patchouli clair Burunti équitable</t>
  </si>
  <si>
    <t>ECH-PAT002</t>
  </si>
  <si>
    <t>Patchouly 50% cœur essence</t>
  </si>
  <si>
    <t>ECH-PAT003</t>
  </si>
  <si>
    <t xml:space="preserve">Patcouli cœur </t>
  </si>
  <si>
    <t>ECH-PAT004</t>
  </si>
  <si>
    <t>Patchouli Oil Organic MG SMP</t>
  </si>
  <si>
    <t>ECH-PET001</t>
  </si>
  <si>
    <t>Bigarade Mexique</t>
  </si>
  <si>
    <t>ECH-PET002</t>
  </si>
  <si>
    <t>Petit grain Combava organic oil</t>
  </si>
  <si>
    <t>ECH-PET003</t>
  </si>
  <si>
    <t>Petit grain moroco organic oil</t>
  </si>
  <si>
    <t>ECH-PET004</t>
  </si>
  <si>
    <t>HE bio Petit grain bigarade</t>
  </si>
  <si>
    <t>Florame</t>
  </si>
  <si>
    <t>ECH-PIM001</t>
  </si>
  <si>
    <t>HE Piment baies Jamaique</t>
  </si>
  <si>
    <t>ECH-POI001</t>
  </si>
  <si>
    <t>Baies roses Brésil CO2</t>
  </si>
  <si>
    <t>ECH-POI002</t>
  </si>
  <si>
    <t>Poivre Sishuan SFE 974611</t>
  </si>
  <si>
    <t>ECH-POI003</t>
  </si>
  <si>
    <t>Poidre Sishuan CO2 ext. 164630</t>
  </si>
  <si>
    <t>ECH-POI004</t>
  </si>
  <si>
    <t>HE Poivre noir Inde</t>
  </si>
  <si>
    <t>ECH-POI005</t>
  </si>
  <si>
    <t>HE Poivre Timut</t>
  </si>
  <si>
    <t>ECH-RAV001</t>
  </si>
  <si>
    <t>HE Ravintsara</t>
  </si>
  <si>
    <t>ECH-RAV002</t>
  </si>
  <si>
    <t>HE Ravintsara BIO</t>
  </si>
  <si>
    <t>ECH-RAV003</t>
  </si>
  <si>
    <t>ECH-RHU001</t>
  </si>
  <si>
    <t>Rhum SFE 978907</t>
  </si>
  <si>
    <t>ECH-ROM001</t>
  </si>
  <si>
    <t>HE Romarin à cinéole BIO</t>
  </si>
  <si>
    <t>Le comptoir Aroma</t>
  </si>
  <si>
    <t>ECH-ROM002</t>
  </si>
  <si>
    <t>ECH-ROM003</t>
  </si>
  <si>
    <t>HE Romarin à verbénone BIO</t>
  </si>
  <si>
    <t>Aromazone</t>
  </si>
  <si>
    <t>ECH-ROM004</t>
  </si>
  <si>
    <t>HE Romarin à verbénone BIO 06/2022</t>
  </si>
  <si>
    <t>Rosmarinus Officalis Verbenoniferum</t>
  </si>
  <si>
    <t>ECH-ROM005</t>
  </si>
  <si>
    <t>Rosemary Antioxidant extract 25 (organic) DE-ÖKO-013</t>
  </si>
  <si>
    <t>Rosmarinus Officinalis Leaf Extract (and) Helianthus Annuus Seed Oil</t>
  </si>
  <si>
    <t>84604-14-8 (and) 8001-21-6</t>
  </si>
  <si>
    <t>ECH-ROS001</t>
  </si>
  <si>
    <t>Rose Bulgarie</t>
  </si>
  <si>
    <t>ECH-ROS002</t>
  </si>
  <si>
    <t>Rose Turquie absolue A1 ROS504</t>
  </si>
  <si>
    <t>ECH-ROS003</t>
  </si>
  <si>
    <t>Rose abs DM Maroc incolore</t>
  </si>
  <si>
    <t>ECH-ROS004</t>
  </si>
  <si>
    <t>Rose HE Low Methyl eugenol</t>
  </si>
  <si>
    <t>ECH-ROS005</t>
  </si>
  <si>
    <t>Rose Turquie Huile essentielle</t>
  </si>
  <si>
    <t>ECH-ROS006</t>
  </si>
  <si>
    <t>Rose HE Bulgarie</t>
  </si>
  <si>
    <t>ROSA DAMASCENA FLOWER OIL</t>
  </si>
  <si>
    <t>ECH-SAN001</t>
  </si>
  <si>
    <t>Sandalwood new Caledonia</t>
  </si>
  <si>
    <t>ECH-SAN002</t>
  </si>
  <si>
    <t xml:space="preserve">Santal Alba </t>
  </si>
  <si>
    <t>ECH-SAN003</t>
  </si>
  <si>
    <t>Sandalwood Album Oil</t>
  </si>
  <si>
    <t>ECH-SAP001</t>
  </si>
  <si>
    <t>HE Sapin Baumin</t>
  </si>
  <si>
    <t>ECH-SAR001</t>
  </si>
  <si>
    <t>HE Sarriette BIO - Montana</t>
  </si>
  <si>
    <t>ECH-SAR002</t>
  </si>
  <si>
    <t>HE Sarriette BIO 09/2020</t>
  </si>
  <si>
    <t>ECH-SAU001</t>
  </si>
  <si>
    <t>Sauge sclarée traditionelle BIO CE</t>
  </si>
  <si>
    <t>ECH-SAU002</t>
  </si>
  <si>
    <t>HE Sauge Sclarée tradition</t>
  </si>
  <si>
    <t>ECH-SAU003</t>
  </si>
  <si>
    <t>Sauge sclarée absolue</t>
  </si>
  <si>
    <t>ECH-SYN001</t>
  </si>
  <si>
    <t>Synergie HE Lotion biphasée E7</t>
  </si>
  <si>
    <t>Huiles essentielles</t>
  </si>
  <si>
    <t>ECH-SYN002</t>
  </si>
  <si>
    <t>Synergie HE Lotion biphasée E9</t>
  </si>
  <si>
    <t>ECH-TAN001</t>
  </si>
  <si>
    <t>Blue Tansy oil</t>
  </si>
  <si>
    <t>ECH-TAN002</t>
  </si>
  <si>
    <t>HE Camomille Tanaisie Bio</t>
  </si>
  <si>
    <t>250g =&gt; 476€</t>
  </si>
  <si>
    <t>ECH-TAR001</t>
  </si>
  <si>
    <t>Olivem VS Feel</t>
  </si>
  <si>
    <t>ECH-TAR003</t>
  </si>
  <si>
    <t>Nat Sumac Wax</t>
  </si>
  <si>
    <t>ECH-TAR004</t>
  </si>
  <si>
    <t>Laurel wax</t>
  </si>
  <si>
    <t>Rossow</t>
  </si>
  <si>
    <t>ECH-TAR005</t>
  </si>
  <si>
    <t>Tea wax</t>
  </si>
  <si>
    <t>ECH-TAR006</t>
  </si>
  <si>
    <t>Polyaquol OS2</t>
  </si>
  <si>
    <t>Innovacos</t>
  </si>
  <si>
    <t>ECH-TAR007</t>
  </si>
  <si>
    <t>Polyaquol VO4</t>
  </si>
  <si>
    <t>ECH-TAR008</t>
  </si>
  <si>
    <t>Polyaquol LW</t>
  </si>
  <si>
    <t>ECH-TAR009</t>
  </si>
  <si>
    <t>S-Face O-401P</t>
  </si>
  <si>
    <t>ECH-TAR011</t>
  </si>
  <si>
    <t>Dermofeel GSC POF</t>
  </si>
  <si>
    <t>ECH-TAR012</t>
  </si>
  <si>
    <t>Dermofeel Easymuls Plus</t>
  </si>
  <si>
    <t>ECH-TAR013</t>
  </si>
  <si>
    <t>Emulsense</t>
  </si>
  <si>
    <t>ECH-TAR014</t>
  </si>
  <si>
    <t>Savon noir Argan</t>
  </si>
  <si>
    <t>ECH-TAR015</t>
  </si>
  <si>
    <t>Base savon sans palme</t>
  </si>
  <si>
    <t>ECH-TAR016</t>
  </si>
  <si>
    <t>Cire florale Rose</t>
  </si>
  <si>
    <t>Aroma zone</t>
  </si>
  <si>
    <t>ECH-TAR017</t>
  </si>
  <si>
    <t>Nat Rice Bran wax</t>
  </si>
  <si>
    <t>ECH-TAR018</t>
  </si>
  <si>
    <t>Sensocel stab 026-N</t>
  </si>
  <si>
    <t>ECH-TAR019</t>
  </si>
  <si>
    <t>Sucraclear HC-31</t>
  </si>
  <si>
    <t>ECH-TAR021</t>
  </si>
  <si>
    <t>Guenine rice bran wax</t>
  </si>
  <si>
    <t>ECH-TAR022</t>
  </si>
  <si>
    <t>Amidon de maïs</t>
  </si>
  <si>
    <t>ECH-TAR023</t>
  </si>
  <si>
    <t>Sel mer gros essoré saucam 102410</t>
  </si>
  <si>
    <t>ECH-TAR024</t>
  </si>
  <si>
    <t>Sel mer gros séché saucam IA 102851</t>
  </si>
  <si>
    <t>ECH-TAR025</t>
  </si>
  <si>
    <t>Sel mer fin séché saucam IA 102951</t>
  </si>
  <si>
    <t>ECH-TAR026</t>
  </si>
  <si>
    <t>Sensocel oc 200</t>
  </si>
  <si>
    <t>ECH-TAR027</t>
  </si>
  <si>
    <t>Sensocel oc 90</t>
  </si>
  <si>
    <t>ECH-TAR028</t>
  </si>
  <si>
    <t>Sensocel wc 90 oc</t>
  </si>
  <si>
    <t>ECH-TAR029</t>
  </si>
  <si>
    <t xml:space="preserve">Sensocel wc 90  </t>
  </si>
  <si>
    <t>ECH-TAR030</t>
  </si>
  <si>
    <t>Base certifiée BIO Masque Peel OFF F959</t>
  </si>
  <si>
    <t>Nuwen</t>
  </si>
  <si>
    <t>Diatomaceous Earth, Zea Mays Starch, Algin, Calcium Sulfate, Tetrasodium Pyrophosphate</t>
  </si>
  <si>
    <t>ECH-TAR031</t>
  </si>
  <si>
    <t>Masque peel off base translucide - F885</t>
  </si>
  <si>
    <t>ECH-TAR033</t>
  </si>
  <si>
    <t>ECH-TAR034</t>
  </si>
  <si>
    <t>Talc ImerCare Sheersilk</t>
  </si>
  <si>
    <t>ECH-TAR035</t>
  </si>
  <si>
    <t>Diatomaceous earth Imercare 400D</t>
  </si>
  <si>
    <t>ECH-TAR036</t>
  </si>
  <si>
    <t>Talc Imercare Opaline</t>
  </si>
  <si>
    <t>ECH-TAR038</t>
  </si>
  <si>
    <t>Hydriol PGLO.4 (sans palme)</t>
  </si>
  <si>
    <t>Polyglycerol-4-Oleate</t>
  </si>
  <si>
    <t>ECH-TAR039</t>
  </si>
  <si>
    <t>Hydriol PGCL.3</t>
  </si>
  <si>
    <t>Polyglycerol-3-Caprate</t>
  </si>
  <si>
    <t>ECH-TAR040</t>
  </si>
  <si>
    <t>Hydriol PGDI (sans palme)</t>
  </si>
  <si>
    <t>Polyglycerol-3-Diisostearate</t>
  </si>
  <si>
    <t>ECH-TAR041</t>
  </si>
  <si>
    <t>Hydriol PGCL.4</t>
  </si>
  <si>
    <t>Polyglycerin-4-Caprate</t>
  </si>
  <si>
    <t>ECH-TAR042</t>
  </si>
  <si>
    <t>Green Behenic (BAPDMA)</t>
  </si>
  <si>
    <t xml:space="preserve">BehenamidopropylDimethylamine </t>
  </si>
  <si>
    <t>Cire beurre coiffante</t>
  </si>
  <si>
    <t>ECH-TAR043</t>
  </si>
  <si>
    <t>Green Cocoamphoacetate B</t>
  </si>
  <si>
    <t xml:space="preserve">Sodium Babassuamphoacetate </t>
  </si>
  <si>
    <t>Surfactant</t>
  </si>
  <si>
    <t>ECH-TAR044</t>
  </si>
  <si>
    <t>SpecPure BTS Saponins 95</t>
  </si>
  <si>
    <t>Camellia Sinensis Seed Extract</t>
  </si>
  <si>
    <t>ECH-TAR045</t>
  </si>
  <si>
    <t>H-NET LP</t>
  </si>
  <si>
    <t>Lactobacillus/Rice Ferment, Maltitol, Arginine</t>
  </si>
  <si>
    <t>Émulsionnant</t>
  </si>
  <si>
    <t>ECH-TAR046</t>
  </si>
  <si>
    <t>Spectraflex Illusion</t>
  </si>
  <si>
    <t xml:space="preserve">Talc (and) Titanium Dioxide </t>
  </si>
  <si>
    <t>Poudre soft focus</t>
  </si>
  <si>
    <t>ECH-TAR047</t>
  </si>
  <si>
    <t>Dark Red Clay</t>
  </si>
  <si>
    <t>ECH-TAR048</t>
  </si>
  <si>
    <t>Poudre de Reetha</t>
  </si>
  <si>
    <t>Poudre riche saponine</t>
  </si>
  <si>
    <t>ECH-TAR049</t>
  </si>
  <si>
    <t>Microcrystalline Cellulose, Xanthan Gum</t>
  </si>
  <si>
    <t>SENSOCEL® stab 026-N is a natural stabilizing system based on colloidal microcrystalline cellulose. SENSOCEL® stab 026-N enables the stabilization of formulations with a low impact on viscosity and exclusive skin feels. Due to the thixotropic character SENSOCEL® stab 026-N is perfect for sprayable formulations. With a high process stability SENSOCEL® stab 026-N fits perfect into several applications in skin care and rinse-off products</t>
  </si>
  <si>
    <t>ECH-TAR050</t>
  </si>
  <si>
    <t>Sodium Surfactin</t>
  </si>
  <si>
    <t>Tensioactif</t>
  </si>
  <si>
    <t>ECH-TAR051</t>
  </si>
  <si>
    <t>Ina Kanten CS-310 TR</t>
  </si>
  <si>
    <t>Agar</t>
  </si>
  <si>
    <t>ECH-TAR052</t>
  </si>
  <si>
    <t>Ina Kanten CS-320 TR</t>
  </si>
  <si>
    <t>ECH-TAR055</t>
  </si>
  <si>
    <t>AminoSensyl HC</t>
  </si>
  <si>
    <t xml:space="preserve">Brassica Alcohol (and) Brassicyl Valinate Esylate </t>
  </si>
  <si>
    <t>Émulsionnant cationique</t>
  </si>
  <si>
    <t>ECH-TAR056</t>
  </si>
  <si>
    <t>CosmeGreen ES1822+</t>
  </si>
  <si>
    <t xml:space="preserve">INCI : Arachidyl/Behenyl Betainate Esylate (and) Arachidyl/Behenyl Alcohol </t>
  </si>
  <si>
    <t>pH recommandé : entre 3 et 5
À formuler avec solution tampon : Lactate de sodium et acide lactique</t>
  </si>
  <si>
    <t>ECH-TAR057</t>
  </si>
  <si>
    <t xml:space="preserve">PELEMOL GTHS </t>
  </si>
  <si>
    <t>Phoenix chemical</t>
  </si>
  <si>
    <t>gélifiant</t>
  </si>
  <si>
    <t>ECH-TAR058</t>
  </si>
  <si>
    <t>Montanov 202</t>
  </si>
  <si>
    <t>SEPPIC</t>
  </si>
  <si>
    <t>Tensio-actif</t>
  </si>
  <si>
    <t>MOQ : 25kg</t>
  </si>
  <si>
    <t>ECH-TAR059</t>
  </si>
  <si>
    <t>Cire Candelilla</t>
  </si>
  <si>
    <t>Kahlwax</t>
  </si>
  <si>
    <t>ECH-TAR060</t>
  </si>
  <si>
    <t>Olivem 2090</t>
  </si>
  <si>
    <t>Polyglyceryl-4 Oleate (and) Polyglyceryl-3 Polyricinoleate</t>
  </si>
  <si>
    <t>Emulsionnant E/O</t>
  </si>
  <si>
    <t>Sans dérivés d'huile de palme
2 et 4% d'utilisation, avec 30 à 85% de phase grasse
Plus la phase grasse augmente, plus la viscosité augmente
Plus le % d'olivem est élevé, plus la viscosité augmente
C'est bien de gélifier la phase grasse et non la phase aqueuse</t>
  </si>
  <si>
    <t>ECH-TAR061</t>
  </si>
  <si>
    <t>Emultop Velvet IP</t>
  </si>
  <si>
    <t>Cargill</t>
  </si>
  <si>
    <t>Lecithin (and) Glycine Soja (Soybean) Oil</t>
  </si>
  <si>
    <t>Applications: O/W emulsifier • Recommended dosage: 0.2 - 4% • pH range: 4-8 • Easy to use process • Cold or hot process (&lt; 70°C) easy to solubilize in oil phase • Best performance in emollient from polar to weak polar (15-40 mJ/m2 ) • Sensitive to salts
INSTRUCTIONS FOR USE
• Add Emultop Velvet IP in the oil (phase B) 300 rpm during 5 min.
• Put water phase A (with your hydrocolloid texturizer premixed if need it)
• Under ultraturrax at 9500 rpm. Add B in a continuous way (2-3min) into phase A
• Then, follow the homogenization at 9500 rpm during 5 min.
MOQ 50kg</t>
  </si>
  <si>
    <t>Arsenic  &lt; 0,2ppm
Antimony &lt; 0,1ppm
Cadmium &lt; 0,1ppm
Lead &lt; 0,25ppm
Mercury &lt; 0,1ppm
Nickel &lt;0,5ppm</t>
  </si>
  <si>
    <t>ECH-TAR062</t>
  </si>
  <si>
    <t>Savon d'Alep</t>
  </si>
  <si>
    <t>Aqua, Potassium Olivate, Potassium Laurus Nobilate, Glycerin, Olea Europaea Fruit Oil, Laurus Nobilis Fruit Oil</t>
  </si>
  <si>
    <t>Savon</t>
  </si>
  <si>
    <t>ECH-TAR063</t>
  </si>
  <si>
    <t>Savon noir liquide</t>
  </si>
  <si>
    <t>Aqua, Potassium Olivate, Potassium sunflowerseedate, Potassium Cocoate, Glycerin, Sodium Chloride, Citric Acid, Caramel, Potassium Hydroxide</t>
  </si>
  <si>
    <t>ECH-TAR064</t>
  </si>
  <si>
    <t>Witepsol</t>
  </si>
  <si>
    <t>Appro Pharma</t>
  </si>
  <si>
    <t>Glycérides d'acides gras saturés</t>
  </si>
  <si>
    <t>Cire à couler pour suppositoires</t>
  </si>
  <si>
    <t>ECH-TAR065</t>
  </si>
  <si>
    <t>Savon pur Olive</t>
  </si>
  <si>
    <t>Aqua, Potassium Olivate, Glycerin, Olea Europaea Oil</t>
  </si>
  <si>
    <t>ECH-TAR066</t>
  </si>
  <si>
    <t xml:space="preserve">Savon pur </t>
  </si>
  <si>
    <t>Omum</t>
  </si>
  <si>
    <t>ECH-TAR067</t>
  </si>
  <si>
    <t>Saponin+</t>
  </si>
  <si>
    <t>Camelia Oleifera seed extract</t>
  </si>
  <si>
    <t>Moussant</t>
  </si>
  <si>
    <t>ECH-TAR068</t>
  </si>
  <si>
    <t>Tayagel</t>
  </si>
  <si>
    <t>Gellan Gum</t>
  </si>
  <si>
    <t>ECH-TAR069</t>
  </si>
  <si>
    <t>Hydagen 558 P</t>
  </si>
  <si>
    <t>Algin</t>
  </si>
  <si>
    <t>ECH-TAR070</t>
  </si>
  <si>
    <t>Hydagen Clean</t>
  </si>
  <si>
    <t>Glucomannan</t>
  </si>
  <si>
    <t xml:space="preserve">Protocole: Faire un prémélange Glycérine ( 2 fois plus que l'Hydagen ) dans un bécher principal.
Rajouter peu à peu l'eau tout en mélangeau à l'aide d'un barreau aimenté à 500 rpm penndant 20 min à froid.
Viscosité importante à partir de  0,5% </t>
  </si>
  <si>
    <t>ECH-TAR071</t>
  </si>
  <si>
    <t>Xanthan Gum MD-E</t>
  </si>
  <si>
    <t>Xanthan (and) Maltodextrin (and) Erythritol</t>
  </si>
  <si>
    <t>ECH-TAR072</t>
  </si>
  <si>
    <t xml:space="preserve">Biosericum Tara Gum </t>
  </si>
  <si>
    <t>Caesalpinia Spinosa Gum</t>
  </si>
  <si>
    <t>ECH-TAR073</t>
  </si>
  <si>
    <t>Lanette 22</t>
  </si>
  <si>
    <t>Behenyl Alcohol</t>
  </si>
  <si>
    <t>ECH-TAR074</t>
  </si>
  <si>
    <t>Cire Végétale Myrica</t>
  </si>
  <si>
    <t>Myrica Pubescens</t>
  </si>
  <si>
    <t>ECH-TAR075</t>
  </si>
  <si>
    <t>Cire Végétale Sumac</t>
  </si>
  <si>
    <t>Verni Ciflua</t>
  </si>
  <si>
    <t>ECH-TAR076</t>
  </si>
  <si>
    <t>Solagum Tara</t>
  </si>
  <si>
    <t>Process : si émulsion, à mettre à chaud dans la phase grasse avant l'émulsion</t>
  </si>
  <si>
    <t>ECH-TAR077</t>
  </si>
  <si>
    <t>Solagum AX</t>
  </si>
  <si>
    <t>Acacia Senegal Gum &amp; Xanthan Gum</t>
  </si>
  <si>
    <t>ECH-TAR078</t>
  </si>
  <si>
    <t>Sepiclear G7</t>
  </si>
  <si>
    <t>Heptyl Glucoside</t>
  </si>
  <si>
    <t>Solubilisant</t>
  </si>
  <si>
    <t>ECH-TAR079</t>
  </si>
  <si>
    <t>Sodium Cocoyl Glutamate sans palme</t>
  </si>
  <si>
    <t>Aqua, Sodium Cocoyl Glutamate</t>
  </si>
  <si>
    <t>ECH-TAR080</t>
  </si>
  <si>
    <t>Base consistance sans palme</t>
  </si>
  <si>
    <t>Aqua, Lauryl Glucoside</t>
  </si>
  <si>
    <t>ECH-TAR083</t>
  </si>
  <si>
    <t>Pureact Gluco C CO</t>
  </si>
  <si>
    <t>Innospec</t>
  </si>
  <si>
    <t>Aqua , Coco Glucoside (50%)</t>
  </si>
  <si>
    <t>4 mois de délai ; +0,5€ en plus du dérivé palme</t>
  </si>
  <si>
    <t>ECH-TAR084</t>
  </si>
  <si>
    <t xml:space="preserve">SustOleo GMS </t>
  </si>
  <si>
    <t xml:space="preserve">Inolex </t>
  </si>
  <si>
    <t xml:space="preserve">Glyceryl Stearate </t>
  </si>
  <si>
    <t>Co-émulsifiant</t>
  </si>
  <si>
    <r>
      <rPr>
        <b/>
        <sz val="12"/>
        <color rgb="FFFF0000"/>
        <rFont val="Calibri"/>
        <family val="2"/>
      </rPr>
      <t xml:space="preserve">SANS PALME </t>
    </r>
    <r>
      <rPr>
        <sz val="12"/>
        <color rgb="FF000000"/>
        <rFont val="Calibri"/>
        <family val="2"/>
      </rPr>
      <t xml:space="preserve">
En sac de 22,68 KG :
Pour des MOQ De 0 à 150 KG : 27,85 euros/KG DDP
Pour des MOQ De de 151 à 566 KG : 22,95 euros/KG DDP
A partir de 567 KG : 16,54 euros/KG DDP
A beaucoup augmenté depuis 2022…</t>
    </r>
  </si>
  <si>
    <t>ECH-TAR085</t>
  </si>
  <si>
    <t>Savon de Marseille sans palme en paillettes</t>
  </si>
  <si>
    <t>Zea Mays (Corn) Starch</t>
  </si>
  <si>
    <t>Huile de coprah et huile d'olive</t>
  </si>
  <si>
    <t>ECH-TAR086</t>
  </si>
  <si>
    <t>KahlWax 6290 Berry</t>
  </si>
  <si>
    <t>KahlWax-Ingretech</t>
  </si>
  <si>
    <t xml:space="preserve">Cire de Berry </t>
  </si>
  <si>
    <t>27,30€ :kg pour la livraison par 1 sac de 20kg et 25,20€/kg pour la livraison par 2 sacs.</t>
  </si>
  <si>
    <t>ECH-TAR087</t>
  </si>
  <si>
    <t>KahlJelly 7038 Coco</t>
  </si>
  <si>
    <t xml:space="preserve">Gelée de Coco </t>
  </si>
  <si>
    <t>ECH-TAR088</t>
  </si>
  <si>
    <t xml:space="preserve">Gel de Lin </t>
  </si>
  <si>
    <t>ECH-TAR089</t>
  </si>
  <si>
    <t>redSnow</t>
  </si>
  <si>
    <t>Nordmann (Ingredion)</t>
  </si>
  <si>
    <t>Prix pour sac de 20kg
Nativacare 5600 : COSMOS NATURAL amidon « pré-cuit » pour gélifier.
À froid jusqu’à 50°C, défloculeuse ou RS environ 3 à 5min.
Environ 5% pour un gel type « aloe vera »</t>
  </si>
  <si>
    <t>ECH-TAR090</t>
  </si>
  <si>
    <t>Xanthan Gum FEDCS-PC</t>
  </si>
  <si>
    <t>Jungbunzlauer/AMI</t>
  </si>
  <si>
    <t xml:space="preserve">Xanthan gum </t>
  </si>
  <si>
    <t>MOQ : 15kg</t>
  </si>
  <si>
    <t xml:space="preserve">Epaississant </t>
  </si>
  <si>
    <t>ECH-TAR091</t>
  </si>
  <si>
    <t>Geleol MB</t>
  </si>
  <si>
    <t>Origine palme, mais pour essai seulement (pour remplacer Sustoleo GMS)
Donné par FM</t>
  </si>
  <si>
    <t>ECH-TAR092</t>
  </si>
  <si>
    <t>Cire candelilla</t>
  </si>
  <si>
    <t>Euphorbia Cerifera Wax</t>
  </si>
  <si>
    <t xml:space="preserve">Cire  </t>
  </si>
  <si>
    <t>Prix Ingretech</t>
  </si>
  <si>
    <t>ECH-TAR093</t>
  </si>
  <si>
    <t>Olivoil Glutamate SP</t>
  </si>
  <si>
    <t>ACS Phyto</t>
  </si>
  <si>
    <t>Sodium Olivoyl Glutamate, Disodium Cocoyl Glutamate, Aqua, Sodium Chloride</t>
  </si>
  <si>
    <t>Sans huile de palme</t>
  </si>
  <si>
    <t>ECH-TAR094</t>
  </si>
  <si>
    <t>Olivoil Glutamate BWP</t>
  </si>
  <si>
    <t>Aqua, Sodium Olivoyl Glutamate, Disodium Cocoyl Glutamate, Sodium Chloride</t>
  </si>
  <si>
    <t>Sans huile de palme
Concentré à 30%</t>
  </si>
  <si>
    <t>ECH-TAR095</t>
  </si>
  <si>
    <t>Olivoyl Glutamate Emulsifier G-PF</t>
  </si>
  <si>
    <t>Sodium Olivoyl Glutamate, Stearic Acid, Glyceryl Oleate, Glyceryl Stearate, Glyceryl Stearate Citrate, Behenyl Alcohol
INDIRECT PROCESS
Kalichem Labs recommended
1/3 of water phase has to be added to the oily phase under thorough
stirring. Add the remaining 2/3 of water
Attention, pH qui doit rester supérieur à 5,5</t>
  </si>
  <si>
    <t>Emulsionnant O/W</t>
  </si>
  <si>
    <t>Émulsionnant sans huile de palme</t>
  </si>
  <si>
    <t>SustOleo TSB</t>
  </si>
  <si>
    <t xml:space="preserve">Hydrogenated Rapeseed oil </t>
  </si>
  <si>
    <t>Co-émulsionnant O/W</t>
  </si>
  <si>
    <t xml:space="preserve">Sans palme, 100% NAT, équivalent au beurre de karité, stabilise l'émulsion sans recristalliser (pf = 67°C), apporte de la richesse à l'émulsion </t>
  </si>
  <si>
    <t>ECH-TAR097</t>
  </si>
  <si>
    <t>SustOleo TL</t>
  </si>
  <si>
    <t>Trilaurin</t>
  </si>
  <si>
    <t xml:space="preserve">Poudre lipophile, apporte du fondant, toucher doux et poudré à l'émulsion, sans palme </t>
  </si>
  <si>
    <t>ECH-TAR098</t>
  </si>
  <si>
    <t>Holisurf HF</t>
  </si>
  <si>
    <t xml:space="preserve">Ingretech </t>
  </si>
  <si>
    <t>Glycolipids</t>
  </si>
  <si>
    <t>12,5€/kg pour la livraison d’un fut de 200kg (HT, DDP). Validité du prix : 30/07/2023</t>
  </si>
  <si>
    <t>Foaming agent</t>
  </si>
  <si>
    <t>2102535-74-8</t>
  </si>
  <si>
    <t>ECH-TAR099</t>
  </si>
  <si>
    <t>Coco Apple Amino Acids</t>
  </si>
  <si>
    <t>Sodium Cocoyl Apple Amino Acids</t>
  </si>
  <si>
    <t>Moussant sans palme</t>
  </si>
  <si>
    <t>17.50€</t>
  </si>
  <si>
    <t>Coco Apple Amino Acid, EXW69
MOQ 5 kg à 17,50€/kg
 20 kg à 16,25€/kg
120 kg à 10,50€/kg
240 kg à 9,75€/kg
480kg à 9,50
1T à 8,45€/kg
3T à 6,3€/kg</t>
  </si>
  <si>
    <t>ECH-TAR100</t>
  </si>
  <si>
    <t>Alter-Gelitium</t>
  </si>
  <si>
    <t>Sclerotium Gum</t>
  </si>
  <si>
    <t>ECH-TAR101</t>
  </si>
  <si>
    <t>Liponate Jojoba Natfilm</t>
  </si>
  <si>
    <t>Vantage</t>
  </si>
  <si>
    <t xml:space="preserve">Hydrolyzed Jojoba Esters (and) Jojoba Esters (and) Water </t>
  </si>
  <si>
    <t>À essayer dans un gel capillaire.</t>
  </si>
  <si>
    <t>ECH-TAR102</t>
  </si>
  <si>
    <t xml:space="preserve">KELCOSENS Piel Citrus Fiber </t>
  </si>
  <si>
    <t xml:space="preserve">CP Kelco / Azelis </t>
  </si>
  <si>
    <t>Citrus Aurantium Sinensis Peel Extract</t>
  </si>
  <si>
    <r>
      <rPr>
        <sz val="12"/>
        <color rgb="FF000000"/>
        <rFont val="Calibri"/>
        <family val="2"/>
      </rPr>
      <t xml:space="preserve">Fabriqué à partir d'écorces d'agrumes locales upcyclées de la fabrication de jus.                       
Poudre blanc cassé, odeur neutre. Hydrophile </t>
    </r>
    <r>
      <rPr>
        <u/>
        <sz val="12"/>
        <color rgb="FF000000"/>
        <rFont val="Calibri"/>
        <family val="2"/>
      </rPr>
      <t>et</t>
    </r>
    <r>
      <rPr>
        <sz val="12"/>
        <color rgb="FF000000"/>
        <rFont val="Calibri"/>
        <family val="2"/>
      </rPr>
      <t xml:space="preserve"> lipophile. Compatible avec les gommes naturelles.    
</t>
    </r>
    <r>
      <rPr>
        <b/>
        <sz val="12"/>
        <color rgb="FF000000"/>
        <rFont val="Calibri"/>
        <family val="2"/>
      </rPr>
      <t>% of use : 1.5-2.0%</t>
    </r>
    <r>
      <rPr>
        <sz val="12"/>
        <color rgb="FF000000"/>
        <rFont val="Calibri"/>
        <family val="2"/>
      </rPr>
      <t xml:space="preserve">                                                          
pH (1%) = 3,8
MOQ 15kg</t>
    </r>
  </si>
  <si>
    <t>SURFACTANT</t>
  </si>
  <si>
    <t>/</t>
  </si>
  <si>
    <t>ECH-TAR103</t>
  </si>
  <si>
    <t>Co-émulsionnant</t>
  </si>
  <si>
    <t>Sans dérivés de palme !
Co-Emulsifier
Texturizer
Excellent for rich formulations</t>
  </si>
  <si>
    <t>ECH-TAR104</t>
  </si>
  <si>
    <t>Evicare PGPR</t>
  </si>
  <si>
    <t>Polyglyceryl-3 Polyricinoleate</t>
  </si>
  <si>
    <t>Émulsionnant E/H</t>
  </si>
  <si>
    <t xml:space="preserve">Sans dérivés de palme  </t>
  </si>
  <si>
    <t>ECH-TAR105</t>
  </si>
  <si>
    <t>Hydracare G30N (palm free) coco</t>
  </si>
  <si>
    <t>janvier 2024 :
MOQ 5-50 kg à 10€/kg
120 kg à 5.90€/kg
240 5.85€/kg
480 kg à 5.30€/kg
1T à 5.05€/kg</t>
  </si>
  <si>
    <t>ECH-TAR106</t>
  </si>
  <si>
    <t>Liposine Glyglu/R PF</t>
  </si>
  <si>
    <t>Aqua, Potassium Cocoyl Rice Amino Acids, Disodium Cocoyl Glutamate</t>
  </si>
  <si>
    <t>Janvier 2024 :
5 kg à 12.50€/kg
MOQ 25 kg à 11.5€/kg
120kg à 7.50€/kg
240 kg à 7.15€/kg
480 kg à 6,90€/kg
1T à 6,30€/kg</t>
  </si>
  <si>
    <t>ECH-TAR107</t>
  </si>
  <si>
    <t>Coco Barley Amino Acid PF</t>
  </si>
  <si>
    <t>Aqua, Sodium Cocoyl Barley Amino Acids</t>
  </si>
  <si>
    <t>Janvier 2024 :
MOQ 20 kg à 12,50€/kg
50-80 kg à 11,5 €/kg
120 kg à 7.55€/kg
240 kg à 7,20€/kg
480kg à 6.99€/kg
1T à 6,38€/kg</t>
  </si>
  <si>
    <t>ECH-TAR108</t>
  </si>
  <si>
    <t>Potassium Olivate BWP</t>
  </si>
  <si>
    <t>ACS Phyto / Kelichem</t>
  </si>
  <si>
    <t>Potassium Olivate 25-50%, Aqua 50-75%, Sodium Olivoyl Glutamate &lt;1%</t>
  </si>
  <si>
    <t>Savon liquide</t>
  </si>
  <si>
    <t>Fût de 120kg</t>
  </si>
  <si>
    <t>ECH-TAR109</t>
  </si>
  <si>
    <t>Coco Glutamate S30 Standard</t>
  </si>
  <si>
    <t>Disodium Cocoyl Glutamate, Sodium Cocoyl Glutamate</t>
  </si>
  <si>
    <t>ECH-TAR110</t>
  </si>
  <si>
    <t xml:space="preserve">Hydriol PGO </t>
  </si>
  <si>
    <t>Hydrior AG / Lavollée</t>
  </si>
  <si>
    <t>Polyglycerol-4-oleate</t>
  </si>
  <si>
    <t>Emulsifiant W/O</t>
  </si>
  <si>
    <t>9007-48-1</t>
  </si>
  <si>
    <t>ECH-TAR111</t>
  </si>
  <si>
    <t>Cosphaderm SF-D organic</t>
  </si>
  <si>
    <t>Lecithin</t>
  </si>
  <si>
    <t>Co-émulsionnant W/O</t>
  </si>
  <si>
    <t xml:space="preserve">Poudre de lécithine bio dérivée du tournesol par extraction CO2 SC.
Diluer dans l'eau (ratio 1:1) pendant 20 min. Dispersible aussi dans l'huile type CCT. </t>
  </si>
  <si>
    <t>8002-43-5</t>
  </si>
  <si>
    <t>ECH-TAR112</t>
  </si>
  <si>
    <t>Solagum GM</t>
  </si>
  <si>
    <t>Gélifiant aqueux</t>
  </si>
  <si>
    <t>Epaissit 10x plus que la xanthane</t>
  </si>
  <si>
    <t>ECH-TAR113</t>
  </si>
  <si>
    <t>FiberDesign Citrus</t>
  </si>
  <si>
    <t>Univar Solutions</t>
  </si>
  <si>
    <t>Citrus Limon Peel Powder &amp; Sclerotium Gum &amp; Citrus Aurantifolia Peel Powder</t>
  </si>
  <si>
    <t>MOQ de 20kg</t>
  </si>
  <si>
    <t>84929-31-7, 39464-87-4,
90063-52-8</t>
  </si>
  <si>
    <t>ECH-TAR114</t>
  </si>
  <si>
    <t>Beaucester S-6PM</t>
  </si>
  <si>
    <t>Polyglyceryl-6 Stearate</t>
  </si>
  <si>
    <t xml:space="preserve">Tensio-actif </t>
  </si>
  <si>
    <t>HLB 11,3</t>
  </si>
  <si>
    <t>ECH-TAR115</t>
  </si>
  <si>
    <t>ALTER-Emulgel</t>
  </si>
  <si>
    <t>Glucomannan &amp; Anogeissus leiocarpa
bark extract &amp; sodium citrate</t>
  </si>
  <si>
    <t>Gélifiant pour gel-crèmes avec fini silicone-like. Extrait végétal de bouleau d'Afrique et de racine de konjac stabilisé avec du citrate. Poudre beige. 
Recommanded to use at 1,3%.
To formulate O/W emulsions from 5% to 25% oil.
Bonne suspension des pigments
MOQ 10kg</t>
  </si>
  <si>
    <t>Epaississant / Stabilisant</t>
  </si>
  <si>
    <t>ECH-TAR116</t>
  </si>
  <si>
    <t>ALTER-Thickbarley</t>
  </si>
  <si>
    <t>Hordeum vulgare seed flour</t>
  </si>
  <si>
    <t xml:space="preserve">MOQ 20kg
Emulsionnant pour crèmes épaisses
Amidon d'orge modifié thermiquement
Recommanded dosage: 1 to 5%.
PROTOCOL:
• To be incorporated into an emulsion
to thicken and stabilize it.
• Heat at 80°C for 30 minutes. </t>
  </si>
  <si>
    <t>ECH-TAR117</t>
  </si>
  <si>
    <t>Sapogel Q</t>
  </si>
  <si>
    <t>Alchemy / Safic-Alcan</t>
  </si>
  <si>
    <t>Glycerin, Aqua, Quillaja Saponaria Wood Extract, Saponaria Officinalis Leaf/Root Extract</t>
  </si>
  <si>
    <t>56-81-5 ; 7732-18-5 ; 68990-67-0 ; 84775-97-3</t>
  </si>
  <si>
    <t>ECH-TAR118</t>
  </si>
  <si>
    <t>Phosal 40 IP</t>
  </si>
  <si>
    <t>Lecithin, Helianthus Annuus Seed Oil, Alcohol, Tocopherol</t>
  </si>
  <si>
    <t>MOQ 10kg
Permet d'encapsuler des actifs lipo</t>
  </si>
  <si>
    <t>ECH-TAR119</t>
  </si>
  <si>
    <t>SeaBalance 2000</t>
  </si>
  <si>
    <t>Carbonwave</t>
  </si>
  <si>
    <t xml:space="preserve">Microcrystalline Cellulose, Algin, Xanthan Gum, Pentylene Glycol </t>
  </si>
  <si>
    <t>Emulsionnant principal 2-6% : jusqu'à 25% de phase grasse
Peut s'utiliser en stabilisant à 1%
Utiliser un co-émulsionnant si pH élevé
Forme un réseau comme un gélifiant
Viscosité immédiate à la différence des OH gras</t>
  </si>
  <si>
    <t>ECH-TAR120</t>
  </si>
  <si>
    <t>ALTER-Emulfaba</t>
  </si>
  <si>
    <t>Acacia Senegal Gum, Sclerotium Gum, Hydrolyzed Cicer Seed Extract</t>
  </si>
  <si>
    <t>Emulsifiant O/W</t>
  </si>
  <si>
    <t xml:space="preserve">Recommanded to use at 2%
Hot emulsification (from 45°C) in
aqueous phase. Disperse in water first with
deflocculator turbine. Add Oil phase (from 45°C) up to 40%. Use rotor stator to mix </t>
  </si>
  <si>
    <t>ECH-TAR121</t>
  </si>
  <si>
    <t>Hydriol PGHO.4</t>
  </si>
  <si>
    <t>Lavollée / Hydrior</t>
  </si>
  <si>
    <t>Polyglyceryl-4 Oleate</t>
  </si>
  <si>
    <t>HLB 13</t>
  </si>
  <si>
    <t>ECH-TAR122</t>
  </si>
  <si>
    <t>Hydriol PGLO.4</t>
  </si>
  <si>
    <t>HLB 10</t>
  </si>
  <si>
    <t>ECH-TAR123</t>
  </si>
  <si>
    <t xml:space="preserve">AVOMULS LOW </t>
  </si>
  <si>
    <t>Greengredients</t>
  </si>
  <si>
    <t>Polyglyceryl-4 Isostearate (and) Persea Gratissima (Avocado) Oil (and) Olea Europaea (Olive) Oil Unsaponifiables</t>
  </si>
  <si>
    <t xml:space="preserve">MOQ 20kg
HLB 12  </t>
  </si>
  <si>
    <t>ECH-TAR124</t>
  </si>
  <si>
    <t xml:space="preserve">STABILGREEN K </t>
  </si>
  <si>
    <t xml:space="preserve">Polyglyceryl-4 Oleyl Ether (and) Oleyl Phosphate </t>
  </si>
  <si>
    <t>Co-émulsifiant O/W</t>
  </si>
  <si>
    <t xml:space="preserve">MOQ 20kg
HLB 11 </t>
  </si>
  <si>
    <t>ECH-TAR125</t>
  </si>
  <si>
    <t>LACTIQUAT</t>
  </si>
  <si>
    <t>Socri</t>
  </si>
  <si>
    <t>POLYGLYCERYL-3 BETAINATE LACTATE</t>
  </si>
  <si>
    <t>Polymère cationique</t>
  </si>
  <si>
    <t>% OF USE: 2.0% - 5.0% 
pH range of 4.5 to 6.5 
Tests réalisés sur la peau (pour les cheveux, voir le Greenquat)</t>
  </si>
  <si>
    <t>ECH-TAR126</t>
  </si>
  <si>
    <t>GREENQUAT BT</t>
  </si>
  <si>
    <t>Polyglyceryl-3 Betainate Acetate</t>
  </si>
  <si>
    <t>GREENQUAT® BT delivers conditioned and
moisturized after-feel on damaged hair.
Co-polymère améliorant le démêlage et l'aspect des cheveux.
Liquid form and cold-processable</t>
  </si>
  <si>
    <t>ECH-TAR127</t>
  </si>
  <si>
    <t>Olifeel E-NAT W/O</t>
  </si>
  <si>
    <t>Polyglyceryl-3 Polyricinoleate
Polyglyceryl-3 Oleate</t>
  </si>
  <si>
    <t>Emulsionnant W/O</t>
  </si>
  <si>
    <t>entre 3 et 6%
HLB = 5
Hot and cold process</t>
  </si>
  <si>
    <t>ECH-TAR128</t>
  </si>
  <si>
    <t xml:space="preserve">OLEAMULS LOW </t>
  </si>
  <si>
    <t>POLYGLYCERYL-6 OLEATE, POTASSIUM OLIVATE</t>
  </si>
  <si>
    <t>TA non ionique, liquide
MOQ 20 kg
22,34€/kg pour 200kg</t>
  </si>
  <si>
    <t>ECH-TAR129</t>
  </si>
  <si>
    <t>OLEAMULS OW</t>
  </si>
  <si>
    <t>POLYGLYCERYL-4 STEARATE, POTASSIUM OLIVATE</t>
  </si>
  <si>
    <t>TA non ionique et anionique, solide
MOQ 20kg
20,20€/kg pour 200kg</t>
  </si>
  <si>
    <t>ECH-TEA001</t>
  </si>
  <si>
    <t>Tea tree feuille et tige terminale Afrique du Sud BIO</t>
  </si>
  <si>
    <t>Golgemma</t>
  </si>
  <si>
    <t>ECH-THE001</t>
  </si>
  <si>
    <t>Thé noir SFE 987529</t>
  </si>
  <si>
    <t>ECH-THE003</t>
  </si>
  <si>
    <t>Thé vert bio SFE 987725</t>
  </si>
  <si>
    <t>560€/kg HT, 672€/kg TTC. % utilisation : max 2.80% pour contour yeux</t>
  </si>
  <si>
    <t>ECH-THY001</t>
  </si>
  <si>
    <t>HE Thym Linalol</t>
  </si>
  <si>
    <t>Thymus Vulgaris Linaloliferum</t>
  </si>
  <si>
    <t>ECH-THY002</t>
  </si>
  <si>
    <t>HE Thym à thujanol</t>
  </si>
  <si>
    <t>ECH-THY003</t>
  </si>
  <si>
    <t>HE Thym vulgaire à linalol de Provence</t>
  </si>
  <si>
    <t>Thymus Vulgaris</t>
  </si>
  <si>
    <t>ECH-TON001</t>
  </si>
  <si>
    <t>Tonka bean abs organic 30 ETH</t>
  </si>
  <si>
    <t xml:space="preserve">Dipteryx Odorata Bean Extract, Alcohol </t>
  </si>
  <si>
    <t>ECH-TON002</t>
  </si>
  <si>
    <t>Tonka absolue</t>
  </si>
  <si>
    <t>Absolue</t>
  </si>
  <si>
    <t>ECH-TUB001</t>
  </si>
  <si>
    <t>Tubéreuse Indes CLLE absolue</t>
  </si>
  <si>
    <t>ECH-VAN001</t>
  </si>
  <si>
    <t>Vanilla EA35 Oleoresin</t>
  </si>
  <si>
    <t>ECH-VAN002</t>
  </si>
  <si>
    <t>Extrait CO2 Vanille</t>
  </si>
  <si>
    <t>ECH-VAN003</t>
  </si>
  <si>
    <t>Vanille planifolia SFE 990098</t>
  </si>
  <si>
    <t>ECH-VAN004</t>
  </si>
  <si>
    <t>Vanille planifolia extrait BIO</t>
  </si>
  <si>
    <t>Extrait hydroalcoolique</t>
  </si>
  <si>
    <t>ECH-VAN005</t>
  </si>
  <si>
    <t>Vanille extrait CO2 MP525</t>
  </si>
  <si>
    <t>ECH-VER001</t>
  </si>
  <si>
    <t>HE Verveine citronée</t>
  </si>
  <si>
    <t>ECH-VET001</t>
  </si>
  <si>
    <t>Vetyver Uruguay type bourbon</t>
  </si>
  <si>
    <t>ECH-VET002</t>
  </si>
  <si>
    <t>Vetyver Haïti BIO CE</t>
  </si>
  <si>
    <t>ECH-VIO001</t>
  </si>
  <si>
    <t>Violette abs. D.M. Incolore</t>
  </si>
  <si>
    <t>ECH-YLA001</t>
  </si>
  <si>
    <t>Ylang complète Madagascar</t>
  </si>
  <si>
    <t>ECH-YLA002</t>
  </si>
  <si>
    <t>Ylang Comores III oil</t>
  </si>
  <si>
    <t>ECH-YLA003</t>
  </si>
  <si>
    <t>Ylang Comores complète org. Oil</t>
  </si>
  <si>
    <t>ECH-YLA004</t>
  </si>
  <si>
    <t>Ylang Comores complète oil</t>
  </si>
  <si>
    <t>ECH-YLA005</t>
  </si>
  <si>
    <t>Ylang Madagascar complète org. Oil</t>
  </si>
  <si>
    <t>ECH-YUZ001</t>
  </si>
  <si>
    <t>YUZU</t>
  </si>
  <si>
    <t>ECH-ZDR</t>
  </si>
  <si>
    <t>Zdravetz oil</t>
  </si>
  <si>
    <t>Odeur entre géranium et patchouli</t>
  </si>
  <si>
    <t>MP000</t>
  </si>
  <si>
    <t>Eau déminéralisée</t>
  </si>
  <si>
    <t>Aqua</t>
  </si>
  <si>
    <t>SOLVANT</t>
  </si>
  <si>
    <t>7732-18-5</t>
  </si>
  <si>
    <t>MP001</t>
  </si>
  <si>
    <t>ACB Wakame BioFerment Advancer</t>
  </si>
  <si>
    <t>Active Concept / Formulator sample</t>
  </si>
  <si>
    <t xml:space="preserve">Undaria Pinnatifida Cell Culture Extract 98%, Leuconostoc/Radish Root Ferment Filtrate 2% </t>
  </si>
  <si>
    <t>ACTIF</t>
  </si>
  <si>
    <t>NA/1686112-10-6</t>
  </si>
  <si>
    <t>Heavy Metals &lt; 20 ppm
Lead &lt; 10 ppm
Arsenic &lt; 2 ppm 
Cadmium &lt; 1 ppm</t>
  </si>
  <si>
    <t>MP002</t>
  </si>
  <si>
    <t>Acide hyaluronique nano</t>
  </si>
  <si>
    <t>Hyasource care mini</t>
  </si>
  <si>
    <t>MP003</t>
  </si>
  <si>
    <t>RedSnow</t>
  </si>
  <si>
    <t>Levhoss</t>
  </si>
  <si>
    <t>Propanediol (and) Water (and) Camellia Japonica Flower Extract</t>
  </si>
  <si>
    <t>50% Propanediol
48% Water
2% Camellia Japonica Flower Extract</t>
  </si>
  <si>
    <t xml:space="preserve">504-63-2
7732-18-5
223748-13-8 </t>
  </si>
  <si>
    <t>MP004</t>
  </si>
  <si>
    <t>Cranberry PE 30% organic acids HK050115</t>
  </si>
  <si>
    <t>MP005</t>
  </si>
  <si>
    <t>Inuline</t>
  </si>
  <si>
    <t>Inutec H25P</t>
  </si>
  <si>
    <t>MP006</t>
  </si>
  <si>
    <t>Hyasource care 10K</t>
  </si>
  <si>
    <t>Hydrolyzed Sodium Hyaluronate</t>
  </si>
  <si>
    <t>9067-32-7</t>
  </si>
  <si>
    <t>Glucuronic Acid ≥45.0%
Heavy Metals (As Lead) ≤20ppm
Arsenic ≤2ppm</t>
  </si>
  <si>
    <t>MP007</t>
  </si>
  <si>
    <t>Hyasource care 1000K</t>
  </si>
  <si>
    <t>MP008</t>
  </si>
  <si>
    <t>Gromwell Extractive</t>
  </si>
  <si>
    <t>Helianthus Annuus Hybrid Oil 90%, Simmondsia Chinensis Seed Oil 5%, Lithospermum Erythrorhizon Root Extract 5%</t>
  </si>
  <si>
    <t>ACTIF / COLORANT</t>
  </si>
  <si>
    <t>MP008V2</t>
  </si>
  <si>
    <t>Helianthus Annuus Hybrid Oil 95%, Lithospermum Erythrorhizon Root Extract 5%</t>
  </si>
  <si>
    <t>MP009</t>
  </si>
  <si>
    <t>Coenzyme Q10</t>
  </si>
  <si>
    <t>Azélis</t>
  </si>
  <si>
    <t>ANTIOXIDANT
SKIN CONDITIONING</t>
  </si>
  <si>
    <t xml:space="preserve">	303-98-0 / 1339-63-5 / 60684-33-5  </t>
  </si>
  <si>
    <t>MP010</t>
  </si>
  <si>
    <t xml:space="preserve">CosmePhytami Oat </t>
  </si>
  <si>
    <t>Alban Muller / CRODA</t>
  </si>
  <si>
    <t>Glycerin (and) Avena Sativa Kernel Extract</t>
  </si>
  <si>
    <t>Ancien code : ECH-LIQ009
Prix de février 2024
Grosse augmentation depuis 2019 !
MOQ 5kg 
Sur 25kg : 23,86€/kg</t>
  </si>
  <si>
    <t>56-81-5 / 84012-26-0</t>
  </si>
  <si>
    <r>
      <rPr>
        <b/>
        <sz val="12"/>
        <color theme="1"/>
        <rFont val="Calibri"/>
        <family val="2"/>
      </rPr>
      <t xml:space="preserve">Pesticides : </t>
    </r>
    <r>
      <rPr>
        <sz val="12"/>
        <color theme="1"/>
        <rFont val="Calibri"/>
        <family val="2"/>
      </rPr>
      <t xml:space="preserve">0 </t>
    </r>
    <r>
      <rPr>
        <b/>
        <sz val="12"/>
        <color theme="1"/>
        <rFont val="Calibri"/>
        <family val="2"/>
      </rPr>
      <t xml:space="preserve">; Métaux toxiques : </t>
    </r>
    <r>
      <rPr>
        <sz val="12"/>
        <color theme="1"/>
        <rFont val="Calibri"/>
        <family val="2"/>
      </rPr>
      <t xml:space="preserve">Arsenic &lt; 2 ppm
Cadmium &lt; 1 ppm
Mercure &lt; 0,1 ppm
Plomb &lt; 5 ppm ; </t>
    </r>
    <r>
      <rPr>
        <b/>
        <sz val="12"/>
        <color theme="1"/>
        <rFont val="Calibri"/>
        <family val="2"/>
      </rPr>
      <t xml:space="preserve">Ethanol </t>
    </r>
    <r>
      <rPr>
        <sz val="12"/>
        <color theme="1"/>
        <rFont val="Calibri"/>
        <family val="2"/>
      </rPr>
      <t xml:space="preserve">&lt; 500 ppm ; </t>
    </r>
    <r>
      <rPr>
        <b/>
        <sz val="12"/>
        <color theme="1"/>
        <rFont val="Calibri"/>
        <family val="2"/>
      </rPr>
      <t>COV</t>
    </r>
    <r>
      <rPr>
        <sz val="12"/>
        <color theme="1"/>
        <rFont val="Calibri"/>
        <family val="2"/>
      </rPr>
      <t xml:space="preserve"> : 0 ; </t>
    </r>
    <r>
      <rPr>
        <b/>
        <sz val="12"/>
        <color theme="1"/>
        <rFont val="Calibri"/>
        <family val="2"/>
      </rPr>
      <t>Ethers de glycol :</t>
    </r>
    <r>
      <rPr>
        <sz val="12"/>
        <color theme="1"/>
        <rFont val="Calibri"/>
        <family val="2"/>
      </rPr>
      <t xml:space="preserve"> 0 ;</t>
    </r>
    <r>
      <rPr>
        <b/>
        <sz val="12"/>
        <color theme="1"/>
        <rFont val="Calibri"/>
        <family val="2"/>
      </rPr>
      <t xml:space="preserve">  Formaldéhyde</t>
    </r>
    <r>
      <rPr>
        <sz val="12"/>
        <color theme="1"/>
        <rFont val="Calibri"/>
        <family val="2"/>
      </rPr>
      <t xml:space="preserve"> &lt;1ppm ; </t>
    </r>
    <r>
      <rPr>
        <b/>
        <sz val="12"/>
        <color theme="1"/>
        <rFont val="Calibri"/>
        <family val="2"/>
      </rPr>
      <t>Diéthylène glycol</t>
    </r>
    <r>
      <rPr>
        <sz val="12"/>
        <color theme="1"/>
        <rFont val="Calibri"/>
        <family val="2"/>
      </rPr>
      <t xml:space="preserve"> &lt;=0,1%</t>
    </r>
  </si>
  <si>
    <t>MP011</t>
  </si>
  <si>
    <t>Cristalhyal</t>
  </si>
  <si>
    <t>1kg</t>
  </si>
  <si>
    <t>ACTIF HYDRATANT</t>
  </si>
  <si>
    <r>
      <rPr>
        <b/>
        <sz val="12"/>
        <color theme="1"/>
        <rFont val="Calibri"/>
        <family val="2"/>
      </rPr>
      <t>Heavy metals</t>
    </r>
    <r>
      <rPr>
        <sz val="12"/>
        <color theme="1"/>
        <rFont val="Calibri"/>
        <family val="2"/>
      </rPr>
      <t xml:space="preserve"> : As &lt; 1 ppm; Cd &lt; 1 ppm; Co &lt; 1 ppm; Cr &lt; 1 ppm;
Hg &lt; 1 ppm; Ni &lt; 1 ppm; Pb &lt; 1 ppm; Sb &lt; 1 ppm;                                                         </t>
    </r>
    <r>
      <rPr>
        <b/>
        <sz val="12"/>
        <color theme="1"/>
        <rFont val="Calibri"/>
        <family val="2"/>
      </rPr>
      <t xml:space="preserve">Autres : </t>
    </r>
    <r>
      <rPr>
        <sz val="12"/>
        <color theme="1"/>
        <rFont val="Calibri"/>
        <family val="2"/>
      </rPr>
      <t>Ethanol (CAS 64-17-5) : 0.04%
Hydrogen Peroxide (CAS 7722-84-1) : 0.01%</t>
    </r>
  </si>
  <si>
    <t>MP012</t>
  </si>
  <si>
    <t>9004-61-9</t>
  </si>
  <si>
    <r>
      <rPr>
        <b/>
        <sz val="12"/>
        <color theme="1"/>
        <rFont val="Calibri"/>
        <family val="2"/>
      </rPr>
      <t>Heavy metals</t>
    </r>
    <r>
      <rPr>
        <sz val="12"/>
        <color theme="1"/>
        <rFont val="Calibri"/>
        <family val="2"/>
      </rPr>
      <t xml:space="preserve"> : As &lt; 0.03ppm; Cd &lt; 0.01ppm; Co &lt; 0.06 ppm; Cr 0.11ppm;Hg &lt; 0.005ppm; Ni &lt;0.015ppm; Pb &lt;0.04ppm; Sb &lt; 0.02ppm;V &lt;0.01 ppm ; </t>
    </r>
    <r>
      <rPr>
        <b/>
        <sz val="12"/>
        <color theme="1"/>
        <rFont val="Calibri"/>
        <family val="2"/>
      </rPr>
      <t>Autres :</t>
    </r>
    <r>
      <rPr>
        <sz val="12"/>
        <color theme="1"/>
        <rFont val="Calibri"/>
        <family val="2"/>
      </rPr>
      <t xml:space="preserve"> Ethanol &lt; 1%</t>
    </r>
  </si>
  <si>
    <t>MP013</t>
  </si>
  <si>
    <t>Cosme-phytami Lotus</t>
  </si>
  <si>
    <t>Glycerin 95%, Nelumbo Nucifera Flower Extract 5%</t>
  </si>
  <si>
    <t xml:space="preserve">32€ du kg pour 25kg	                                                  43.88€/kg	Pack 5kg – MOQ 10kg (tarif valable jusqu'au 30/09/23) ; Min de facturation 500€
Code échantillon : ECH-LIQ087 </t>
  </si>
  <si>
    <t>Solvent
Skin conditionning</t>
  </si>
  <si>
    <t>56-81-5, 85085-51-4</t>
  </si>
  <si>
    <t>Arsenic &lt; 2 ppm
Cadmium &lt; 1 ppm
Mercure &lt; 0,1 ppm
Plomb &lt; 5 ppm
Ethanol &lt; 500 ppm</t>
  </si>
  <si>
    <t>MP014</t>
  </si>
  <si>
    <t xml:space="preserve">Green Natural Anhydrous Cafféine </t>
  </si>
  <si>
    <t>Caffeine</t>
  </si>
  <si>
    <t>Obtenue à partir des grains de café vert Coffea Canephora (Robusta) &amp; Coffea Arabica, extraction CO2 SC
Anciennement ECH-AP098
Code : BCE3046
Nom : GREEN CAFFEIN
Seuil : 25,00	
Prix : 90,00
CGV : Tarif FR de port - min de facturation : 200€ HT / +
Frais admin de 50 Euros HT pour commande &lt; à 500 € HT.
Délai livraison standard : 3 à 4 semaines après réception de la commande                                                         
Pour 1kg : 200 Euros/kg HT.</t>
  </si>
  <si>
    <t>SKIN CONDITIONING</t>
  </si>
  <si>
    <t>58-08-2</t>
  </si>
  <si>
    <t>Unité : mg/kg
Arsenic &lt; 0,01
Cadmium &lt; 0,01
Mercure &lt; 0,01
Plomb &lt; 0,01
Cobalt &lt; 0,01
Nickel &lt; 0,01</t>
  </si>
  <si>
    <t>MP015</t>
  </si>
  <si>
    <t>Bionap</t>
  </si>
  <si>
    <t>Opuntia Ficus-Indica stem extract (and) Maltodextrin</t>
  </si>
  <si>
    <t>Anciennement ECH-AP077                                        
65% d'extrait                                                                    
0,5 et 5%
Ratio = 1:25
Microbiome-friendly formulations
Skin care and hair care products for dry and sensitive skin Skin repair
Co-adjuvant in anti-dandruff shampoo
Cosmetic products for acne-prone skin                 
MOQ 5kg</t>
  </si>
  <si>
    <t>90082-21-6 / 9050-36-6</t>
  </si>
  <si>
    <t>Ethanol &lt;0,2%                                                               
Arsenic (As) &lt; 1 ppm
Antimony (Sb) &lt; 10 ppm
Lead (Pb) &lt; 3 ppm
Cadmium (Cd) &lt; 1 ppm
Cobalt (Co) &lt; 5 ppm
Chromium (Cr) &lt; 1 ppm
Mercury (Hg) &lt; 0,1 ppm
Nickel (Ni) &lt; 10 ppm</t>
  </si>
  <si>
    <t>MP016</t>
  </si>
  <si>
    <t>Aqua (and) Calcium hydroxide</t>
  </si>
  <si>
    <t>Ajusteur de pH / Actif nettoyant</t>
  </si>
  <si>
    <t>MP017</t>
  </si>
  <si>
    <t>HAIR CONDITIONING
MOISTURISING
SKIN CONDITIONING</t>
  </si>
  <si>
    <t>MP018</t>
  </si>
  <si>
    <t>Helianthus annuus (Sunflower) Seed Oil, Retinol, Tocopherol, Rosmarinus Officinalis (Rosemary) Leaf Extract</t>
  </si>
  <si>
    <t xml:space="preserve">En attente de reproduction </t>
  </si>
  <si>
    <t>MP019</t>
  </si>
  <si>
    <t>Water, Vaccinium Myrtillus Fruit Extract, Saccharum
Officinarum (Sugar Cane) Extract, Citrus Aurantium Dulcis (Orange)
Fruit Extract, Citrus Limon (Lemon) Fruit Extract, Acer Saccharum
(Sugar Maple) Extract</t>
  </si>
  <si>
    <t>MOQ 5kg
42,10€/kg pour 20kg</t>
  </si>
  <si>
    <t>MP100B</t>
  </si>
  <si>
    <t>Huile vegetale Noix de Coco Vierge bio</t>
  </si>
  <si>
    <t>Cocos Nucifera Oil*</t>
  </si>
  <si>
    <t>EMOLLIENT</t>
  </si>
  <si>
    <t>8001-31-8</t>
  </si>
  <si>
    <t>MP1000B</t>
  </si>
  <si>
    <t>Thé verte feuille BIO</t>
  </si>
  <si>
    <t>Thé vert Bio ZW455</t>
  </si>
  <si>
    <t>MP1001</t>
  </si>
  <si>
    <t>Nénuphar racine</t>
  </si>
  <si>
    <t>Nénuphar Racine NEN12</t>
  </si>
  <si>
    <t>MP1002B</t>
  </si>
  <si>
    <t>Hibiscus fleur BIO</t>
  </si>
  <si>
    <t>Hibiscus Sabdariffa L. Flower Extract</t>
  </si>
  <si>
    <t>MP1003B</t>
  </si>
  <si>
    <t>Maté</t>
  </si>
  <si>
    <t>Ilex Paraguariensis Leaf*</t>
  </si>
  <si>
    <t>-</t>
  </si>
  <si>
    <t>MP1004B</t>
  </si>
  <si>
    <t>Rooibos partie aérienne BIO</t>
  </si>
  <si>
    <t>Aspalathus Linearis Leaf</t>
  </si>
  <si>
    <t>MP1005</t>
  </si>
  <si>
    <t>Roucou graine</t>
  </si>
  <si>
    <t>Roucou graine ROC11</t>
  </si>
  <si>
    <t>MP1006B</t>
  </si>
  <si>
    <t>Sauge sclarée partie aérienne</t>
  </si>
  <si>
    <t>Sauge sclarée partie aérienne SAU13.C</t>
  </si>
  <si>
    <t>MP1007B</t>
  </si>
  <si>
    <t>Guimauve BIO France Racine coupé</t>
  </si>
  <si>
    <t>Cailleau Herboristerie</t>
  </si>
  <si>
    <t>Althaea Officinalis Root (Extract si infusion)</t>
  </si>
  <si>
    <t>MP1009</t>
  </si>
  <si>
    <t>Camomille fleurs triées BIO</t>
  </si>
  <si>
    <t>Camomille Romaine fleur triée France BIO</t>
  </si>
  <si>
    <t>MP101B</t>
  </si>
  <si>
    <t>Huile végétale de Baobab vierge BIO</t>
  </si>
  <si>
    <t>Ubuntu Baobab</t>
  </si>
  <si>
    <t>MP1010B</t>
  </si>
  <si>
    <t>Lavande fleurs bio</t>
  </si>
  <si>
    <t>Lavandula Angustifolia Flower*</t>
  </si>
  <si>
    <t>MP1010EXTRACT</t>
  </si>
  <si>
    <t>Extrait de lavande fleurs bio</t>
  </si>
  <si>
    <t>Lavandula Angustifolia Flower Extract*</t>
  </si>
  <si>
    <t>Issus du macérât</t>
  </si>
  <si>
    <t>"ANTI-SEBUM
ANTIMICROBIAL
SKIN CONDITIONING
SKIN PROTECTING"</t>
  </si>
  <si>
    <t>90063-37-9</t>
  </si>
  <si>
    <t>MP102B</t>
  </si>
  <si>
    <t>Huile végétale d'Amande douce vierge BIO</t>
  </si>
  <si>
    <t>MP103B</t>
  </si>
  <si>
    <t>Huile végétale Macadamia Vierge BIO</t>
  </si>
  <si>
    <t>Macadamia Ternifolia Seed Oil*</t>
  </si>
  <si>
    <t>Pour 50kg</t>
  </si>
  <si>
    <t>128497-20-1 / 129811-19-4</t>
  </si>
  <si>
    <t>MP104B</t>
  </si>
  <si>
    <t>Huile végétale Jojoba Vierge bio</t>
  </si>
  <si>
    <t>Simmondsia Chinensis Seed oil*</t>
  </si>
  <si>
    <t>90045-98-0</t>
  </si>
  <si>
    <t>MP105B</t>
  </si>
  <si>
    <t>Huile végétale de sésame vierge bio</t>
  </si>
  <si>
    <t>Sesamum Indicum Seed Oil*</t>
  </si>
  <si>
    <t>8008-74-0</t>
  </si>
  <si>
    <t>MP106B</t>
  </si>
  <si>
    <t>Huile végétale Colza Vierge bio</t>
  </si>
  <si>
    <t>MP107</t>
  </si>
  <si>
    <t>Huile de Buriti vierge</t>
  </si>
  <si>
    <t xml:space="preserve">394239-6 7-9 </t>
  </si>
  <si>
    <t>MP108</t>
  </si>
  <si>
    <t>Cire de riz</t>
  </si>
  <si>
    <t>MP109</t>
  </si>
  <si>
    <t>Huile végétale noisette torréfiée</t>
  </si>
  <si>
    <t>MP110B</t>
  </si>
  <si>
    <t>Huile vierge de prune bio</t>
  </si>
  <si>
    <t>Perle de Gascogne</t>
  </si>
  <si>
    <t>Prunus Domestica Seed Oil</t>
  </si>
  <si>
    <t>90082-87-4</t>
  </si>
  <si>
    <t>mg/kg
Mercury &lt;0,005
Arsenic &lt;0,05
Cadmium &lt; 0,01
Tin &lt; 1
Nickel &lt; 0,15
Lead &lt;0,04
Ochratoxin A &lt;1
A flatoxinsB1, B2, G1, G2 &lt;4
A flatoxins &lt;1
Benzo(a)pyrène &lt;0,5
4 PAHs &lt;0,5
Copper &lt;0,4
Iron &lt;5</t>
  </si>
  <si>
    <t>MP111B</t>
  </si>
  <si>
    <t>Huile végétale d'argan BIO</t>
  </si>
  <si>
    <t>Argania Spinosa Kernel Oil*</t>
  </si>
  <si>
    <t xml:space="preserve">223747-87-3 ; 299184-75-1  </t>
  </si>
  <si>
    <t>MP112</t>
  </si>
  <si>
    <t>Pandanus Conoideus Fruit Oil</t>
  </si>
  <si>
    <t>Emollient
Moisturising
Anti-oxidant
Anti-inflammatory</t>
  </si>
  <si>
    <t>Not registered</t>
  </si>
  <si>
    <t>MP113B</t>
  </si>
  <si>
    <t>HV Olive BIO</t>
  </si>
  <si>
    <t xml:space="preserve">Olea Europaea Fruit Oil*  </t>
  </si>
  <si>
    <t>Anciennement code : ECH-HBC033
Prix janvier 2023</t>
  </si>
  <si>
    <t>Skin conditionning</t>
  </si>
  <si>
    <t>8001-25-0</t>
  </si>
  <si>
    <t>Plomb ; Arsenic (ppm) &lt; 0,1
Benzo(a)pyrène (ppb) &lt; 2
Somme des dioxines &lt; 0,75 pg/g de graisses
Somme des dioxines et PCB de type dioxine &lt; 1,25 pg/g de graisses
Somme des PCB28, PCB138, PCB153, PCB180 &lt; 40 ng/g de graisses</t>
  </si>
  <si>
    <t>MP114B</t>
  </si>
  <si>
    <t>Macérât de lavande bio</t>
  </si>
  <si>
    <t>Olea Europaea Fruit Oil* &gt;99%, Lavandula Angustifolia Flower Extract*&lt;1%</t>
  </si>
  <si>
    <t>Macérât</t>
  </si>
  <si>
    <t>Skin conditionning
ANTI-SEBUM
ANTIMICROBIAL
SKIN CONDITIONING
SKIN PROTECTING</t>
  </si>
  <si>
    <t>8001-25-0
NA</t>
  </si>
  <si>
    <t>MP115</t>
  </si>
  <si>
    <t>Cire de Sumac</t>
  </si>
  <si>
    <t>Rhus Succedanea Fruit Wax</t>
  </si>
  <si>
    <t xml:space="preserve">MOQ : 20kg </t>
  </si>
  <si>
    <t>SKIN CONDITIONING - EMOLLIENT
VISCOSITY CONTROLLING</t>
  </si>
  <si>
    <t>8001-39-6</t>
  </si>
  <si>
    <t>SVHC &lt;=0,1%</t>
  </si>
  <si>
    <t>MP116</t>
  </si>
  <si>
    <t>Cire de candelilla</t>
  </si>
  <si>
    <t>Euphorbia Cerifera Cera</t>
  </si>
  <si>
    <t>Sac de 20kg                                                          Fabricant : Khalwax</t>
  </si>
  <si>
    <t>SKIN CONDITIONING
VISCOSITY CONTROLLING
EMULSION STABILISING
FILM FORMING</t>
  </si>
  <si>
    <t>8006-44-8</t>
  </si>
  <si>
    <t>MP117</t>
  </si>
  <si>
    <t>Viamerine 10 000</t>
  </si>
  <si>
    <t>Oleic/Linoleic/Linolenic Polyglycerides</t>
  </si>
  <si>
    <t>Pour 4,6kg
nom commercial : Viamerine 10 000 désodorisée
Conserver dans l’emballage d’origine à l’abri de la lumière, de la chaleur (T&lt;20°C), dans un endroit sec Refermer rapidement après utilisation (t ouverture&lt;15min).</t>
  </si>
  <si>
    <t>BINDING
EMULSION STABILISING
SKIN CONDITIONING - EMOLLIENT
SURFACTANT - CLEANSING
VISCOSITY CONTROLLING</t>
  </si>
  <si>
    <t>368869-31-2</t>
  </si>
  <si>
    <t>Métaux lourds : 
inférieurs aux seuils suivants : As&lt;3 ppm; Cd&lt; 5 ppm Hg&lt;1 ppm; Ni&lt;10 ppm; Pb&lt;10 ppm</t>
  </si>
  <si>
    <t>MP118B</t>
  </si>
  <si>
    <t>195 euros/L HT + frais de port</t>
  </si>
  <si>
    <t>SKIN CONDITIONING - EMOLLIENT</t>
  </si>
  <si>
    <t>84929-76-0</t>
  </si>
  <si>
    <t>MP119B</t>
  </si>
  <si>
    <t>MOQ 20L                                                                             
Fut de 220L : 12,63€/kg</t>
  </si>
  <si>
    <t xml:space="preserve">Plomb (ppm) , Arsenic (ppm) &lt;1                           
Benzo(a)pyrène (ppb) &lt;2                                         
Dioxines et dioxine de type PCB &lt; 1,25 pg/g de graisses Pesticides : Conforme aux règlementations biologiques européennes                                                                             OGM : Produit non OGM                                                    Allergènes (pour usage cosmétique et alimentaire) : Ne constitue pas et ne contient aucun un ingrédient 
susceptible de provoquer des effets indésirables chez des individus sensibles </t>
  </si>
  <si>
    <t>MP120B</t>
  </si>
  <si>
    <t>Huie de tournesol oléïque raffinée BIO</t>
  </si>
  <si>
    <t>Emile Noël</t>
  </si>
  <si>
    <t>Helianthus annuus hybrid oil</t>
  </si>
  <si>
    <t xml:space="preserve">164250-88-8/8001-21-6 </t>
  </si>
  <si>
    <t>MP121</t>
  </si>
  <si>
    <t>Butyrospermum parkii (Nilotica type) butter</t>
  </si>
  <si>
    <t>MOQ 17kg
Prix pour 51kg</t>
  </si>
  <si>
    <t>91080-23-8</t>
  </si>
  <si>
    <t>MP150</t>
  </si>
  <si>
    <t>Tegosoft AC</t>
  </si>
  <si>
    <t>Adara</t>
  </si>
  <si>
    <t>Isoamyl Cocoate</t>
  </si>
  <si>
    <t>MP151</t>
  </si>
  <si>
    <t>Myritol 318</t>
  </si>
  <si>
    <t>Caprylic/Capric Triglyceride</t>
  </si>
  <si>
    <t>73398-61-5</t>
  </si>
  <si>
    <t>Organic MCT Oil</t>
  </si>
  <si>
    <t>CCT sans palme issu de la coco bio</t>
  </si>
  <si>
    <t>MP200B</t>
  </si>
  <si>
    <t>Hydrolat Rose damas Bio (conservé à 2% leucidal liquid)</t>
  </si>
  <si>
    <t>Rosa Damascena Flower Water* 98%
2% Leuconostoc/Radish Root Ferment Filtrate 50% (and) Aqua 50%</t>
  </si>
  <si>
    <t>FRAGRANCE / SOLVANT</t>
  </si>
  <si>
    <t>90106-38-0
1686112-10-6
7732-18-5</t>
  </si>
  <si>
    <t>MP201B</t>
  </si>
  <si>
    <t>Hydrolat Fleur d'Oranger BIO (conservé)</t>
  </si>
  <si>
    <t>Citrus Aurantium Amara Flower water 98%
Aqua 1%
Leuconostoc/Radish Root Ferment Filtrate 1%</t>
  </si>
  <si>
    <t xml:space="preserve">7732-18-5
NA
1686112-10-6
</t>
  </si>
  <si>
    <t>MP202B</t>
  </si>
  <si>
    <t>Hydrolat Menthe Poivrée BIO</t>
  </si>
  <si>
    <t>Mentha Piperita Leaf Water*</t>
  </si>
  <si>
    <t>11.18 euros/L HT et frais de port</t>
  </si>
  <si>
    <t>84082-70-2</t>
  </si>
  <si>
    <t>MP203B</t>
  </si>
  <si>
    <t>Hydrolat de bleuet BIO</t>
  </si>
  <si>
    <t>Centaurea Cyanus Flower Water*</t>
  </si>
  <si>
    <t xml:space="preserve">11.18 euros/L HT et frais de port </t>
  </si>
  <si>
    <t>84012-18-0</t>
  </si>
  <si>
    <t>MP204B</t>
  </si>
  <si>
    <t>Hydrolat de fleur d'oranger (Néroli) BIO non conservé</t>
  </si>
  <si>
    <t>Citrus Aurantium Amara Flower Water*</t>
  </si>
  <si>
    <t>72968-50-4</t>
  </si>
  <si>
    <t>MP205B</t>
  </si>
  <si>
    <t>Hydrolat de lavande fine sauvage BIO</t>
  </si>
  <si>
    <t>Lavandula Angustifolia Flower Water*</t>
  </si>
  <si>
    <t>MP300</t>
  </si>
  <si>
    <t>Tegosoft PC41</t>
  </si>
  <si>
    <t>Polyglyceryl-4-caprate</t>
  </si>
  <si>
    <t>160391-93-5</t>
  </si>
  <si>
    <t>MP301</t>
  </si>
  <si>
    <t>Sodium Coco Sulfate</t>
  </si>
  <si>
    <t>Sulfopon 1216G</t>
  </si>
  <si>
    <t>MP302</t>
  </si>
  <si>
    <t>Plantacare 2000 UP</t>
  </si>
  <si>
    <t>Decyl Glucoside 55%, Aqua 45%</t>
  </si>
  <si>
    <t>68515-73-1, 110615-47-9</t>
  </si>
  <si>
    <t>MP303</t>
  </si>
  <si>
    <t>Lamesoft PO65</t>
  </si>
  <si>
    <t>MP304</t>
  </si>
  <si>
    <t>Pureact Gluco L CO</t>
  </si>
  <si>
    <t>Lauryl Glucoside 50%, Aqua 50%</t>
  </si>
  <si>
    <t>Anciennement code : ECH-TAR081
4 mois de délai ; +0,5€ en plus du dérivé palme</t>
  </si>
  <si>
    <t>Surfactant - Cleansing</t>
  </si>
  <si>
    <t>110615-47-9</t>
  </si>
  <si>
    <t>MP305</t>
  </si>
  <si>
    <t>Pureact Gluco D CO</t>
  </si>
  <si>
    <t>Decyl Glucoside 50%, Aqua 50%</t>
  </si>
  <si>
    <t xml:space="preserve">Foaming agent </t>
  </si>
  <si>
    <t>Anciennement code : ECH-TAR082
4 mois de délai ; +0,5€ en plus du dérivé palme</t>
  </si>
  <si>
    <t>68515-73-1, 110615-47-9, 58846-77-8, 141464-42-8</t>
  </si>
  <si>
    <t>MP350</t>
  </si>
  <si>
    <t>Gomme Xanthane</t>
  </si>
  <si>
    <t xml:space="preserve">Xanthan Gum </t>
  </si>
  <si>
    <t>EMULSION STABILISING
GEL FORMING
VISCOSITY CONTROLLING</t>
  </si>
  <si>
    <t>Arsenic max. 2 mg/kg
Lead max. 2 mg/kg
Mercury max. 1 mg/kg
Cadmium max. 1 mg/kg                                                
Pyruvic Acid min. 1.5%
Ash 6.5 – 16.0%
Nitrogen max. 1.5%                                                  
Isopropyl Alcohol max. 500 mg/kg</t>
  </si>
  <si>
    <t>MP351</t>
  </si>
  <si>
    <t>Polyaquol 2W</t>
  </si>
  <si>
    <t>40-45% Polyglyceryl-2 Stearate 
25-30% Glyceryl Stearate
20-25% Stearyl Alcohol</t>
  </si>
  <si>
    <t>TA</t>
  </si>
  <si>
    <t>EMULSION STABILISING</t>
  </si>
  <si>
    <t>12694-22-3
123-94-4
112-92-5</t>
  </si>
  <si>
    <t>MP352</t>
  </si>
  <si>
    <t>Lanette O OR</t>
  </si>
  <si>
    <t>Cetearyl Alcohol</t>
  </si>
  <si>
    <t>EMULSION STABILISING
VISCOSITY CONTROLLING</t>
  </si>
  <si>
    <t xml:space="preserve">	67762-27-0</t>
  </si>
  <si>
    <t>MP353</t>
  </si>
  <si>
    <t>Compritol 888 CG</t>
  </si>
  <si>
    <t>77538-19-3</t>
  </si>
  <si>
    <t>MP354 OBSOLÈTE</t>
  </si>
  <si>
    <t>Viatenza Apricot PO10 Amphiphile</t>
  </si>
  <si>
    <t>MP355</t>
  </si>
  <si>
    <t>Amigum-SM2</t>
  </si>
  <si>
    <t>Sclerotium gum</t>
  </si>
  <si>
    <t>GELIFIANT</t>
  </si>
  <si>
    <t>39464-87-4</t>
  </si>
  <si>
    <t>Heavy metals : 
As &lt; 5 ppm ; Cd &lt; 1 ppm ; Pb &lt; 5 ppm; Hg&lt; 0.1 ppm; 
Cr &lt; 5 ppm; Sb &lt; 5 ppm; Ni &lt; 5 ppm; Sn : Not tested; 
Co &lt; 5 ppm ; Ba : Not tested ; Isopropanol &lt; 10 ppm</t>
  </si>
  <si>
    <t>MP356</t>
  </si>
  <si>
    <t>Olivem 1000</t>
  </si>
  <si>
    <t>Cetearyl Olivate 60%
Sorbitan Olivate 40%</t>
  </si>
  <si>
    <t>MP357</t>
  </si>
  <si>
    <t>Hydriol PGMO4</t>
  </si>
  <si>
    <t>Polyglyceryl-4-Oleate</t>
  </si>
  <si>
    <t>MP358</t>
  </si>
  <si>
    <t>Arachidyl Alcohol (and) Behenyl Alcohol (and) Arachidyl Glucoside</t>
  </si>
  <si>
    <t>Tensioactif non ionique</t>
  </si>
  <si>
    <t xml:space="preserve"> 90604-34-5 / 100231-68-3 </t>
  </si>
  <si>
    <t xml:space="preserve">Heavy metals : &lt; 10 ppm
Lead Pb* &lt; 5 ppm
Cadmium Cd* &lt; 1 ppm
Mercury Hg* &lt; 0.3 ppm
Arsenic As* &lt; 1 ppm
Nickel Ni* &lt; 5 ppm
Chromium Cr ( esp. Cr VI+)* &lt; 1 ppm
Cobalt Co* &lt; 5 ppm
Other (copper Cu, silver Ag...)
Antimony* : &lt; 5 ppm
Silver* : &lt; 1 ppm
Cooper* : &lt; 5 ppm
Water : 0,2%
Glucose : 0,3%                                                                   
VOC &lt; 0,1%
Benzene : </t>
  </si>
  <si>
    <t>MP359</t>
  </si>
  <si>
    <t>Anciennement ECH-TAR098                                      12,5€/kg pour la livraison d’un fut de 200kg (HT, DDP). Validité du prix : 30/03/2024</t>
  </si>
  <si>
    <t>FOAMING AGENT</t>
  </si>
  <si>
    <t>MP360</t>
  </si>
  <si>
    <t>Solagum tara</t>
  </si>
  <si>
    <t>Caesalpinia Spinosa Gum </t>
  </si>
  <si>
    <t>39300-88-4</t>
  </si>
  <si>
    <t>MP361</t>
  </si>
  <si>
    <t>Actylis</t>
  </si>
  <si>
    <t>MP400</t>
  </si>
  <si>
    <t>Leucidal Liquid</t>
  </si>
  <si>
    <t>Active Concept / Active Micro</t>
  </si>
  <si>
    <t>Leuconostoc/Radish Root Ferment Filtrate 50% (and) Water 50%</t>
  </si>
  <si>
    <t>Conservateur</t>
  </si>
  <si>
    <t>PRESERVATIVE</t>
  </si>
  <si>
    <t>1686112-10-6
7732-18-5</t>
  </si>
  <si>
    <t>Phénoliques (testés en tant qu'acide salicylique): 18.0 – 22.0%
Métaux lourds: &lt; 20 ppm
Plomb: &lt; 10 ppm
Arsenic: &lt; 2 ppm
Cadmium: &lt; 1 ppm
Bactériocines (HPLC): 0.10 – 0.50%</t>
  </si>
  <si>
    <t>MP401</t>
  </si>
  <si>
    <t>Glycérine conventionnelle</t>
  </si>
  <si>
    <t>Glycérine 99,5% AMI RSPO MB</t>
  </si>
  <si>
    <t>MP401B</t>
  </si>
  <si>
    <t>Glycerine BIO</t>
  </si>
  <si>
    <t>Glycerin**</t>
  </si>
  <si>
    <t>Humectant</t>
  </si>
  <si>
    <t>HUMECTANT</t>
  </si>
  <si>
    <t>56-81-5 / 200-289-5</t>
  </si>
  <si>
    <t>Pb &lt;=5 mg /Kg
As &lt;1 mg /Kg
Pb &lt;1 mg /Kg
Hg &lt;0.1 mg /Kg
Cd &lt;0.1 mg /Kg                                         
Cendres sulfuriques à 800 ± 25 °C / Sulphated ash &lt;=0.01% (m/m)
Composés halogénés &lt;=35 mg /Kg
Acidité ou alcalinité &lt;=0.2 ml
Aldehydes &lt;=10 ppm
Esters &gt;=8 ml HCl 0.1M
Impureté A (diethylene glycol) &lt;=0.1%
Impureté A et substances apparentées conform(e)
Chlorures  &lt;=10 ppm
Sucres : conform(e)</t>
  </si>
  <si>
    <t>MP402</t>
  </si>
  <si>
    <t>Vitamine E</t>
  </si>
  <si>
    <t>Tocopherol 90%
Helianthus Annuus Seed Oil 10%</t>
  </si>
  <si>
    <t>ANTIOXIDANT
FRAGRANCE
SKIN CONDITIONING - MISCELLANEOUS
SKIN CONDITIONING - OCCLUSIVE</t>
  </si>
  <si>
    <t>1406-66-2
8001-21-6</t>
  </si>
  <si>
    <t xml:space="preserve">As = 1 mg/kg
Sb = 5 mg/kg
Pb = 10 mg/kg
Cd = 2 mg/kg
Hg = 1 mg/kg
Ni = 2 mg/kg                                                                     Pesticides : conforme
Aflatoxin/Mycotoxin : conform
Polycyclic aromatic hydrocarbons : conforme
Benzo(a)pyrene: &lt; 2 μg/kg         </t>
  </si>
  <si>
    <t>MP403</t>
  </si>
  <si>
    <t>Acide lactique</t>
  </si>
  <si>
    <t>Lactic Acid 90%
Aqua 10%</t>
  </si>
  <si>
    <t>Solvent
Buffering</t>
  </si>
  <si>
    <t>7732-18-5
50-21-5</t>
  </si>
  <si>
    <t>Cendres sulfatées max. 0.05 %
Chlorures max. 10 mg/kg
Sulfates max. 10 mg/kg
Cyanure max. 1 mg/kg
Fer max. 5 mg/kg
Arsenic max. 1 mg/kg
Plomb max. 0.5 mg/kg
Mercure max. 1 mg/kg
Métaux lourds (exprimés en Pb) max. 5 mg/kg
Calcium max. 20 mg/kg
Méthanol max. 50 mg/kg</t>
  </si>
  <si>
    <t>MP404</t>
  </si>
  <si>
    <t>Iscaguard SAP</t>
  </si>
  <si>
    <t>CDC chimie distribution</t>
  </si>
  <si>
    <t>Propanediol, Salix Alba Bark Extract</t>
  </si>
  <si>
    <t>504-63-2, 84082-82-6</t>
  </si>
  <si>
    <t>MP405B</t>
  </si>
  <si>
    <t>Alcool BIO</t>
  </si>
  <si>
    <t>Isnard Trans Alcool</t>
  </si>
  <si>
    <t>Alcohol** 96%
Aqua 4%</t>
  </si>
  <si>
    <t>ANTIFOAMING
ANTIMICROBIAL
ASTRINGENT
FRAGRANCE
SOLVENT
VISCOSITY CONTROLLING</t>
  </si>
  <si>
    <t>64-17-5 
7732-18-5</t>
  </si>
  <si>
    <t>Méthanol &lt;=3 mg / lpa
Aldéhydes en acétaldéhyde &lt;=3 mg / lpa
Ester en acétate d’éthyle &lt;=3 mg / lpa
Acidité &lt;=15 mg / lpa
Alcools supérieurs &lt;=3 mg / lpa
Furfural négatif
Bases azotées volatiles ≤ 1 mg/lpa</t>
  </si>
  <si>
    <t>MP406</t>
  </si>
  <si>
    <t xml:space="preserve">Propanediol </t>
  </si>
  <si>
    <t>SOLVENT
VISCOSITY CONTROLLING</t>
  </si>
  <si>
    <t>504-63-2</t>
  </si>
  <si>
    <t>Heavy metals ppm
total ≤ 10
Arsenic (As) ≤ 0.5
Lead (Pb) ≤ 0.25
Mercury (Hg) ≤ 0.1
Cadmium (Cd) ≤ 0.25</t>
  </si>
  <si>
    <t>MP407</t>
  </si>
  <si>
    <t>DUB MUG</t>
  </si>
  <si>
    <t>Glyceryl undecylenate</t>
  </si>
  <si>
    <t>Preservative, antifungal</t>
  </si>
  <si>
    <t>123759-97-7</t>
  </si>
  <si>
    <t>Undecylenic acid &lt;1%
Glycerin &lt;11%</t>
  </si>
  <si>
    <t>MP408</t>
  </si>
  <si>
    <t>AMTicide Coconut</t>
  </si>
  <si>
    <t>Lactobacillus 80% 
Cocos Nucifera (Coconut) Fruit Extract 20%</t>
  </si>
  <si>
    <t>68333-16-4 &amp; 8001-31-8</t>
  </si>
  <si>
    <t>Heavy Metals &lt; 20 ppm (Max.)
- Chromium &lt; 20 ppm (Max.)
- Lead &lt; 10 ppm (Max.)
- Nickel &lt; 10 ppm (Max.)
- Cobalt &lt; 10 ppm (Max.)
- Antimony &lt; 5 ppm (Max.)
- Arsenic &lt; 2 ppm (Max.)
- Mercury &lt; 1 ppm (Max.)
- Cadmium &lt; 1 ppm (Max.)</t>
  </si>
  <si>
    <t>MP409</t>
  </si>
  <si>
    <t>Cosphaderm Sodium LAAS</t>
  </si>
  <si>
    <t xml:space="preserve">Sodium Levulinate 50%, Sodium Anisate 50% </t>
  </si>
  <si>
    <t>à 1% se solubilise dans la phase aqueuse à froid</t>
  </si>
  <si>
    <t>Skin conditionning
Antimicrobial</t>
  </si>
  <si>
    <t>19856-23-6
536-45-8</t>
  </si>
  <si>
    <r>
      <rPr>
        <b/>
        <sz val="12"/>
        <color theme="1"/>
        <rFont val="Calibri"/>
        <family val="2"/>
      </rPr>
      <t xml:space="preserve">Heavy Metals: </t>
    </r>
    <r>
      <rPr>
        <sz val="12"/>
        <color theme="1"/>
        <rFont val="Calibri"/>
        <family val="2"/>
      </rPr>
      <t>max 10 ppm</t>
    </r>
    <r>
      <rPr>
        <b/>
        <sz val="12"/>
        <color theme="1"/>
        <rFont val="Calibri"/>
        <family val="2"/>
      </rPr>
      <t xml:space="preserve"> : </t>
    </r>
    <r>
      <rPr>
        <sz val="12"/>
        <color theme="1"/>
        <rFont val="Calibri"/>
        <family val="2"/>
      </rPr>
      <t>Lead (Pb) ≤ 1 ppm ; Arsenic (As) ≤ 1</t>
    </r>
    <r>
      <rPr>
        <b/>
        <sz val="12"/>
        <color theme="1"/>
        <rFont val="Calibri"/>
        <family val="2"/>
      </rPr>
      <t xml:space="preserve"> </t>
    </r>
    <r>
      <rPr>
        <sz val="12"/>
        <color theme="1"/>
        <rFont val="Calibri"/>
        <family val="2"/>
      </rPr>
      <t>ppm</t>
    </r>
  </si>
  <si>
    <t>MP410</t>
  </si>
  <si>
    <t>Leucidal SF Max</t>
  </si>
  <si>
    <t>Lactobacillus Ferment</t>
  </si>
  <si>
    <t>Anciennement ECH-CON005</t>
  </si>
  <si>
    <t>Skin Conditioning, Antimicrobial</t>
  </si>
  <si>
    <t>1686112-36-6 /
68333-16-4</t>
  </si>
  <si>
    <t>MP411</t>
  </si>
  <si>
    <t>Cosphaderm Propanediol Natural palm free (OBSOLETE)</t>
  </si>
  <si>
    <t>Co-conservateur</t>
  </si>
  <si>
    <t>MP412</t>
  </si>
  <si>
    <t>Cosphaderm Zinc Lactate natural</t>
  </si>
  <si>
    <t xml:space="preserve">Bon anti-fongique
MOQ 20kg  </t>
  </si>
  <si>
    <t>DEODORANT
Skin Conditioning, Antimicrobial</t>
  </si>
  <si>
    <t>16039-53-5</t>
  </si>
  <si>
    <t>Heavy metals ppm
total ≤ 10
Arsenic (As) ≤ 0.1
Lead (Pb) ≤ 0.1
Mercury (Hg) ≤0.01
Cadmium (Cd) ≤0.1</t>
  </si>
  <si>
    <t>MP413</t>
  </si>
  <si>
    <t>Merck</t>
  </si>
  <si>
    <t>Sodium Hydroxide</t>
  </si>
  <si>
    <t>Régulateur de pH</t>
  </si>
  <si>
    <t>MP500</t>
  </si>
  <si>
    <t>Menthol cristallisé</t>
  </si>
  <si>
    <t>MP501B</t>
  </si>
  <si>
    <t>He Ylang ylang complète BIO</t>
  </si>
  <si>
    <t>Cananga Odorata Flower Oil</t>
  </si>
  <si>
    <t>FRAGRANCE
PERFUMING</t>
  </si>
  <si>
    <t>8006-81-3 </t>
  </si>
  <si>
    <t>MP502B</t>
  </si>
  <si>
    <t>He Vetiver Haïti BIO</t>
  </si>
  <si>
    <t>Vetiveria Zizanoides Root Oil</t>
  </si>
  <si>
    <t>8016-96-4</t>
  </si>
  <si>
    <t>MP503B</t>
  </si>
  <si>
    <t>He Tea tree BIO</t>
  </si>
  <si>
    <t>Melaleuca Alternifolia Leaf Oil*</t>
  </si>
  <si>
    <t>68647-73-4</t>
  </si>
  <si>
    <t>MP504</t>
  </si>
  <si>
    <t>He Shiu 98%</t>
  </si>
  <si>
    <t>MP505B</t>
  </si>
  <si>
    <t>He Petit grain BIO</t>
  </si>
  <si>
    <t>Citrus Aurantium Leaf Oil*</t>
  </si>
  <si>
    <t>MP506B</t>
  </si>
  <si>
    <t>He Palmarosa BIO</t>
  </si>
  <si>
    <t>MP507B</t>
  </si>
  <si>
    <t>He Orange sanguine BIO</t>
  </si>
  <si>
    <t>Citrus Aurantium Dulcis Peel Oil*</t>
  </si>
  <si>
    <t>8008-57-9</t>
  </si>
  <si>
    <t>MP508B</t>
  </si>
  <si>
    <t>He Lavande fine BIO</t>
  </si>
  <si>
    <t>Lavandula Angustifolia Oil*</t>
  </si>
  <si>
    <t>8000-28-0</t>
  </si>
  <si>
    <t>MP510B</t>
  </si>
  <si>
    <t>He Géranium Rosat BIO</t>
  </si>
  <si>
    <t>Pelargonium Graveolens Stem Leaf Oil*</t>
  </si>
  <si>
    <t>90082-51-2</t>
  </si>
  <si>
    <t>MP511B</t>
  </si>
  <si>
    <t>He Citron incolore sans furocoumarine BIO</t>
  </si>
  <si>
    <t>Citrus Limon Peel Oil*</t>
  </si>
  <si>
    <t>MP513B</t>
  </si>
  <si>
    <t>He Bergamote incolore sans furocoumarine BIO</t>
  </si>
  <si>
    <t>Citrus Aurantium Bergamia Fruit Oil*</t>
  </si>
  <si>
    <t>89957-91-5</t>
  </si>
  <si>
    <t>MP514</t>
  </si>
  <si>
    <t>HE Baie Rose</t>
  </si>
  <si>
    <t>MP515B</t>
  </si>
  <si>
    <t>He Romarin Bio</t>
  </si>
  <si>
    <t>Rosmarinus Officinalis Leaf Oil*</t>
  </si>
  <si>
    <t>8008-56-8</t>
  </si>
  <si>
    <t>MP516B</t>
  </si>
  <si>
    <t>He Litsea Cubeba BIO</t>
  </si>
  <si>
    <t>MP517B</t>
  </si>
  <si>
    <t>He Eucalyptus globulus</t>
  </si>
  <si>
    <t>MP519</t>
  </si>
  <si>
    <t>He amande amère</t>
  </si>
  <si>
    <t>MP521 OBSOLÈTE</t>
  </si>
  <si>
    <t>He Sapin Baumier Canada</t>
  </si>
  <si>
    <t>Aromax</t>
  </si>
  <si>
    <t>MP522</t>
  </si>
  <si>
    <t>Camphre poudre naturel</t>
  </si>
  <si>
    <t>MP523</t>
  </si>
  <si>
    <t xml:space="preserve">Vanilline </t>
  </si>
  <si>
    <t>Vanillin</t>
  </si>
  <si>
    <t>Fragrance</t>
  </si>
  <si>
    <t xml:space="preserve">121-33-5 </t>
  </si>
  <si>
    <t>COV : 0%                                                                  As&lt;3mg/kg ; Pb&lt;10mg/kg ; Cd&lt;1mg/kg ; Hg&lt;1mg/kg</t>
  </si>
  <si>
    <t>MP523-S1</t>
  </si>
  <si>
    <t>Solution à 1% de Vanilline</t>
  </si>
  <si>
    <t>Chauffe pour disperser la vanilline</t>
  </si>
  <si>
    <t>MP524</t>
  </si>
  <si>
    <t>HE rose de Damas LM</t>
  </si>
  <si>
    <t>Rosa Damascena Flower Oil</t>
  </si>
  <si>
    <t>FRAGRANCE</t>
  </si>
  <si>
    <t>MP525</t>
  </si>
  <si>
    <t>Vanille extrait CO2</t>
  </si>
  <si>
    <t>Vanilla Planifolia Fruit Extract</t>
  </si>
  <si>
    <t>SKIN CONDITIONING
SKIN PROTECTING
SMOOTHING</t>
  </si>
  <si>
    <t xml:space="preserve">8024-06-4 / 84650-63-5 </t>
  </si>
  <si>
    <t>MP526</t>
  </si>
  <si>
    <t>HE Néroli</t>
  </si>
  <si>
    <t>Citrus Aurantium Flower Oil</t>
  </si>
  <si>
    <t>PERFUMING</t>
  </si>
  <si>
    <t xml:space="preserve">72968-50-4 </t>
  </si>
  <si>
    <t>MP527</t>
  </si>
  <si>
    <t>Calendula Officinalis Flower Extract*</t>
  </si>
  <si>
    <t>FRAGRANCE
PERFUMING
SKIN CONDITIONING</t>
  </si>
  <si>
    <t>84776-23-8</t>
  </si>
  <si>
    <t>Elements
Arsenic &lt; 0,5 ppm
Cadmium &lt; 0,1 ppm
 Lead  &lt; 0,1 ppm 
Mercury &lt; 0,05 ppm
Pesticides
Anthrachinone</t>
  </si>
  <si>
    <t>MP528</t>
  </si>
  <si>
    <t>Chamomilla Recutita Flower Extract*</t>
  </si>
  <si>
    <t>FRAGRANCE
SKIN CONDITIONING</t>
  </si>
  <si>
    <t>84082-60-0</t>
  </si>
  <si>
    <t>Elements
Arsenic &lt; 0,5 ppm
Cadmium &lt; 0,1 ppm
 Lead  &lt; 0,1 ppm 
Mercury &lt; 0,05 ppm</t>
  </si>
  <si>
    <t>MP550</t>
  </si>
  <si>
    <t>Fragrance Vanille TK 60669</t>
  </si>
  <si>
    <t>MP551</t>
  </si>
  <si>
    <t>Fruit de la passion NAT CO 60645</t>
  </si>
  <si>
    <t>MP552</t>
  </si>
  <si>
    <t>Fragrance Code VAN Jasmin 3150/4</t>
  </si>
  <si>
    <t>MP553</t>
  </si>
  <si>
    <t>Fragrance fleur d'oranger</t>
  </si>
  <si>
    <t>MP554</t>
  </si>
  <si>
    <t xml:space="preserve">Fragrance vanille coco K </t>
  </si>
  <si>
    <t>Ok solaire</t>
  </si>
  <si>
    <t>MP600</t>
  </si>
  <si>
    <t>Argile rose</t>
  </si>
  <si>
    <t>Cameleon Chemicals</t>
  </si>
  <si>
    <t>MP601</t>
  </si>
  <si>
    <t>Argile verte</t>
  </si>
  <si>
    <t>Illite 45% ± 5
Montmorillonite 55% ± 3</t>
  </si>
  <si>
    <t>ABRASIVE
ABSORBENT
ANTICAKING
BULKING
ABRASIVE
ABSORBENT
BULKING
EMULSION STABILISING
LIGHT STABILIZER
VISCOSITY CONTROLLING</t>
  </si>
  <si>
    <t>12173-60-3
1318-93-0</t>
  </si>
  <si>
    <t>MP602</t>
  </si>
  <si>
    <t>Mica doré</t>
  </si>
  <si>
    <t>MP603</t>
  </si>
  <si>
    <t>SunPURO® PEARL SILVER</t>
  </si>
  <si>
    <t>Charge / Illuminant</t>
  </si>
  <si>
    <t>As &lt;1 ppm; Sb&lt;1 ppm; Cd&lt;1 ppm; Cr&lt;30 ppm; Pb&lt;3 ppm; Cu&lt;30 ppm; Hg&lt;1 ppm; Ni&lt;10 ppm; Zn&lt;40 ppm; Ba&lt;40 ppm</t>
  </si>
  <si>
    <t>MP604</t>
  </si>
  <si>
    <t>Charbon hydrophile poudre</t>
  </si>
  <si>
    <t>Charcoal powder</t>
  </si>
  <si>
    <t>Purifier</t>
  </si>
  <si>
    <t>16291-96-6</t>
  </si>
  <si>
    <t>MP605B</t>
  </si>
  <si>
    <t>Thé matcha BIO</t>
  </si>
  <si>
    <t>Herbier du Diois</t>
  </si>
  <si>
    <t>Camellia Sinensis Leaf *</t>
  </si>
  <si>
    <t>MP606</t>
  </si>
  <si>
    <t xml:space="preserve">Green Microzest 25 Gardenia Blue </t>
  </si>
  <si>
    <t>Maltodextrin 92%, Gardenia Florida Fruit Extract 8%</t>
  </si>
  <si>
    <t>Hydro et liposoluble, vert/bleu/violet selon pH 
Anciennement ECH-AP095                                    MOQ : 1kg                                                                          Prix : 632,22/kg ; Par 5kg = 544/kg</t>
  </si>
  <si>
    <t xml:space="preserve">Colorant </t>
  </si>
  <si>
    <t>9050-36-6 / 92457-01-7</t>
  </si>
  <si>
    <t>Total Heavy metal (As, Sb, Cd, Hg, Ni, Pb) = 20 ppm</t>
  </si>
  <si>
    <t>MP607</t>
  </si>
  <si>
    <t xml:space="preserve">Hydroxyde de calcium </t>
  </si>
  <si>
    <t>Brenntag</t>
  </si>
  <si>
    <t xml:space="preserve">Calcium hydroxide </t>
  </si>
  <si>
    <t>Nettoyant / Ajusteur de pH</t>
  </si>
  <si>
    <t>MOQ : Sac 25kg</t>
  </si>
  <si>
    <t>Nettoyant</t>
  </si>
  <si>
    <t>1305-62-0</t>
  </si>
  <si>
    <t>Cadmium (Cd) = 0.3 mg/kg
Lead (Pb) = 0.7 mg/kg
Arsenic (As) = 0.6 mg/kg
Mercury (Hg) = 0.02 mg/kg
Cobalt (Co) = 0.2 mg/kg
Vanadium (V) = 2.5 mg/kg
Nickel (Ni) = 1.4 mg/kg
Thallium (Tl) = 0.6 mg/kg
Selenium (Se) = 0.03 mg/kg
Lithium (Li) = 0.9 mg/kg
Antimony (Sb) = 0.08 mg/kg
Barium (Ba) = 17 mg/kg
Copper (Cu) = 0.7 mg/kg
Chromium (Cr) = 1.8 mg/kg
Iron (Fe) = 500 mg/kg
Zinc (Zn) = 3.5 mg/kg
Manganese (Mn) = 250 mg/kg</t>
  </si>
  <si>
    <t>MP700</t>
  </si>
  <si>
    <t>Vanille graine (non ionisé)</t>
  </si>
  <si>
    <t>Vanilla Exfoliating black grains</t>
  </si>
  <si>
    <t>MP701</t>
  </si>
  <si>
    <t>Oat Phylpeel 500T</t>
  </si>
  <si>
    <t>MP702 OBSOLÈTE</t>
  </si>
  <si>
    <t>Sea crystals fine</t>
  </si>
  <si>
    <t>MP703</t>
  </si>
  <si>
    <t>Sel raffiné alimentaire</t>
  </si>
  <si>
    <t>8,82 pour 20kg et 1,51 pour 500kg</t>
  </si>
  <si>
    <t>MP704 OBSOLÈTE</t>
  </si>
  <si>
    <t>L’antillaise pure cane brown sugar</t>
  </si>
  <si>
    <t>MP705</t>
  </si>
  <si>
    <t>Amiperfect ER</t>
  </si>
  <si>
    <t>CRODA</t>
  </si>
  <si>
    <t>Kératolytique</t>
  </si>
  <si>
    <t>MOQ 1kg = 364€/kg
5kg = 330</t>
  </si>
  <si>
    <t>Formaldehyde &lt;1ppm</t>
  </si>
  <si>
    <t>MP706</t>
  </si>
  <si>
    <t>90-80-2</t>
  </si>
  <si>
    <t>Water ≤ 0.15%
Chloride ≤ 50 mg/kg
Sodium ≤ 30 mg/kg
Lead &lt; 1 mg/kg
Arsenic &lt; 2 mg/kg
Antimony &lt; 10 mg/kg
Cadmium &lt; 5 mg/kg
Mercury &lt; 1 mg/kg
Nickel &lt; 3 mg/kg
Chromium &lt; 3 mg/kg
Cobalt &lt; 3 mg/kg</t>
  </si>
  <si>
    <t>MP707</t>
  </si>
  <si>
    <t xml:space="preserve">1314-13-2 </t>
  </si>
  <si>
    <t>Pb 2.2 ppm 
Cd 1.5  ppm 
Tl 1.8 ppm 
Fe 1.0 ppm
As &lt; 0.1 ppm</t>
  </si>
  <si>
    <t>MP708</t>
  </si>
  <si>
    <t xml:space="preserve">Kanshield Max </t>
  </si>
  <si>
    <t>Pongamia Pinnata Seed Extract, Glycyrrhiza Glabra Root Extract, Nelumbo Nucifera Flower Extract</t>
  </si>
  <si>
    <t>MOQ 1kg</t>
  </si>
  <si>
    <t>ECH-AP</t>
  </si>
  <si>
    <t>Actifs poudre</t>
  </si>
  <si>
    <t>Mise à jour prix MP : le 5.02.2024</t>
  </si>
  <si>
    <t>ECH-CON</t>
  </si>
  <si>
    <t>Conservateurs</t>
  </si>
  <si>
    <t>ECH-HBC</t>
  </si>
  <si>
    <t>Huiles, beurres et cires</t>
  </si>
  <si>
    <t>ECH-HY</t>
  </si>
  <si>
    <t>Hydrolats</t>
  </si>
  <si>
    <t>ECH-LIQ</t>
  </si>
  <si>
    <t>Actifs liquides</t>
  </si>
  <si>
    <t>ECH-PAR</t>
  </si>
  <si>
    <t>Parfums</t>
  </si>
  <si>
    <t>ECH-TAR</t>
  </si>
  <si>
    <t>Tensioactifs, MP de rhéologie</t>
  </si>
  <si>
    <t>ECH-XXX001</t>
  </si>
  <si>
    <t>Huile essentielle (avec 3 premières lettres)</t>
  </si>
  <si>
    <t>MP00</t>
  </si>
  <si>
    <t xml:space="preserve">Actifs techniques objectivés </t>
  </si>
  <si>
    <t>MP100</t>
  </si>
  <si>
    <t xml:space="preserve">Huiles végétales </t>
  </si>
  <si>
    <t xml:space="preserve">Esters </t>
  </si>
  <si>
    <t>MP200</t>
  </si>
  <si>
    <t>Moussants</t>
  </si>
  <si>
    <t>Agents rhéologiques / Tensioactifs</t>
  </si>
  <si>
    <t xml:space="preserve">Conservateurs / Antioxydants </t>
  </si>
  <si>
    <t xml:space="preserve">Huiles essentielles </t>
  </si>
  <si>
    <t>Poudres</t>
  </si>
  <si>
    <t xml:space="preserve">Poudres exfoliantes </t>
  </si>
  <si>
    <t>MP1000</t>
  </si>
  <si>
    <t xml:space="preserve">Plantes sèches </t>
  </si>
  <si>
    <t>MP1000IN</t>
  </si>
  <si>
    <t xml:space="preserve">Infusion maison </t>
  </si>
  <si>
    <t>Pour l'onglet emballage :</t>
  </si>
  <si>
    <t>ECH-EMB</t>
  </si>
  <si>
    <t>échantillon d'emballage</t>
  </si>
  <si>
    <t>OF</t>
  </si>
  <si>
    <t>Nom OF</t>
  </si>
  <si>
    <t>F001</t>
  </si>
  <si>
    <t>MASQUE EXFOLIANT AUX ACIDES DE FRUITS</t>
  </si>
  <si>
    <t>F002</t>
  </si>
  <si>
    <t>HUILE INTENSE DÉMAQUILLANTE AUX ANTIOXYDANTS</t>
  </si>
  <si>
    <t>F002B</t>
  </si>
  <si>
    <t>F003</t>
  </si>
  <si>
    <t>F004</t>
  </si>
  <si>
    <t>CRÈME REVEIL MULTIVITAMINÉE</t>
  </si>
  <si>
    <t>F005</t>
  </si>
  <si>
    <t>CRÈME CONCENTRÉE AUX ACTIFS REPULPANTS</t>
  </si>
  <si>
    <t>F006</t>
  </si>
  <si>
    <t>SÉRUM OLÉAGINEUX ULTRA-NOURISSANT</t>
  </si>
  <si>
    <t>F007</t>
  </si>
  <si>
    <t>BRUME AUX ACTIFS ANTI-POLLUTION</t>
  </si>
  <si>
    <t>F008</t>
  </si>
  <si>
    <t>CRÈME DE NUITS AUX ACTIFS OXYGÉNANTS</t>
  </si>
  <si>
    <t>F009</t>
  </si>
  <si>
    <t>HUILE DU TIGRE MASSAGE POUR SPORTIFS</t>
  </si>
  <si>
    <t>F010</t>
  </si>
  <si>
    <t>BONNE NUIT GEL DOUCHE</t>
  </si>
  <si>
    <t>F011</t>
  </si>
  <si>
    <t>SÉRUM SUPER PLANTES ANTIOXYDANTES</t>
  </si>
  <si>
    <t>F012</t>
  </si>
  <si>
    <t>BRUME HYDRATANTE AUX FLEURS MÉDITERRANÉENNES</t>
  </si>
  <si>
    <t>F013</t>
  </si>
  <si>
    <t>LOTION PERFECTION AUX ACTIFS ASSAINISSANTS</t>
  </si>
  <si>
    <t>F014</t>
  </si>
  <si>
    <t>SÉRUM SYNERGIE ESSENTIELLE PURIFIANT</t>
  </si>
  <si>
    <t>F015</t>
  </si>
  <si>
    <t>L'AMANDIER HUILE CORPS ET CHEVEUX</t>
  </si>
  <si>
    <t>F016</t>
  </si>
  <si>
    <t>GELÉE NOIRE NETTOYANTE AUX ACTIFS PURIFIANTS</t>
  </si>
  <si>
    <t>F017</t>
  </si>
  <si>
    <t>MOUSSE NETTOYANTE AUX PLANTES AROMATIQUES</t>
  </si>
  <si>
    <t>F018</t>
  </si>
  <si>
    <t>FORÊT CANADIENNE GOMMAGE VIVIFIAT POUR LE CORPS</t>
  </si>
  <si>
    <t>F019</t>
  </si>
  <si>
    <t>PLUIE TROPICALE GEL DOUCHE</t>
  </si>
  <si>
    <t>F020</t>
  </si>
  <si>
    <t>ROSE POIVRÉE GEL DOUCHE</t>
  </si>
  <si>
    <t>F021</t>
  </si>
  <si>
    <t>CÉRÉMONIE DU THÉ GEL DOUCHE</t>
  </si>
  <si>
    <t>F022</t>
  </si>
  <si>
    <t>CRÈME UNIVERSELLE</t>
  </si>
  <si>
    <t>F023</t>
  </si>
  <si>
    <t>FLUIDE PEAU PARFAITE</t>
  </si>
  <si>
    <t>F024</t>
  </si>
  <si>
    <t>F025</t>
  </si>
  <si>
    <t>LAIT DOUCEUR VANILLE NETTOYANT</t>
  </si>
  <si>
    <t>F026</t>
  </si>
  <si>
    <t>HUILE DOUCE AUX FLEURS DÉMAQUILLANTE ET NETTOYANTE</t>
  </si>
  <si>
    <t>F026B</t>
  </si>
  <si>
    <t>F027</t>
  </si>
  <si>
    <t xml:space="preserve">MOUSSE DOUCEUR NETTOYANTE ANTI-TIRAILLEMENT </t>
  </si>
  <si>
    <t>F028</t>
  </si>
  <si>
    <t>F029</t>
  </si>
  <si>
    <t>SUCRE VANILLÉ GOMMAGE GOURMAND POUR LE CORPS</t>
  </si>
  <si>
    <t>F030</t>
  </si>
  <si>
    <t xml:space="preserve">HUILE DES ILES </t>
  </si>
  <si>
    <t>F031</t>
  </si>
  <si>
    <t>SÉRUM ILLUMINATEUR DE LA ROSERAIE</t>
  </si>
  <si>
    <t>F031B</t>
  </si>
  <si>
    <t>SÉRUM ILLUMINATEUR DE LA ROSERAIE B</t>
  </si>
  <si>
    <t>F032</t>
  </si>
  <si>
    <t>MASQUE ROSE LACTÉ APAISANT</t>
  </si>
  <si>
    <t>F033</t>
  </si>
  <si>
    <t>SÉRUM CONCENTRÉ DE SOLEIL</t>
  </si>
  <si>
    <t>KID034</t>
  </si>
  <si>
    <t xml:space="preserve">GELEE LAVANTE FLEUR VANILLEE </t>
  </si>
  <si>
    <t>KID035</t>
  </si>
  <si>
    <t>BAUME FONDANT MAMAN BÉBÉ</t>
  </si>
  <si>
    <t>F036</t>
  </si>
  <si>
    <t>SOIN LISSANT AUX FLEURS</t>
  </si>
  <si>
    <t>F037</t>
  </si>
  <si>
    <t xml:space="preserve">GEL REVEIL ANTI-CERNES </t>
  </si>
  <si>
    <t>KID038</t>
  </si>
  <si>
    <t xml:space="preserve">LA CREME DES BEBES </t>
  </si>
  <si>
    <t>KID039</t>
  </si>
  <si>
    <t xml:space="preserve">POMMADE MAGIQUE </t>
  </si>
  <si>
    <t>KID040</t>
  </si>
  <si>
    <t xml:space="preserve">LINIMENT A LA LAVANDE </t>
  </si>
  <si>
    <t>F041</t>
  </si>
  <si>
    <t>SOIN CIBLE PERFECTION</t>
  </si>
  <si>
    <t>F042</t>
  </si>
  <si>
    <t xml:space="preserve">GELEE FLORALE ULTRA-HYDRATANTE </t>
  </si>
  <si>
    <t>F043</t>
  </si>
  <si>
    <t xml:space="preserve">PRIMER AU RETINOL MICRODOSE </t>
  </si>
  <si>
    <t>F044</t>
  </si>
  <si>
    <t>SOIN DE NUIT AU RETINOL</t>
  </si>
  <si>
    <t>Prix unitaire 2024 en €</t>
  </si>
  <si>
    <t>Coût par pdt</t>
  </si>
  <si>
    <t>MOFAB001</t>
  </si>
  <si>
    <t>Fabrication Huile avec chauffe</t>
  </si>
  <si>
    <t>MOFAB002</t>
  </si>
  <si>
    <t>Fabrication Huile sans chauffe</t>
  </si>
  <si>
    <t>MOFAB003</t>
  </si>
  <si>
    <t>Fabrication émulsion</t>
  </si>
  <si>
    <t>MOFAB004</t>
  </si>
  <si>
    <t>Fabrication gel aqueux (type gelée noire)</t>
  </si>
  <si>
    <t>MOFAB005</t>
  </si>
  <si>
    <t>Fabrication gel aqueux chauffe (type masque exfoliant)</t>
  </si>
  <si>
    <t>MOFAB006</t>
  </si>
  <si>
    <t>Fabrication lotion non chauffée (brume)</t>
  </si>
  <si>
    <t>MOFAB007</t>
  </si>
  <si>
    <t>Fabrication gel douche avec chauffe</t>
  </si>
  <si>
    <t>MOFAB008</t>
  </si>
  <si>
    <t>Fabrication lotion chauffée (type brume, mousse)</t>
  </si>
  <si>
    <t>MOCOND001</t>
  </si>
  <si>
    <t>Conditionnement airless 50ml (2200pcs)</t>
  </si>
  <si>
    <t>MOCOND002</t>
  </si>
  <si>
    <t>Conditionnement flacon 120ml avec pré-remplissage (1000pcs)</t>
  </si>
  <si>
    <t>MOCOND0021</t>
  </si>
  <si>
    <t>Conditionnement flacon 50ml avec pré-remplissage (2400pcs)</t>
  </si>
  <si>
    <t>MOCOND003</t>
  </si>
  <si>
    <t>Conditionnement sérum 15ml (8000pcs)</t>
  </si>
  <si>
    <t>MOCOND004</t>
  </si>
  <si>
    <t>Conditionnement flacon 120ml  (1000pcs)</t>
  </si>
  <si>
    <t>MOCOND005</t>
  </si>
  <si>
    <t>Conditionnement flacon 200ml (500pcs)</t>
  </si>
  <si>
    <t>MOCOND006</t>
  </si>
  <si>
    <t>Conditionnement flacon 200ml avec pré-remplissage (500pcs)</t>
  </si>
  <si>
    <t>MOCOND007</t>
  </si>
  <si>
    <t>Conditionnement flacon 120ml ac difficulté (vrac bullée)(1000pcs)</t>
  </si>
  <si>
    <t>MOCOND008</t>
  </si>
  <si>
    <t>Conditionnement flacon 115ml mousse (1000pcs)</t>
  </si>
  <si>
    <t>MOCOND009</t>
  </si>
  <si>
    <t>Conditionnement flacon 5ml bille (2000pcs)</t>
  </si>
  <si>
    <t>Fournisseur</t>
  </si>
  <si>
    <t>Remarque</t>
  </si>
  <si>
    <t>BILLEINO5</t>
  </si>
  <si>
    <t>Bille roll on inox 5ml</t>
  </si>
  <si>
    <t>Esobea</t>
  </si>
  <si>
    <t>CAAE008</t>
  </si>
  <si>
    <t>ETUI AAE008</t>
  </si>
  <si>
    <t>LECAGRAPHICS</t>
  </si>
  <si>
    <t>CAAE032</t>
  </si>
  <si>
    <t>ETUI AAE032</t>
  </si>
  <si>
    <t>CANO001</t>
  </si>
  <si>
    <t>ETUI ANO001</t>
  </si>
  <si>
    <t>CANO004</t>
  </si>
  <si>
    <t xml:space="preserve">ETUI ANO004 </t>
  </si>
  <si>
    <t>CANO011</t>
  </si>
  <si>
    <t>ETUI ANO011</t>
  </si>
  <si>
    <t>CANO033</t>
  </si>
  <si>
    <t>ETUI ANO033</t>
  </si>
  <si>
    <t>CAP001-120</t>
  </si>
  <si>
    <t>POMPE FLACON 120 ml</t>
  </si>
  <si>
    <t>YUYAO H.B.PACKAGING CO.,LTD.</t>
  </si>
  <si>
    <t>CAP002-120</t>
  </si>
  <si>
    <t>SPRAY FLACON 120 ml</t>
  </si>
  <si>
    <t>CAP002-50</t>
  </si>
  <si>
    <t xml:space="preserve">SPRAY FLACON 50 ml </t>
  </si>
  <si>
    <t>CAP003</t>
  </si>
  <si>
    <t>BOUCHON CHAPEAU CHINOIS</t>
  </si>
  <si>
    <t>CAP004</t>
  </si>
  <si>
    <t xml:space="preserve">POMPE AUTO BLOQUANTE 24/410 BLANCHE </t>
  </si>
  <si>
    <t>SILGAN</t>
  </si>
  <si>
    <t>CAPAIR50</t>
  </si>
  <si>
    <t xml:space="preserve">Airless bouchon 50ml  </t>
  </si>
  <si>
    <t>APTAR</t>
  </si>
  <si>
    <t>CAPFOAM115</t>
  </si>
  <si>
    <t>FOAM PUMP MILKY WHITE</t>
  </si>
  <si>
    <t>TALENTS PACKING INTERNATIONAL LIMITED</t>
  </si>
  <si>
    <t>CAPPIPETTE</t>
  </si>
  <si>
    <t>Compte goutte pipette</t>
  </si>
  <si>
    <t>CAPPIPETTE05</t>
  </si>
  <si>
    <t>Compte goutte pipette 5 ml</t>
  </si>
  <si>
    <t>EUROVETROCAP</t>
  </si>
  <si>
    <t>CAPPOT100</t>
  </si>
  <si>
    <t xml:space="preserve">Bouchon pot 100 ml </t>
  </si>
  <si>
    <t>POHLI</t>
  </si>
  <si>
    <t>CAPRO5</t>
  </si>
  <si>
    <t>Bouchon roll on 5ml</t>
  </si>
  <si>
    <t>CHYD022</t>
  </si>
  <si>
    <t>ETUI HYD022</t>
  </si>
  <si>
    <t>CHYD031</t>
  </si>
  <si>
    <t>ETUI HYD031</t>
  </si>
  <si>
    <t>CHYD037</t>
  </si>
  <si>
    <t xml:space="preserve">ETUI HYD037 </t>
  </si>
  <si>
    <t>VIMER</t>
  </si>
  <si>
    <t>CHYD042</t>
  </si>
  <si>
    <t>ETUI HYD042 Gelée florale ultra hydratante</t>
  </si>
  <si>
    <t>CKID035</t>
  </si>
  <si>
    <t>ETUI KID035</t>
  </si>
  <si>
    <t>CKID038</t>
  </si>
  <si>
    <t>ETUI KID038</t>
  </si>
  <si>
    <t>CONT05</t>
  </si>
  <si>
    <t>Flacon verre 5 ml</t>
  </si>
  <si>
    <t>CONT100</t>
  </si>
  <si>
    <t>FLACON 100ML</t>
  </si>
  <si>
    <t>VERVE SPA</t>
  </si>
  <si>
    <t>CONT120</t>
  </si>
  <si>
    <t xml:space="preserve">Flacon transparent PET 120ml </t>
  </si>
  <si>
    <t>PLASTOPIAVE</t>
  </si>
  <si>
    <t>CONT15</t>
  </si>
  <si>
    <t xml:space="preserve">Flacon verre 15 ml </t>
  </si>
  <si>
    <t>CONT200</t>
  </si>
  <si>
    <t>FLACON 200 ML</t>
  </si>
  <si>
    <t>ACTIPACK</t>
  </si>
  <si>
    <t>CONT50</t>
  </si>
  <si>
    <t xml:space="preserve">FLACON 50 ML </t>
  </si>
  <si>
    <t>CONTAIR50</t>
  </si>
  <si>
    <t xml:space="preserve">Airless flacon 50ml </t>
  </si>
  <si>
    <t>CONTFOAM115</t>
  </si>
  <si>
    <t>FOAM BOTTLE TRANSPARENT</t>
  </si>
  <si>
    <t>A-PAK</t>
  </si>
  <si>
    <t>CONTG50</t>
  </si>
  <si>
    <t xml:space="preserve">FLACON VERRE LAUREL 50ML </t>
  </si>
  <si>
    <t>CALASO</t>
  </si>
  <si>
    <t>CONTRO10</t>
  </si>
  <si>
    <t xml:space="preserve">Flacon verre roll on 10ml </t>
  </si>
  <si>
    <t>CONTRO5</t>
  </si>
  <si>
    <t xml:space="preserve">Flacon verre roll on 5ml </t>
  </si>
  <si>
    <t>CPUR014</t>
  </si>
  <si>
    <t>ETUI PUR014</t>
  </si>
  <si>
    <t>CPUR023</t>
  </si>
  <si>
    <t>ETUI PUR023</t>
  </si>
  <si>
    <t>CPUR041</t>
  </si>
  <si>
    <t>ETUI PUR041</t>
  </si>
  <si>
    <t>CREG005</t>
  </si>
  <si>
    <t>ETUI REG005</t>
  </si>
  <si>
    <t>CREG006</t>
  </si>
  <si>
    <t>ETUI REG006</t>
  </si>
  <si>
    <t>CREG036</t>
  </si>
  <si>
    <t>ETUI REG036</t>
  </si>
  <si>
    <t>DAAE027</t>
  </si>
  <si>
    <t>DOYPACK AAE027 250 ml</t>
  </si>
  <si>
    <t>Sealester</t>
  </si>
  <si>
    <t>DHYD025</t>
  </si>
  <si>
    <t>DOYPACK HYD025 250 ml</t>
  </si>
  <si>
    <t>DPUR016</t>
  </si>
  <si>
    <t>DOYPACK PUR016 250 ml</t>
  </si>
  <si>
    <t>DPUR017</t>
  </si>
  <si>
    <t>DOYPACK PUR017 250 ml</t>
  </si>
  <si>
    <t>EAAE007</t>
  </si>
  <si>
    <t>ETIQUETTE EAAE007</t>
  </si>
  <si>
    <t>LABEL IMPRIME</t>
  </si>
  <si>
    <t>EAAE008</t>
  </si>
  <si>
    <t>ETIQUETTE AAE008</t>
  </si>
  <si>
    <t>EAAE027</t>
  </si>
  <si>
    <t>ETIQUETTE AAE027</t>
  </si>
  <si>
    <t>EAAE032</t>
  </si>
  <si>
    <t>ETIQUETTE AAE032</t>
  </si>
  <si>
    <t>EAAEV007</t>
  </si>
  <si>
    <t xml:space="preserve">ETIQUETTE EAAVE007 </t>
  </si>
  <si>
    <t>EANO001</t>
  </si>
  <si>
    <t>ETIQUETTE ANO001</t>
  </si>
  <si>
    <t>EANO002</t>
  </si>
  <si>
    <t>ETIQUETTE ANO002</t>
  </si>
  <si>
    <t>EANO004</t>
  </si>
  <si>
    <t>ETIQUETTE ANO004</t>
  </si>
  <si>
    <t>EANO011</t>
  </si>
  <si>
    <t>ETIQUETTE ANO011</t>
  </si>
  <si>
    <t>EANO033</t>
  </si>
  <si>
    <t>ETIQUETTE ANO033</t>
  </si>
  <si>
    <t>EANOV002</t>
  </si>
  <si>
    <t>ETIQUETTE ANOV002</t>
  </si>
  <si>
    <t>EANOV011</t>
  </si>
  <si>
    <t>ETIQUETTE ANOV011</t>
  </si>
  <si>
    <t>EANOV033</t>
  </si>
  <si>
    <t>ETIQUETTE ANOV033</t>
  </si>
  <si>
    <t>ECH-EMB001</t>
  </si>
  <si>
    <t>Bottle Laurel 50ml avec vernis UV</t>
  </si>
  <si>
    <t>Glasmeister</t>
  </si>
  <si>
    <t>ECH-EMB002</t>
  </si>
  <si>
    <t xml:space="preserve">Bottle Laurel 50ml </t>
  </si>
  <si>
    <t>ECH-EMB003</t>
  </si>
  <si>
    <t>Jar Lime 50ml</t>
  </si>
  <si>
    <t>ECH-EMB004</t>
  </si>
  <si>
    <t>Jar Lime 50ml avec vernis UV</t>
  </si>
  <si>
    <t>ECH-EMB005</t>
  </si>
  <si>
    <t>Lotion pump metropolitan 24-410 blanc</t>
  </si>
  <si>
    <t>ECH-EMB006</t>
  </si>
  <si>
    <t>Lid modern 53/400 white glossy</t>
  </si>
  <si>
    <t>EGEL010</t>
  </si>
  <si>
    <t>ETIQUETTE GEL010</t>
  </si>
  <si>
    <t>EGEL019</t>
  </si>
  <si>
    <t>ETIQUETTE GEL019</t>
  </si>
  <si>
    <t>EGEL020</t>
  </si>
  <si>
    <t>ETIQUETTE GEL020</t>
  </si>
  <si>
    <t>EGEL021</t>
  </si>
  <si>
    <t>ETIQUETTE GEL021</t>
  </si>
  <si>
    <t>EGELV010</t>
  </si>
  <si>
    <t>ETIQUETTE GELV010</t>
  </si>
  <si>
    <t>EGELV019</t>
  </si>
  <si>
    <t>ETIQUETTE GELV019</t>
  </si>
  <si>
    <t>EGELV020</t>
  </si>
  <si>
    <t>ETIQUETTE GELV020</t>
  </si>
  <si>
    <t>EGELV021</t>
  </si>
  <si>
    <t>ETIQUETTE GELV021</t>
  </si>
  <si>
    <t>EHUI009</t>
  </si>
  <si>
    <t>ETIQUETTE HUI009</t>
  </si>
  <si>
    <t>EHUI015</t>
  </si>
  <si>
    <t>ETIQUETTE HUI015</t>
  </si>
  <si>
    <t>EHUI030</t>
  </si>
  <si>
    <t>ETIQUETTE HUI030</t>
  </si>
  <si>
    <t>EHYD012</t>
  </si>
  <si>
    <t>ETIQUETTE HYD012</t>
  </si>
  <si>
    <t>EHYD022</t>
  </si>
  <si>
    <t>ETIQUETTE HYD022</t>
  </si>
  <si>
    <t>EHYD025</t>
  </si>
  <si>
    <t>ETIQUETTE HYD025</t>
  </si>
  <si>
    <t>EHYD026</t>
  </si>
  <si>
    <t>ETIQUETTE HYD026</t>
  </si>
  <si>
    <t>EHYD031</t>
  </si>
  <si>
    <t>ETIQUETTE HYD031</t>
  </si>
  <si>
    <t>EHYD037</t>
  </si>
  <si>
    <t>ETIQUETTE HYD037</t>
  </si>
  <si>
    <t>EHYD042</t>
  </si>
  <si>
    <t>ETIQUETTE HYD042</t>
  </si>
  <si>
    <t>EHYDV012</t>
  </si>
  <si>
    <t>ETIQUETTE HYDV012</t>
  </si>
  <si>
    <t>EHYDV026</t>
  </si>
  <si>
    <t>ETIQUETTE HYDV026</t>
  </si>
  <si>
    <t>EHYDV031</t>
  </si>
  <si>
    <t>ETIQUETTE HYDV031</t>
  </si>
  <si>
    <t>EKID034</t>
  </si>
  <si>
    <t>ETIQUETTE KID034</t>
  </si>
  <si>
    <t>EKID035</t>
  </si>
  <si>
    <t>ETIQUETTE KID035</t>
  </si>
  <si>
    <t>EKID038</t>
  </si>
  <si>
    <t>ETIQUETTE KID038</t>
  </si>
  <si>
    <t>EKID040</t>
  </si>
  <si>
    <t>ETIQUETTE KID040</t>
  </si>
  <si>
    <t>EKIDV034</t>
  </si>
  <si>
    <t>ETIQUETTE VOYAGE KID034</t>
  </si>
  <si>
    <t>EKIDV040</t>
  </si>
  <si>
    <t>ETIQUETTE VOYAGE KID040</t>
  </si>
  <si>
    <t>EPUR013</t>
  </si>
  <si>
    <t>ETIQUETTE PUR013</t>
  </si>
  <si>
    <t>EPUR014</t>
  </si>
  <si>
    <t>ETIQUETTE PUR014</t>
  </si>
  <si>
    <t>EPUR016</t>
  </si>
  <si>
    <t xml:space="preserve">ETIQUETTE PUR016 </t>
  </si>
  <si>
    <t>EPUR017</t>
  </si>
  <si>
    <t>ETIQUETTE PUR017</t>
  </si>
  <si>
    <t>EPUR023</t>
  </si>
  <si>
    <t>ETIQUETTE PUR023</t>
  </si>
  <si>
    <t>EPUR041</t>
  </si>
  <si>
    <t>ETIQUETTE PUR041</t>
  </si>
  <si>
    <t>EPURV013</t>
  </si>
  <si>
    <t>ETIQUETTE PURV013</t>
  </si>
  <si>
    <t>EPURV014</t>
  </si>
  <si>
    <t>ETIQUETTE PURV014</t>
  </si>
  <si>
    <t>EREG005</t>
  </si>
  <si>
    <t>ETIQUETTE REG005</t>
  </si>
  <si>
    <t>EREG006</t>
  </si>
  <si>
    <t>ETIQUETTE REG006</t>
  </si>
  <si>
    <t>EREG036</t>
  </si>
  <si>
    <t>ETIQUETTE REG036</t>
  </si>
  <si>
    <t>EREGV006</t>
  </si>
  <si>
    <t>ETIQUETTE REGV006</t>
  </si>
  <si>
    <t>SKIDE034</t>
  </si>
  <si>
    <t>ECHANTILLON GELEE LAVANTE</t>
  </si>
  <si>
    <t>EPAC</t>
  </si>
  <si>
    <t>SKIDE038</t>
  </si>
  <si>
    <t>ECHANTILLON CREME DES BEBES</t>
  </si>
  <si>
    <t>SKIDE039</t>
  </si>
  <si>
    <t>ECHANTILLON POMMADE MAGIQUE</t>
  </si>
  <si>
    <t>SKIDE040</t>
  </si>
  <si>
    <t>ECHANTILLON LINIMENT</t>
  </si>
  <si>
    <t>SHYDE042</t>
  </si>
  <si>
    <t xml:space="preserve">ECHANTILLON GELÉE FLORALE </t>
  </si>
  <si>
    <t>POT100</t>
  </si>
  <si>
    <t xml:space="preserve">POT EN VERRE 120 ML </t>
  </si>
  <si>
    <t>TUBAAEE008</t>
  </si>
  <si>
    <t xml:space="preserve">TUBE CREME DE NUIT AUX ACTIFS OXYGENANTS 5ml </t>
  </si>
  <si>
    <t>ALBEA</t>
  </si>
  <si>
    <t>TUBAAEE032</t>
  </si>
  <si>
    <t>TUBE MASQUE ROSE LACTE APAISANT 5ml</t>
  </si>
  <si>
    <t>TUBAAEV008</t>
  </si>
  <si>
    <t xml:space="preserve">TUBE CREME DE NUIT AUX ACTIFS OXYGENANTS 20ml </t>
  </si>
  <si>
    <t xml:space="preserve">TUBE PLANT </t>
  </si>
  <si>
    <t>TUBAAEV032</t>
  </si>
  <si>
    <t>TUBE MASQUE ROSE LACTE APAISANT 20ml</t>
  </si>
  <si>
    <t>TUBANOE001</t>
  </si>
  <si>
    <t xml:space="preserve">TUBE MASQUE EXFOLIANT AUX ACIDES DE FRUITS 5ml </t>
  </si>
  <si>
    <t>TUBANOE004</t>
  </si>
  <si>
    <t>TUBE CREME REVEIL MULTIVITAMINEE 5ml</t>
  </si>
  <si>
    <t>TUBANOV001</t>
  </si>
  <si>
    <t>TUBE MASQUE AUX ACIDES DE FRUITS 20ml</t>
  </si>
  <si>
    <t>TUBANOV004</t>
  </si>
  <si>
    <t xml:space="preserve">TUBE CREME REVEIL MULTIVITAMINEE 20ml </t>
  </si>
  <si>
    <t>TUBHYDE022</t>
  </si>
  <si>
    <t xml:space="preserve">TUBE CREME UNIVERSELLE 5ml </t>
  </si>
  <si>
    <t>TUBHYDE025</t>
  </si>
  <si>
    <t xml:space="preserve">TUBE LAIT DOUCEUR VANILLE NETTOYANT  5ml </t>
  </si>
  <si>
    <t>TUBHYDV022</t>
  </si>
  <si>
    <t xml:space="preserve">TUBE CREME UNIVERSELLE 20ml </t>
  </si>
  <si>
    <t>TUBHYDV025</t>
  </si>
  <si>
    <t xml:space="preserve">TUBE LAIT DOUCEUR VANILLE NETTOYANT 50ml </t>
  </si>
  <si>
    <t>TUBHYDV042</t>
  </si>
  <si>
    <t>TUBE GELÉE FLORALE ULTRA HYDRATANTE 20ml</t>
  </si>
  <si>
    <t>TUBKID039</t>
  </si>
  <si>
    <t>TUBE POMMADE MAGIQUE 30ml</t>
  </si>
  <si>
    <t>TUBKIDV038</t>
  </si>
  <si>
    <t>TUBE CREME DES BEBES 20ml</t>
  </si>
  <si>
    <t>TUBPURE016</t>
  </si>
  <si>
    <t>TUBE GELEE NOIRE NETTOYANTE AUX ACTIFS PURIFIANTS 5ml</t>
  </si>
  <si>
    <t>Flacon verre</t>
  </si>
  <si>
    <t>Fabriqué en Europe</t>
  </si>
  <si>
    <t>TUBPURE023</t>
  </si>
  <si>
    <t>TUBE FLUIDE PEAU PARFAITE 5ml</t>
  </si>
  <si>
    <t>TUBPURV016</t>
  </si>
  <si>
    <t>TUBE GELEE NOIRE NETTOYANTE AUX ACTIFS PURIFIANTS 50ml</t>
  </si>
  <si>
    <t>Pot verre</t>
  </si>
  <si>
    <t>TUBPURV023</t>
  </si>
  <si>
    <t>TUBE FLUIDE PEAU PARFAITE 20ml</t>
  </si>
  <si>
    <t>TUBREGE005</t>
  </si>
  <si>
    <t>TUBE CREME CONCENTREE AUX ACTIFS REPULPANTS 5ml</t>
  </si>
  <si>
    <t>Pompe</t>
  </si>
  <si>
    <t>TUBREGV005</t>
  </si>
  <si>
    <t>TUBE CREME CONCENTREE AUX ACTIFS REPULPANTS 20ml</t>
  </si>
  <si>
    <t>Capot</t>
  </si>
  <si>
    <t>% de la substance allergène dans la matière première</t>
  </si>
  <si>
    <t>Allergènes</t>
  </si>
  <si>
    <t>Benzyl alcohol</t>
  </si>
  <si>
    <t>6-Methylcoumarin</t>
  </si>
  <si>
    <t>Citral</t>
  </si>
  <si>
    <t>Geranial</t>
  </si>
  <si>
    <t>Neral</t>
  </si>
  <si>
    <t>Isoeugenol</t>
  </si>
  <si>
    <t>Citronellol</t>
  </si>
  <si>
    <t>Limonene</t>
  </si>
  <si>
    <t xml:space="preserve">Pinus Mugo Leaf Oil
Pinus Mugo Twig Leaf Extract
Pinus Mugo Twig Oil </t>
  </si>
  <si>
    <t>Pinus Pumila needle extract
Pinus Pumila Twig Leaf Extract
Pinus Pumila Twig Leaf Oil</t>
  </si>
  <si>
    <t>Cedrus Atlantica Bark Extract
Cedrus Atlantica Bark Oil
Cedrus Atlantica Bark Water
Cedrus Atlantica Leaf Extract
Cedrus Atlantica Wood Extract
Cedrus Atlantica Wood Oil</t>
  </si>
  <si>
    <t>Turpentine</t>
  </si>
  <si>
    <t>Alpha-terpinene</t>
  </si>
  <si>
    <t>Terpinolene</t>
  </si>
  <si>
    <t>Myroxylon Balsamum Pereirae Balsam Extract;
Myroxylon Balsamum Pereirae Balsam Oil;     Myroxylon Pereirae Oil;                                         Myroxylon Pereirae Resin Extract;
Myroxylon Pereirae Resin</t>
  </si>
  <si>
    <t>Aalpha-Damascone; 
cis-Rose ketone 1
cis Rose ketone 2 
(cis-beta-Damascone)
trans-Rose ketone 2 (trans-beta-Damascone)</t>
  </si>
  <si>
    <t>Aalpha-Damascone; 
cis-Rose ketone 1</t>
  </si>
  <si>
    <t>trans-Rose ketone 1</t>
  </si>
  <si>
    <t>Rose ketone 4 (Damascenone)</t>
  </si>
  <si>
    <t>Rose ketone 3 (delta-Damascone)</t>
  </si>
  <si>
    <t>trans-Rose ketone 3</t>
  </si>
  <si>
    <t>cis Rose ketone 2 
(cis-beta-Damascone)</t>
  </si>
  <si>
    <t>trans-Rose ketone 2 (trans-beta-Damascone)</t>
  </si>
  <si>
    <t>3-Propylidenephthalide</t>
  </si>
  <si>
    <t>Lippia citriodora absolute</t>
  </si>
  <si>
    <t>Acetyl Cedrene</t>
  </si>
  <si>
    <t>Amyl Salicylate</t>
  </si>
  <si>
    <t>Anethole</t>
  </si>
  <si>
    <t>Benzaldehyde</t>
  </si>
  <si>
    <t>Camphor</t>
  </si>
  <si>
    <t>Beta-Caryophyllene</t>
  </si>
  <si>
    <t>Carvone</t>
  </si>
  <si>
    <t>Dimethyl phenethyl Acetate</t>
  </si>
  <si>
    <t>Hexadecanolactone</t>
  </si>
  <si>
    <t>Hexamethylindanopyran</t>
  </si>
  <si>
    <t>Linalyl Acetate</t>
  </si>
  <si>
    <t>Menthol</t>
  </si>
  <si>
    <t>Methyl Salicylate</t>
  </si>
  <si>
    <t>Ebanol</t>
  </si>
  <si>
    <t>Salicylaldehyde</t>
  </si>
  <si>
    <t>Santalol</t>
  </si>
  <si>
    <t>Sclareol</t>
  </si>
  <si>
    <t>Terpineol</t>
  </si>
  <si>
    <t>Alpha Terpineol</t>
  </si>
  <si>
    <t>Tetramethyl acetyloctahydronaphthalenes</t>
  </si>
  <si>
    <t>Trimethylbenzenepropanol</t>
  </si>
  <si>
    <t>Cananga Odorata Flower Extract</t>
  </si>
  <si>
    <t>Cinnamomum Cassia Leaf Oil</t>
  </si>
  <si>
    <t>Cinnamomum Zeylanicum Bark Oil</t>
  </si>
  <si>
    <t xml:space="preserve">Citrus Aurantium Amara Flower Oil
</t>
  </si>
  <si>
    <t>Citrus Aurantium Dulcis Flower Oil</t>
  </si>
  <si>
    <t>Citrus Aurantium Amara Peel Oil
Citrus Sinensis Peel Oil</t>
  </si>
  <si>
    <t>Citrus Aurantium Amara Peel Oil</t>
  </si>
  <si>
    <t>Citrus Sinensis Peel Oil</t>
  </si>
  <si>
    <t>Citrus Aurantium Dulcis Peel Oil; 
Citrus Sinensis Peel Oil</t>
  </si>
  <si>
    <t>Citrus Aurantium Bergamia Peel Oil</t>
  </si>
  <si>
    <t>Citrus Limon Peel Oil</t>
  </si>
  <si>
    <t xml:space="preserve">Cymbopogon Schoenantus Oil
</t>
  </si>
  <si>
    <t>Cymbopogon Schoenantus Oil</t>
  </si>
  <si>
    <t>Cymbopogon Citratus Leaf Oil
Cymbopogon Flexuosus Oil</t>
  </si>
  <si>
    <t>Eucalyptus Globulus Leaf Oil
Eucalyptus Globulus Leaf/Twig Oil</t>
  </si>
  <si>
    <t>Eucalyptus Globulus Leaf Oil
Eucalyptus Globulus Leaf/Twig Oil</t>
  </si>
  <si>
    <t>Eugenia Caryophyllus Leaf Oil
Eugenia Caryophyllus Flower Oil
Eugenia Caryophyllus Stem Oil
Eugenia Caryophyllus Bud Oil</t>
  </si>
  <si>
    <t>Eugenia Caryophyllus Leaf Oil
Eugenia Caryophyllus Flower Oil
Eugenia Caryophyllus Stem Oil
Eugenia Caryophyllus Bud Oil</t>
  </si>
  <si>
    <t>Jasminum Grandiflorum Flower Extract;
Jasminum Officinale Oil
Jasminum Officinale Flower Extract;</t>
  </si>
  <si>
    <t>Juniperus Virginiana Oil; Juniperus Virginiana Wood Oil</t>
  </si>
  <si>
    <t>Laurus Nobilis Leaf Oil</t>
  </si>
  <si>
    <t>Lavandula Hybrida Oil;
Lavandula Hybrida Extract;
Lavandula Hybrida Flower Extract;</t>
  </si>
  <si>
    <t>Lavandula Intermedia Flower/Leaf/Stem Extract; Lavandula Intermedia Flower/Leaf/Stem Oil; 
Lavandula intermedia Oil
Lavendula Angustifolia Oil; Lavendula Angustifolia Flower/Leaf/Stem Extract</t>
  </si>
  <si>
    <t>Mentha Piperita Oil</t>
  </si>
  <si>
    <t>Mentha Viridis Leaf Oil</t>
  </si>
  <si>
    <t>Narcissus Poeticus Extract
Narcissus Pseudonarcissus Flower Extract
Narcissus Jonquilla Extract
Narcissus Tazetta Extract</t>
  </si>
  <si>
    <t>Pelargonium Graveolens Flower Oil</t>
  </si>
  <si>
    <t>Pogostemon Cablin Oil</t>
  </si>
  <si>
    <t>Rosa Damascena Flower Oil;
Rosa Damascena Flower Extract
Rosa Alba Flower Oil;
Rosa Alba Flower Extract
Rosa Canina Fruit Oil
Rosa Centifolia Flower Oil;
Rosa Centifolia Flower Extract
Rosa Gallica Flower Oil
Rosa Moschata Flower Oil
Rosa Rugosa Flower Oil</t>
  </si>
  <si>
    <t>Santalum Album Oil</t>
  </si>
  <si>
    <t>Eugenyl Acetate</t>
  </si>
  <si>
    <t>Geranyl Acetate</t>
  </si>
  <si>
    <t>Isoeugenyl Acetate</t>
  </si>
  <si>
    <t>Pinene</t>
  </si>
  <si>
    <t>Cinnamyl alcohol</t>
  </si>
  <si>
    <t>Eugenol</t>
  </si>
  <si>
    <t>Hydroxycitronellal</t>
  </si>
  <si>
    <t>Amyl cinnamal</t>
  </si>
  <si>
    <t>Amylcinnamyl alcohol</t>
  </si>
  <si>
    <t>Benzyl salicylate</t>
  </si>
  <si>
    <t>Cinnamal</t>
  </si>
  <si>
    <t>Coumarin</t>
  </si>
  <si>
    <t>Geraniol</t>
  </si>
  <si>
    <t>Anise alcohol</t>
  </si>
  <si>
    <t>Benzyl cinnamate</t>
  </si>
  <si>
    <t>Farnesol</t>
  </si>
  <si>
    <t>Linalool</t>
  </si>
  <si>
    <t>Benzyl benzoate</t>
  </si>
  <si>
    <t>Hexyl cinnamal</t>
  </si>
  <si>
    <t>Methyl 2-octynoate</t>
  </si>
  <si>
    <t>Alpha isomethyl ionone</t>
  </si>
  <si>
    <t>Code MP</t>
  </si>
  <si>
    <t xml:space="preserve">INCI </t>
  </si>
  <si>
    <t>Nom commercial</t>
  </si>
  <si>
    <t xml:space="preserve">Fournisseur </t>
  </si>
  <si>
    <t>100-51-6</t>
  </si>
  <si>
    <t>92-48-8</t>
  </si>
  <si>
    <t xml:space="preserve">5392-40-5
</t>
  </si>
  <si>
    <t>141-27-5</t>
  </si>
  <si>
    <t>106-26-3</t>
  </si>
  <si>
    <t>97-54-1</t>
  </si>
  <si>
    <t xml:space="preserve"> 5932-68-3</t>
  </si>
  <si>
    <t>5912-86-7</t>
  </si>
  <si>
    <t>106-22-9</t>
  </si>
  <si>
    <t>26489-01-0</t>
  </si>
  <si>
    <t>1117-61-9</t>
  </si>
  <si>
    <t>7540-51-4</t>
  </si>
  <si>
    <t>138-86-3</t>
  </si>
  <si>
    <t>7705-14-8</t>
  </si>
  <si>
    <t>5989-27-5</t>
  </si>
  <si>
    <t>5989-54-8</t>
  </si>
  <si>
    <t xml:space="preserve">90082-72-7 </t>
  </si>
  <si>
    <t>97676-05-6</t>
  </si>
  <si>
    <t xml:space="preserve">92201-55-3
</t>
  </si>
  <si>
    <t>8023-85-6</t>
  </si>
  <si>
    <t>9005-90-7</t>
  </si>
  <si>
    <t>8006-64-2</t>
  </si>
  <si>
    <t>8052-14-0</t>
  </si>
  <si>
    <t xml:space="preserve">99-86-5 </t>
  </si>
  <si>
    <t>586-62-9</t>
  </si>
  <si>
    <t>8007-00-9</t>
  </si>
  <si>
    <t>43052-87-5</t>
  </si>
  <si>
    <t>23726-94-5</t>
  </si>
  <si>
    <t>24720-09-0</t>
  </si>
  <si>
    <t>23696-85-7</t>
  </si>
  <si>
    <t>57378-68-4</t>
  </si>
  <si>
    <t>71048-82-3</t>
  </si>
  <si>
    <t>23726-92-3</t>
  </si>
  <si>
    <t>23726-91-2</t>
  </si>
  <si>
    <t>17369-59-4</t>
  </si>
  <si>
    <t>8024-12-2</t>
  </si>
  <si>
    <t>85116-63-8</t>
  </si>
  <si>
    <t>32388-55-9</t>
  </si>
  <si>
    <t>2050-08-0</t>
  </si>
  <si>
    <t>104-46-1</t>
  </si>
  <si>
    <t>4180-23-8</t>
  </si>
  <si>
    <t>100-52-7</t>
  </si>
  <si>
    <t>76-22-2</t>
  </si>
  <si>
    <t>21368-68-3</t>
  </si>
  <si>
    <t>464-49-3</t>
  </si>
  <si>
    <t>464-48-2</t>
  </si>
  <si>
    <t>87-44-5</t>
  </si>
  <si>
    <t>99-49-0</t>
  </si>
  <si>
    <t>6485-40-1</t>
  </si>
  <si>
    <t>2244-16-8</t>
  </si>
  <si>
    <t>151-05-3</t>
  </si>
  <si>
    <t>109-29-5</t>
  </si>
  <si>
    <t>1222-05-5</t>
  </si>
  <si>
    <t>115-95-7</t>
  </si>
  <si>
    <t>89-78-1</t>
  </si>
  <si>
    <t xml:space="preserve">1490-04-6 </t>
  </si>
  <si>
    <t xml:space="preserve">2216-51-5 </t>
  </si>
  <si>
    <t xml:space="preserve">15356-60-2 </t>
  </si>
  <si>
    <t>119-36-8</t>
  </si>
  <si>
    <t>67801-20-1</t>
  </si>
  <si>
    <t>90-02-8</t>
  </si>
  <si>
    <t>11031-45-1</t>
  </si>
  <si>
    <t>115-71-9</t>
  </si>
  <si>
    <t>77-42-9</t>
  </si>
  <si>
    <t>515-03-7</t>
  </si>
  <si>
    <t>8000-41-7</t>
  </si>
  <si>
    <t>98-55-5</t>
  </si>
  <si>
    <t>138-87-4</t>
  </si>
  <si>
    <t>586-81-2</t>
  </si>
  <si>
    <t xml:space="preserve">54464-57-2 </t>
  </si>
  <si>
    <t>54464-59-4</t>
  </si>
  <si>
    <t>68155-66-8</t>
  </si>
  <si>
    <t>68155-67-9</t>
  </si>
  <si>
    <t>103694-68-4</t>
  </si>
  <si>
    <t>121-33-5</t>
  </si>
  <si>
    <t>83863-30-3</t>
  </si>
  <si>
    <t>8006-81-3</t>
  </si>
  <si>
    <t>68606-83-7</t>
  </si>
  <si>
    <t>93686-30-7</t>
  </si>
  <si>
    <t>8007-80-5</t>
  </si>
  <si>
    <t>84961-46-6</t>
  </si>
  <si>
    <t>8015-91-6</t>
  </si>
  <si>
    <t>84649-98-9</t>
  </si>
  <si>
    <t>8028-48-6</t>
  </si>
  <si>
    <t>8016-38-4</t>
  </si>
  <si>
    <t>68916-04-1</t>
  </si>
  <si>
    <t>97766-30-8</t>
  </si>
  <si>
    <t xml:space="preserve">8007-75-8
</t>
  </si>
  <si>
    <t>68648-33-9</t>
  </si>
  <si>
    <t>8007-75-8</t>
  </si>
  <si>
    <t>85049-52-1</t>
  </si>
  <si>
    <t>84929-31-7</t>
  </si>
  <si>
    <t xml:space="preserve">8007-02-1
</t>
  </si>
  <si>
    <t>89998-16-3</t>
  </si>
  <si>
    <t>91844-92-7</t>
  </si>
  <si>
    <t>97926-40-4</t>
  </si>
  <si>
    <t>8000-48-4</t>
  </si>
  <si>
    <t>8000-34-8</t>
  </si>
  <si>
    <t>84961-50-2</t>
  </si>
  <si>
    <t>8015-97-2</t>
  </si>
  <si>
    <t>84776-64-7</t>
  </si>
  <si>
    <t>90045-94-6</t>
  </si>
  <si>
    <t>8022-96-6</t>
  </si>
  <si>
    <t>8024-43-9</t>
  </si>
  <si>
    <t xml:space="preserve">8000-27-9/  85085-41-2
</t>
  </si>
  <si>
    <t>8002-41-3</t>
  </si>
  <si>
    <t>8007-48-5</t>
  </si>
  <si>
    <t>84603-73-6</t>
  </si>
  <si>
    <t>91722-69-9</t>
  </si>
  <si>
    <t>8022-15-9</t>
  </si>
  <si>
    <t>93455-96-0</t>
  </si>
  <si>
    <t>93455-97-1</t>
  </si>
  <si>
    <t>92623-76-2</t>
  </si>
  <si>
    <t>8006-90-4</t>
  </si>
  <si>
    <t>8008-79-5</t>
  </si>
  <si>
    <t>84696-51-5</t>
  </si>
  <si>
    <t xml:space="preserve">90064-26-9
</t>
  </si>
  <si>
    <t>68917-12-4</t>
  </si>
  <si>
    <t>90064-27-0</t>
  </si>
  <si>
    <t>90064-25-8</t>
  </si>
  <si>
    <t>8000-46-2</t>
  </si>
  <si>
    <t xml:space="preserve"> 8014-09-3</t>
  </si>
  <si>
    <t>84238-39-1</t>
  </si>
  <si>
    <t xml:space="preserve">8007-01-0
</t>
  </si>
  <si>
    <t>90106-38-0</t>
  </si>
  <si>
    <t xml:space="preserve">93334-48-6 </t>
  </si>
  <si>
    <t xml:space="preserve">84696-47-9 </t>
  </si>
  <si>
    <t xml:space="preserve">84604-12-6 </t>
  </si>
  <si>
    <t>84604-13-7</t>
  </si>
  <si>
    <t>92347-25-6</t>
  </si>
  <si>
    <t>8006-87-9</t>
  </si>
  <si>
    <t>84787-70-2</t>
  </si>
  <si>
    <t>93-28-7</t>
  </si>
  <si>
    <t>105-87-3</t>
  </si>
  <si>
    <t>93-29-8</t>
  </si>
  <si>
    <t>80-56-8</t>
  </si>
  <si>
    <t>7785-70-8</t>
  </si>
  <si>
    <t>127-91-3</t>
  </si>
  <si>
    <t>18172-67-3</t>
  </si>
  <si>
    <t>104-54-1</t>
  </si>
  <si>
    <t>97-53-0</t>
  </si>
  <si>
    <t>107-75-5</t>
  </si>
  <si>
    <t>122-40-7</t>
  </si>
  <si>
    <t>101-85-9</t>
  </si>
  <si>
    <t>118-58-1</t>
  </si>
  <si>
    <t>104-55-2</t>
  </si>
  <si>
    <t>91-64-5</t>
  </si>
  <si>
    <t>106-24-1</t>
  </si>
  <si>
    <t>105-13-5</t>
  </si>
  <si>
    <t>103-41-3</t>
  </si>
  <si>
    <t>4602-84-0</t>
  </si>
  <si>
    <t>78-70-6</t>
  </si>
  <si>
    <t>120-51-4</t>
  </si>
  <si>
    <t>101-86-0</t>
  </si>
  <si>
    <t>111-12-6</t>
  </si>
  <si>
    <t>127-51-5</t>
  </si>
  <si>
    <t>Groupement de nom</t>
  </si>
  <si>
    <t>Pinus Mugo</t>
  </si>
  <si>
    <t>Pinus Pumila</t>
  </si>
  <si>
    <t>Cedrus Atlantica</t>
  </si>
  <si>
    <t>Myroxylon Pereirae Oil/Extract</t>
  </si>
  <si>
    <t>Rose Ketones</t>
  </si>
  <si>
    <t>Cananga Odorata Oil/Extract</t>
  </si>
  <si>
    <t>Citrus Aurantium Peel oil</t>
  </si>
  <si>
    <t>Lemongrass Oil</t>
  </si>
  <si>
    <t>Eucalyptus Globulus Oil</t>
  </si>
  <si>
    <t>Eugenia Caryophyllus Oil</t>
  </si>
  <si>
    <t>Jasmine Oil/Extract</t>
  </si>
  <si>
    <t>Juniperus Virginiana Oil</t>
  </si>
  <si>
    <t>Lavandula Oil/Extract</t>
  </si>
  <si>
    <t>Narcissus Extract</t>
  </si>
  <si>
    <t>Rose Flower Oil/Extract</t>
  </si>
  <si>
    <t>He d'ylang ylang complète BIO</t>
  </si>
  <si>
    <t>CANANGA ODORATA FLOWER OIL</t>
  </si>
  <si>
    <t>YLANG COMPLETE HE BIO</t>
  </si>
  <si>
    <t>MP502</t>
  </si>
  <si>
    <t>VETIVERIA ZIZANOIDES ROOT OIL</t>
  </si>
  <si>
    <t>VETYVER HAITI HUILE ESSENTIELLE</t>
  </si>
  <si>
    <t>MELALEUCA ALTERNIFOLIA LEAF OIL</t>
  </si>
  <si>
    <t>TEA TREE HUILE ESSENTIELLE BIO</t>
  </si>
  <si>
    <t>CINNAMOMUM CAMPHORA LEAF OIL</t>
  </si>
  <si>
    <t>HO WOOD HE</t>
  </si>
  <si>
    <t>CITRUS AURANTIUM LEAF OIL</t>
  </si>
  <si>
    <t>PETITGRAIN PARAGUAY HE BIO</t>
  </si>
  <si>
    <t>CYMBOPOGON MARTINI OIL</t>
  </si>
  <si>
    <t>PALMAROSA HE BIO Cymbopogon Martinii Bio</t>
  </si>
  <si>
    <t>He Orange sanguine</t>
  </si>
  <si>
    <t>CITRUS AURANTIUM DULCIS PEEL OIL</t>
  </si>
  <si>
    <t>ORANGE SANGUINE HUILE ESSENTIELLE</t>
  </si>
  <si>
    <t>LAVANDULA ANGUSTIFOLIA OIL</t>
  </si>
  <si>
    <t>LAVANDE TRADITIONELLE FRANCE HE BIO</t>
  </si>
  <si>
    <t>PELARGONIUM GRAVEOLENS STEM LEAF OIL</t>
  </si>
  <si>
    <t>GERANIUM EGYPTE HE BIO</t>
  </si>
  <si>
    <t>Citrus Lemon Peel Oil</t>
  </si>
  <si>
    <t>CITRON RECTIFIE SANS FUROCOUMARINE WW / SB</t>
  </si>
  <si>
    <t>He Bergamotte incolore sans furocoumarine BIO</t>
  </si>
  <si>
    <t>CITRUS AURANTIUM BERGAMIA FRUIT OIL</t>
  </si>
  <si>
    <t>BERGAMOTE FCF HE ITALIE BIO</t>
  </si>
  <si>
    <t>SCHINUS TEREBENTHIFOLIUS FRUIT OIL</t>
  </si>
  <si>
    <t>BAIES ROSES HE (schinus terebenthifolius)</t>
  </si>
  <si>
    <t>ROSMARINUS OFFICINALIS LEAF OIL</t>
  </si>
  <si>
    <t>ROMARIN CINEOL HUILE ESSENTIELLE BIO</t>
  </si>
  <si>
    <t>LITSEA CUBEBA FRUIT OIL</t>
  </si>
  <si>
    <t>LITSEA CUBEBA HE BIO</t>
  </si>
  <si>
    <t>MP517</t>
  </si>
  <si>
    <t>EUCALYPTUS GLOBULUS LEAF OIL</t>
  </si>
  <si>
    <t>EUCALYPTUS GLOBULUS HE 80/85%</t>
  </si>
  <si>
    <t>PRUNUS ARMENIACA KERNEL OIL</t>
  </si>
  <si>
    <t>AMANDE AMERE HE</t>
  </si>
  <si>
    <t>ROSE HUILE ESSENTIELLE LOW METHYL EUGENOL</t>
  </si>
  <si>
    <t>VANILLE  TK 60669</t>
  </si>
  <si>
    <t>FRUIT DE LA PASSION NAT CO 60645</t>
  </si>
  <si>
    <t>C3150/4</t>
  </si>
  <si>
    <t>VANESSENCE</t>
  </si>
  <si>
    <t>Composition Fleur oranger</t>
  </si>
  <si>
    <t>HE Néroli Tunisie</t>
  </si>
  <si>
    <t>Test pour allergènes à déclarer</t>
  </si>
  <si>
    <t>% de la substance allergène dans la matière première /
% of the allergenic substance in the raw material</t>
  </si>
  <si>
    <t>% de la substance allergène dans le produit fini / 
% of the allergenic substance in the finished product</t>
  </si>
  <si>
    <t>Myroxylon Balsamum Pereirae Balsam Extract;
Myroxylon Balsamum Pereirae Balsam Oil;     Myroxylon Pereirae Oil;                                      Myroxylon Pereirae Resin Extract;
Myroxylon Pereirae Resin</t>
  </si>
  <si>
    <t>Aalpha-Damascone; 
cis-Rose ketone 1
cis Rose ketone 2 
(cis-beta-Damascone);                                                                                                                                                                                     trans-Rose ketone 2 (trans-beta-Damascone)</t>
  </si>
  <si>
    <t>butylphenyl methylpropional</t>
  </si>
  <si>
    <t>evernia furfuracea (treemoss) extract</t>
  </si>
  <si>
    <t>evernia prunastri (oak moss) extract</t>
  </si>
  <si>
    <t>hydroxyisohexyl 3-cyclohexene carboxaldehyde</t>
  </si>
  <si>
    <t>Référence MP interne
RM internal reference</t>
  </si>
  <si>
    <t>Dénomination commerciale MP
Commercial RM name</t>
  </si>
  <si>
    <t>% (m / m) MP dans la formule
% (w / w) RM in the formula</t>
  </si>
  <si>
    <t>90064-26-9</t>
  </si>
  <si>
    <t>80-54-6</t>
  </si>
  <si>
    <t>90028-67-4</t>
  </si>
  <si>
    <t>90028-68-5</t>
  </si>
  <si>
    <t>31906-04-4</t>
  </si>
  <si>
    <t>Groupements</t>
  </si>
  <si>
    <t>% total de la substance allergène dans le produit fini /
Total% of the allergenic substance in the finished product</t>
  </si>
  <si>
    <r>
      <rPr>
        <sz val="12"/>
        <color theme="1"/>
        <rFont val="Calibri"/>
        <family val="2"/>
      </rPr>
      <t xml:space="preserve">POUR UN PRODUIT </t>
    </r>
    <r>
      <rPr>
        <b/>
        <sz val="12"/>
        <color theme="1"/>
        <rFont val="Calibri"/>
        <family val="2"/>
      </rPr>
      <t>RINCE</t>
    </r>
    <r>
      <rPr>
        <sz val="12"/>
        <color theme="1"/>
        <rFont val="Calibri"/>
        <family val="2"/>
      </rPr>
      <t xml:space="preserve"> déclarabilité dans la composition qualitative ? 
FOR A RINCE PRODUCT: notication on the qualitative composition?</t>
    </r>
  </si>
  <si>
    <r>
      <rPr>
        <sz val="12"/>
        <color theme="1"/>
        <rFont val="Calibri"/>
        <family val="2"/>
      </rPr>
      <t xml:space="preserve">POUR UN PRODUIT </t>
    </r>
    <r>
      <rPr>
        <b/>
        <sz val="12"/>
        <color theme="1"/>
        <rFont val="Calibri"/>
        <family val="2"/>
      </rPr>
      <t>NON RINCE</t>
    </r>
    <r>
      <rPr>
        <sz val="12"/>
        <color theme="1"/>
        <rFont val="Calibri"/>
        <family val="2"/>
      </rPr>
      <t xml:space="preserve">  déclarabilité dans la composition qualitative ? 
FOR A NON-RINCE PRODUCT: notification on the qualitative composition?</t>
    </r>
  </si>
  <si>
    <t>Laboratoire</t>
  </si>
  <si>
    <t>Prix</t>
  </si>
  <si>
    <t>CT001</t>
  </si>
  <si>
    <t>Challenge test ISO11930</t>
  </si>
  <si>
    <t>QACS</t>
  </si>
  <si>
    <t>PT001</t>
  </si>
  <si>
    <t>Patch test</t>
  </si>
  <si>
    <t>PT002</t>
  </si>
  <si>
    <t>Patch test with sensitive skin</t>
  </si>
  <si>
    <t>SA001</t>
  </si>
  <si>
    <t>Safety assessment EU Reg. 2023/1545_New Allergens List</t>
  </si>
  <si>
    <t>DSOL001</t>
  </si>
  <si>
    <t>Dossier complet solaire</t>
  </si>
  <si>
    <t>Hélioscience</t>
  </si>
  <si>
    <t>SCR001</t>
  </si>
  <si>
    <t>Screaning in vitro</t>
  </si>
  <si>
    <t>Nouvelles MPs</t>
  </si>
  <si>
    <t>Produit fini</t>
  </si>
  <si>
    <t xml:space="preserve">Nom commercial </t>
  </si>
  <si>
    <t>Autre fournisseur</t>
  </si>
  <si>
    <t xml:space="preserve">% utilisé </t>
  </si>
  <si>
    <t xml:space="preserve">Prix €/kg HT </t>
  </si>
  <si>
    <t>MOQ</t>
  </si>
  <si>
    <t>Contact</t>
  </si>
  <si>
    <t>Délais livraison</t>
  </si>
  <si>
    <t>DLUO</t>
  </si>
  <si>
    <t>Gestion DLUO</t>
  </si>
  <si>
    <t>Packaging</t>
  </si>
  <si>
    <t>Crème douceur lactée</t>
  </si>
  <si>
    <t>Helpac
Gazignaire
Interaxion</t>
  </si>
  <si>
    <t>1L</t>
  </si>
  <si>
    <t>Milie</t>
  </si>
  <si>
    <t>10j</t>
  </si>
  <si>
    <t>6 mois</t>
  </si>
  <si>
    <t>Airless 50ml APTAR</t>
  </si>
  <si>
    <t>1ère commande : 24,55€ puis 24,85€</t>
  </si>
  <si>
    <t xml:space="preserve">Julie SANTACROCE julie.santacroce@airliquide.com </t>
  </si>
  <si>
    <t>60 mois</t>
  </si>
  <si>
    <t>5kg</t>
  </si>
  <si>
    <t>Marco MOLARO m.molaro@bionap.com</t>
  </si>
  <si>
    <t>36 mois</t>
  </si>
  <si>
    <t>Caroline QUENTIN</t>
  </si>
  <si>
    <t>3-4 semaines</t>
  </si>
  <si>
    <t xml:space="preserve">20kg </t>
  </si>
  <si>
    <t>5kg : 54,54€</t>
  </si>
  <si>
    <t>15j</t>
  </si>
  <si>
    <t>12 mois</t>
  </si>
  <si>
    <t xml:space="preserve">Tester les spec du produit. Si conforme, ralonger d'un an. </t>
  </si>
  <si>
    <t>1ère prod : 1000 unités</t>
  </si>
  <si>
    <t xml:space="preserve">Baume fondant </t>
  </si>
  <si>
    <t>20kg</t>
  </si>
  <si>
    <t>Rossow 36€/kg</t>
  </si>
  <si>
    <t>Ingretech</t>
  </si>
  <si>
    <t>Avant ouverture : 36 mois
Après ouverture : à conserver au frais</t>
  </si>
  <si>
    <t>Pot verre 100ml
POHLI</t>
  </si>
  <si>
    <t>Rhus Verniciflua Peel Cera</t>
  </si>
  <si>
    <t>Naturochim : 36,44€ les 40kg
Ingretech : 50,30€/kg les 20kg</t>
  </si>
  <si>
    <t>Claudine COUMANNE direction@naturochim.com</t>
  </si>
  <si>
    <t>10 semaines</t>
  </si>
  <si>
    <t>Pommade magique</t>
  </si>
  <si>
    <t xml:space="preserve">20L </t>
  </si>
  <si>
    <t xml:space="preserve">12,63€/kg le fut de 220L </t>
  </si>
  <si>
    <t xml:space="preserve">Cauvin </t>
  </si>
  <si>
    <t>Tube canule PET 30ml TUBEPLANT</t>
  </si>
  <si>
    <t>Helpac / Aldivia / Interaxion</t>
  </si>
  <si>
    <t>Gelée lavante fleur vanillée</t>
  </si>
  <si>
    <t>déjà commandé
négocié à 3,85</t>
  </si>
  <si>
    <t>4-6 mois</t>
  </si>
  <si>
    <t>Bouillote PET 200ml + chapeau chinois</t>
  </si>
  <si>
    <t>200kg</t>
  </si>
  <si>
    <t>32,8€/kg pour 20kg</t>
  </si>
  <si>
    <t xml:space="preserve">Ingretech
Julie Lanxade
julie.lanxade@ingretech.fr </t>
  </si>
  <si>
    <t>6 semaines</t>
  </si>
  <si>
    <t>Helpac
Gazignaire</t>
  </si>
  <si>
    <t xml:space="preserve">Voir conservation avec Leucidal SF Max </t>
  </si>
  <si>
    <t>Active Micro Technologies
Raphaëlle BRUNET-TRON
r.brunet@activeconcepts.it</t>
  </si>
  <si>
    <t>CRODA, Caroline QUENTIN</t>
  </si>
  <si>
    <t>Liniment à la lavande</t>
  </si>
  <si>
    <t>Calcium hydroxide</t>
  </si>
  <si>
    <t>Calmags</t>
  </si>
  <si>
    <t>Linda Hanke, l.hanke@calmags.de</t>
  </si>
  <si>
    <t xml:space="preserve">Sous formule </t>
  </si>
  <si>
    <t>1kg eau de chaux =&gt; 10g d'hydroxide de calcium = 1%</t>
  </si>
  <si>
    <t xml:space="preserve">Pour 1kg d'eau de chaux, il faut : </t>
  </si>
  <si>
    <t xml:space="preserve">10g de chaux </t>
  </si>
  <si>
    <t xml:space="preserve">990g d'eau </t>
  </si>
  <si>
    <t xml:space="preserve">Pour 1kg de macérât, il faut : </t>
  </si>
  <si>
    <t xml:space="preserve">85% d'olive </t>
  </si>
  <si>
    <t>15% de lavande fleurs</t>
  </si>
  <si>
    <t>Soin anti-bouton</t>
  </si>
  <si>
    <t>Nom INCI</t>
  </si>
  <si>
    <t>MOQ (kg)</t>
  </si>
  <si>
    <t>Tolérance pesée</t>
  </si>
  <si>
    <r>
      <rPr>
        <sz val="14"/>
        <color theme="1"/>
        <rFont val="Aptos Narrow"/>
        <family val="2"/>
      </rPr>
      <t>±</t>
    </r>
    <r>
      <rPr>
        <sz val="14"/>
        <color theme="1"/>
        <rFont val="Calibri"/>
        <family val="2"/>
      </rPr>
      <t xml:space="preserve"> 5%</t>
    </r>
  </si>
  <si>
    <t>Roll-on Superlook 10 ml ESOBEA</t>
  </si>
  <si>
    <t>Citrus Aurantium Amara Flower Water (and) Aqua (and) Leuconostoc Radish/Root Ferment Filtrate</t>
  </si>
  <si>
    <r>
      <rPr>
        <sz val="14"/>
        <color theme="1"/>
        <rFont val="Aptos Narrow"/>
        <family val="2"/>
      </rPr>
      <t>±</t>
    </r>
    <r>
      <rPr>
        <sz val="14"/>
        <color theme="1"/>
        <rFont val="Calibri"/>
        <family val="2"/>
      </rPr>
      <t xml:space="preserve"> 5%</t>
    </r>
  </si>
  <si>
    <t>Glycerin</t>
  </si>
  <si>
    <r>
      <rPr>
        <sz val="14"/>
        <color theme="1"/>
        <rFont val="Aptos Narrow"/>
        <family val="2"/>
      </rPr>
      <t>±</t>
    </r>
    <r>
      <rPr>
        <sz val="14"/>
        <color theme="1"/>
        <rFont val="Calibri"/>
        <family val="2"/>
      </rPr>
      <t xml:space="preserve"> 1%</t>
    </r>
  </si>
  <si>
    <t>Xanthan gum</t>
  </si>
  <si>
    <r>
      <rPr>
        <sz val="14"/>
        <color theme="1"/>
        <rFont val="Aptos Narrow"/>
        <family val="2"/>
      </rPr>
      <t>±</t>
    </r>
    <r>
      <rPr>
        <sz val="14"/>
        <color theme="1"/>
        <rFont val="Calibri"/>
        <family val="2"/>
      </rPr>
      <t xml:space="preserve"> 0,1%</t>
    </r>
  </si>
  <si>
    <t>Alcohol</t>
  </si>
  <si>
    <r>
      <rPr>
        <sz val="14"/>
        <color theme="1"/>
        <rFont val="Aptos Narrow"/>
        <family val="2"/>
      </rPr>
      <t>±</t>
    </r>
    <r>
      <rPr>
        <sz val="14"/>
        <color theme="1"/>
        <rFont val="Calibri"/>
        <family val="2"/>
      </rPr>
      <t xml:space="preserve"> 5%</t>
    </r>
  </si>
  <si>
    <t xml:space="preserve">Salicylic acid </t>
  </si>
  <si>
    <t>Givaudan/Qmasso</t>
  </si>
  <si>
    <t>Guilhem COMBES, gcombes@cqmasso.com
OU
Caroline QUENTIN</t>
  </si>
  <si>
    <r>
      <rPr>
        <sz val="14"/>
        <color theme="1"/>
        <rFont val="Aptos Narrow"/>
        <family val="2"/>
      </rPr>
      <t>±</t>
    </r>
    <r>
      <rPr>
        <sz val="14"/>
        <color theme="1"/>
        <rFont val="Calibri"/>
        <family val="2"/>
      </rPr>
      <t xml:space="preserve"> 0,01%</t>
    </r>
  </si>
  <si>
    <t>Melaleuca Alternifolia Leaf Oil</t>
  </si>
  <si>
    <r>
      <rPr>
        <sz val="14"/>
        <color theme="1"/>
        <rFont val="Aptos Narrow"/>
        <family val="2"/>
      </rPr>
      <t>±</t>
    </r>
    <r>
      <rPr>
        <sz val="14"/>
        <color theme="1"/>
        <rFont val="Calibri"/>
        <family val="2"/>
      </rPr>
      <t xml:space="preserve"> 0,02%</t>
    </r>
  </si>
  <si>
    <t>Lavandula Angustifolia Oil</t>
  </si>
  <si>
    <r>
      <rPr>
        <sz val="14"/>
        <color theme="1"/>
        <rFont val="Aptos Narrow"/>
        <family val="2"/>
      </rPr>
      <t>±</t>
    </r>
    <r>
      <rPr>
        <sz val="14"/>
        <color theme="1"/>
        <rFont val="Calibri"/>
        <family val="2"/>
      </rPr>
      <t xml:space="preserve"> 0,02%</t>
    </r>
  </si>
  <si>
    <t>Citrus Aurantium Dulcis Peel Oil</t>
  </si>
  <si>
    <r>
      <rPr>
        <sz val="14"/>
        <color theme="1"/>
        <rFont val="Aptos Narrow"/>
        <family val="2"/>
      </rPr>
      <t>±</t>
    </r>
    <r>
      <rPr>
        <sz val="14"/>
        <color theme="1"/>
        <rFont val="Calibri"/>
        <family val="2"/>
      </rPr>
      <t xml:space="preserve"> 0,02%</t>
    </r>
  </si>
  <si>
    <t>Armoni.BODIN@ami-ingredients.fr</t>
  </si>
  <si>
    <r>
      <rPr>
        <sz val="14"/>
        <color theme="1"/>
        <rFont val="Aptos Narrow"/>
        <family val="2"/>
      </rPr>
      <t>±</t>
    </r>
    <r>
      <rPr>
        <sz val="14"/>
        <color theme="1"/>
        <rFont val="Calibri"/>
        <family val="2"/>
      </rPr>
      <t xml:space="preserve"> 0,5%</t>
    </r>
  </si>
  <si>
    <t xml:space="preserve">Lactic acid </t>
  </si>
  <si>
    <r>
      <rPr>
        <sz val="14"/>
        <color theme="1"/>
        <rFont val="Aptos Narrow"/>
        <family val="2"/>
      </rPr>
      <t>±</t>
    </r>
    <r>
      <rPr>
        <sz val="14"/>
        <color theme="1"/>
        <rFont val="Calibri"/>
        <family val="2"/>
      </rPr>
      <t xml:space="preserve"> 0,01%</t>
    </r>
  </si>
  <si>
    <t>Leuconostoc Radish/Root Ferment Filtrate</t>
  </si>
  <si>
    <t>MP362</t>
  </si>
  <si>
    <t>MP709</t>
  </si>
  <si>
    <t>MP710</t>
  </si>
  <si>
    <t>MP151B</t>
  </si>
  <si>
    <t>Brassica Campestris Seed oil*</t>
  </si>
  <si>
    <t>Corylus Avellana Seed Oil</t>
  </si>
  <si>
    <t>Sucrose</t>
  </si>
  <si>
    <t>Montmorillonite, Illite, Kaolin</t>
  </si>
  <si>
    <t>F045</t>
  </si>
  <si>
    <t>F046</t>
  </si>
  <si>
    <t>F047</t>
  </si>
  <si>
    <t>F048</t>
  </si>
  <si>
    <t xml:space="preserve">LAIT RICHE COCO PEAU DE CROCO </t>
  </si>
  <si>
    <t>FLUIDE SOLAIRE LACTE SPF 30</t>
  </si>
  <si>
    <t>FLUIDE SOLAIRE LACTE SPF 50</t>
  </si>
  <si>
    <t>GOMMAGE NOURRISSANT SUCRE VANILLE</t>
  </si>
  <si>
    <t>TUBSOL046</t>
  </si>
  <si>
    <t>TUBSOLV046</t>
  </si>
  <si>
    <t>TUBSOL047</t>
  </si>
  <si>
    <t>TUBSOLV047</t>
  </si>
  <si>
    <t xml:space="preserve">TUBE FLUIDE SOLAIRE SPF 30 100ml </t>
  </si>
  <si>
    <t xml:space="preserve">TUBE FLUIDE SOLAIRE SPF 50 100ml </t>
  </si>
  <si>
    <t xml:space="preserve">TUBE FLUIDE SOLAIRE SPF 50 VOYAGE 40ml </t>
  </si>
  <si>
    <t xml:space="preserve">TUBE FLUIDE SOLAIRE SPF 30 VOYAGE 40ml </t>
  </si>
  <si>
    <t>Flip top</t>
  </si>
  <si>
    <t>SSOL046</t>
  </si>
  <si>
    <t>SSOL047</t>
  </si>
  <si>
    <t>ECHANTILLON FLUIDE SOLAIRE SPF 30</t>
  </si>
  <si>
    <t>ECHANTILLON FLUIDE SOLAIRE SPF 50</t>
  </si>
  <si>
    <t>PP</t>
  </si>
  <si>
    <t>SLAI045</t>
  </si>
  <si>
    <t>SGOM048</t>
  </si>
  <si>
    <t>ECHANTILLON LAIT RICHE COCO</t>
  </si>
  <si>
    <t>ECHANTILLON GOMMAGE NOURRISSANT</t>
  </si>
  <si>
    <t>PE</t>
  </si>
  <si>
    <t>TUBGOM048</t>
  </si>
  <si>
    <t>TUBGOMV048</t>
  </si>
  <si>
    <t>TUBE GOMMAGE NOURRISSANT SUCRE VANILLE 120ml</t>
  </si>
  <si>
    <t>TUBE GOMMAGE NOURRISSANT SUCRE VANILLE VOYAGE 50ml</t>
  </si>
  <si>
    <t>ELAI045</t>
  </si>
  <si>
    <t>ETIQUETTE LAI045</t>
  </si>
  <si>
    <t>TUBLAIV045</t>
  </si>
  <si>
    <t>TUBE LAIT RICHE COCO VOYAGE 50ml</t>
  </si>
  <si>
    <t>Defensowin</t>
  </si>
  <si>
    <t>Malic Acid &lt;1%
Tartaric Acid &lt;1%
Arbutin &lt;10ppm
Heavy metals &lt;20ppm
Arsenic &lt;2ppm
Lead &lt;1ppm
Cadmium &lt;1ppm</t>
  </si>
  <si>
    <t>F001B</t>
  </si>
  <si>
    <t>MASQUE EXFOLIANT AUX ACIDES DE FRUITS REFORMULATION</t>
  </si>
  <si>
    <t>CANO001B</t>
  </si>
  <si>
    <t>ETUI ANO001B</t>
  </si>
  <si>
    <t>EANO001B</t>
  </si>
  <si>
    <t>ETIQUETTE ANO001B</t>
  </si>
  <si>
    <t>TUBANOV001B</t>
  </si>
  <si>
    <t>TUBE MASQUE AUX ACIDES DE FRUITS REFORMULATION 20ml</t>
  </si>
  <si>
    <t>SANO001B</t>
  </si>
  <si>
    <t>ECHANTILLON MASQUE EXFOLIANT AUX ACIDES DE FRUITS REFORMULATION</t>
  </si>
  <si>
    <t>nom</t>
  </si>
  <si>
    <t>Prix au kilo</t>
  </si>
  <si>
    <t>eau déminéralisée</t>
  </si>
  <si>
    <t>AQUA</t>
  </si>
  <si>
    <t>Persea Gratissima (Avocado) Oil 80%
Tocopherol 20%</t>
  </si>
  <si>
    <t xml:space="preserve">Prix unitaire </t>
  </si>
  <si>
    <t>Code emballage</t>
  </si>
  <si>
    <t>Description emballage</t>
  </si>
  <si>
    <t>Fournisseurs</t>
  </si>
  <si>
    <t xml:space="preserve">                </t>
  </si>
  <si>
    <t>Remarques et cotations</t>
  </si>
  <si>
    <t>5A</t>
  </si>
  <si>
    <t>5B</t>
  </si>
  <si>
    <t>5D</t>
  </si>
  <si>
    <t>6*</t>
  </si>
  <si>
    <t>7A</t>
  </si>
  <si>
    <t>7B</t>
  </si>
  <si>
    <t>10A</t>
  </si>
  <si>
    <t>10B</t>
  </si>
  <si>
    <t>11A</t>
  </si>
  <si>
    <t>11B</t>
  </si>
  <si>
    <t>Catégories</t>
  </si>
  <si>
    <t>IFRA CATÉGORIES</t>
  </si>
  <si>
    <t>Produits appliqués sur les lèvres</t>
  </si>
  <si>
    <t>Produits appliqués sur les aisselles</t>
  </si>
  <si>
    <t>Produits appliqués sur le visage/corps du bout des doigts</t>
  </si>
  <si>
    <t>Produits liés à la Parfumerie fine</t>
  </si>
  <si>
    <t>Produits de lotion pour le corps appliqués sur le corps à l'aide des mains (paumes), principalement non rincés</t>
  </si>
  <si>
    <t>Produits hydratants pour le visage appliqués sur le visage à l'aide des mains (paumes). principalement non rincés</t>
  </si>
  <si>
    <t>Produits de crème pour les mains appliqués sur le mains en utilisant des mains (paumes), principalement non rincés</t>
  </si>
  <si>
    <t>Produits avec exposition orale et labiale</t>
  </si>
  <si>
    <t>Produits rincés appliqués sur les cheveux avec un certain contact avec les mains</t>
  </si>
  <si>
    <t>Produits non rincés appliqués sur les cheveux avec un certain contact avec les mains</t>
  </si>
  <si>
    <t>Produits à exposition anogénitale importante</t>
  </si>
  <si>
    <t>Produits corps et mains, principalement rincés</t>
  </si>
  <si>
    <t>Produits d'entretien ménager avec contact principalement avec les mains à l'exclusion des produits aérosols et sprays</t>
  </si>
  <si>
    <t>Produits d'entretien ménager avec contact principalement avec les mains: produits aérosols et sprays</t>
  </si>
  <si>
    <t>Produits avec contact cutané prévu mais transfert minimal de parfum sur la peau sans exposition aux UV</t>
  </si>
  <si>
    <t>Produits avec contact cutané prévu mais transfert minimal de parfum sur la peau avec exposition aux UV</t>
  </si>
  <si>
    <t>Produits non destinés à un contact direct ave la peau</t>
  </si>
  <si>
    <t>100.0000%</t>
  </si>
  <si>
    <t>55.0000%</t>
  </si>
  <si>
    <t>60.0000%</t>
  </si>
  <si>
    <t>90.0000%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</si>
</sst>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0\ &quot;€&quot;_);[Red]\(#,##0\ &quot;€&quot;\)"/>
    <numFmt numFmtId="8" formatCode="#,##0.00\ &quot;€&quot;_);[Red]\(#,##0.00\ &quot;€&quot;\)"/>
    <numFmt numFmtId="44" formatCode="_ * #,##0.00_)\ &quot;€&quot;_ ;_ * \(#,##0.00\)\ &quot;€&quot;_ ;_ * &quot;-&quot;??_)\ &quot;€&quot;_ ;_ @_ "/>
    <numFmt numFmtId="164" formatCode="#,##0.0000\ &quot;€&quot;"/>
    <numFmt numFmtId="165" formatCode="0.000"/>
    <numFmt numFmtId="166" formatCode="#,##0.000\ &quot;€&quot;"/>
    <numFmt numFmtId="167" formatCode="#,##0.00\ &quot;€&quot;"/>
  </numFmts>
  <fonts count="45" x14ac:knownFonts="1">
    <font>
      <sz val="12"/>
      <color theme="1"/>
      <name val="Calibri"/>
      <scheme val="minor"/>
    </font>
    <font>
      <sz val="12"/>
      <color theme="1"/>
      <name val="Calibri"/>
      <family val="2"/>
      <scheme val="minor"/>
    </font>
    <font>
      <b/>
      <sz val="16"/>
      <color theme="1"/>
      <name val="Calibri"/>
      <family val="2"/>
    </font>
    <font>
      <b/>
      <sz val="22"/>
      <color theme="1"/>
      <name val="Calibri"/>
      <family val="2"/>
    </font>
    <font>
      <sz val="12"/>
      <color theme="1"/>
      <name val="Calibri"/>
      <family val="2"/>
    </font>
    <font>
      <sz val="6"/>
      <color theme="1"/>
      <name val="Helvetica Neue"/>
      <family val="2"/>
    </font>
    <font>
      <sz val="12"/>
      <color rgb="FF585858"/>
      <name val="Calibri"/>
      <family val="2"/>
    </font>
    <font>
      <sz val="16"/>
      <color rgb="FF585858"/>
      <name val="Calibri"/>
      <family val="2"/>
    </font>
    <font>
      <sz val="12"/>
      <color rgb="FFFF0000"/>
      <name val="Calibri"/>
      <family val="2"/>
    </font>
    <font>
      <i/>
      <sz val="10"/>
      <color theme="1"/>
      <name val="Calibri"/>
      <family val="2"/>
    </font>
    <font>
      <sz val="12"/>
      <color rgb="FF383D42"/>
      <name val="Calibri"/>
      <family val="2"/>
    </font>
    <font>
      <sz val="11"/>
      <color theme="1"/>
      <name val="Calibri"/>
      <family val="2"/>
    </font>
    <font>
      <sz val="10"/>
      <color rgb="FF383D42"/>
      <name val="Calibri"/>
      <family val="2"/>
    </font>
    <font>
      <sz val="12"/>
      <color rgb="FF212529"/>
      <name val="Calibri"/>
      <family val="2"/>
    </font>
    <font>
      <sz val="12"/>
      <color rgb="FF565656"/>
      <name val="Calibri"/>
      <family val="2"/>
    </font>
    <font>
      <sz val="12"/>
      <color rgb="FF233544"/>
      <name val="Calibri"/>
      <family val="2"/>
    </font>
    <font>
      <b/>
      <sz val="12"/>
      <color theme="1"/>
      <name val="Calibri"/>
      <family val="2"/>
    </font>
    <font>
      <sz val="12"/>
      <color rgb="FF000000"/>
      <name val="Calibri"/>
      <family val="2"/>
    </font>
    <font>
      <b/>
      <sz val="12"/>
      <color rgb="FFFF0000"/>
      <name val="Calibri"/>
      <family val="2"/>
    </font>
    <font>
      <b/>
      <sz val="11"/>
      <color rgb="FFFF0000"/>
      <name val="Calibri"/>
      <family val="2"/>
    </font>
    <font>
      <b/>
      <sz val="11"/>
      <color theme="1"/>
      <name val="Calibri"/>
      <family val="2"/>
    </font>
    <font>
      <b/>
      <sz val="12"/>
      <color rgb="FF000000"/>
      <name val="Calibri"/>
      <family val="2"/>
    </font>
    <font>
      <b/>
      <sz val="12"/>
      <color rgb="FF383D42"/>
      <name val="Calibri"/>
      <family val="2"/>
    </font>
    <font>
      <sz val="16"/>
      <color theme="1"/>
      <name val="Calibri"/>
      <family val="2"/>
    </font>
    <font>
      <b/>
      <sz val="16"/>
      <color rgb="FFC55A11"/>
      <name val="Calibri"/>
      <family val="2"/>
    </font>
    <font>
      <sz val="16"/>
      <color rgb="FFC55A11"/>
      <name val="Calibri"/>
      <family val="2"/>
    </font>
    <font>
      <b/>
      <sz val="11"/>
      <color rgb="FF000000"/>
      <name val="Calibri"/>
      <family val="2"/>
    </font>
    <font>
      <sz val="11"/>
      <color rgb="FF000000"/>
      <name val="Calibri"/>
      <family val="2"/>
    </font>
    <font>
      <sz val="10"/>
      <color theme="1"/>
      <name val="Arial"/>
      <family val="2"/>
    </font>
    <font>
      <sz val="12"/>
      <name val="Calibri"/>
      <family val="2"/>
    </font>
    <font>
      <b/>
      <i/>
      <sz val="9"/>
      <color theme="1"/>
      <name val="Tahoma"/>
      <family val="2"/>
    </font>
    <font>
      <sz val="9"/>
      <color theme="1"/>
      <name val="Calibri"/>
      <family val="2"/>
    </font>
    <font>
      <sz val="11"/>
      <color rgb="FFFF0000"/>
      <name val="Calibri"/>
      <family val="2"/>
    </font>
    <font>
      <b/>
      <sz val="10"/>
      <color theme="1"/>
      <name val="Tahoma"/>
      <family val="2"/>
    </font>
    <font>
      <sz val="10"/>
      <color theme="1"/>
      <name val="Tahoma"/>
      <family val="2"/>
    </font>
    <font>
      <sz val="10"/>
      <color theme="1"/>
      <name val="Calibri"/>
      <family val="2"/>
    </font>
    <font>
      <b/>
      <sz val="10"/>
      <color theme="1"/>
      <name val="Calibri"/>
      <family val="2"/>
    </font>
    <font>
      <b/>
      <sz val="10"/>
      <color theme="1"/>
      <name val="Arial"/>
      <family val="2"/>
    </font>
    <font>
      <b/>
      <sz val="11"/>
      <color theme="1"/>
      <name val="Tahoma"/>
      <family val="2"/>
    </font>
    <font>
      <sz val="14"/>
      <color theme="1"/>
      <name val="Calibri"/>
      <family val="2"/>
    </font>
    <font>
      <b/>
      <sz val="24"/>
      <color rgb="FFFF7C80"/>
      <name val="Calibri"/>
      <family val="2"/>
    </font>
    <font>
      <b/>
      <sz val="14"/>
      <color theme="1"/>
      <name val="Calibri"/>
      <family val="2"/>
    </font>
    <font>
      <u/>
      <sz val="12"/>
      <color rgb="FF000000"/>
      <name val="Calibri"/>
      <family val="2"/>
    </font>
    <font>
      <sz val="14"/>
      <color theme="1"/>
      <name val="Aptos Narrow"/>
      <family val="2"/>
    </font>
    <font>
      <sz val="8"/>
      <name val="Calibri"/>
      <family val="2"/>
      <scheme val="minor"/>
    </font>
  </fonts>
  <fills count="26">
    <fill>
      <patternFill patternType="none"/>
    </fill>
    <fill>
      <patternFill patternType="gray125"/>
    </fill>
    <fill>
      <patternFill patternType="solid">
        <fgColor rgb="FFFEF2CB"/>
        <bgColor rgb="FFFEF2CB"/>
      </patternFill>
    </fill>
    <fill>
      <patternFill patternType="solid">
        <fgColor rgb="FFECECEC"/>
        <bgColor rgb="FFECECEC"/>
      </patternFill>
    </fill>
    <fill>
      <patternFill patternType="solid">
        <fgColor rgb="FFAEABAB"/>
        <bgColor rgb="FFAEABAB"/>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D6DCE4"/>
        <bgColor rgb="FFD6DCE4"/>
      </patternFill>
    </fill>
    <fill>
      <patternFill patternType="solid">
        <fgColor theme="0"/>
        <bgColor theme="0"/>
      </patternFill>
    </fill>
    <fill>
      <patternFill patternType="solid">
        <fgColor rgb="FFC5E0B3"/>
        <bgColor rgb="FFC5E0B3"/>
      </patternFill>
    </fill>
    <fill>
      <patternFill patternType="solid">
        <fgColor rgb="FFFFE598"/>
        <bgColor rgb="FFFFE598"/>
      </patternFill>
    </fill>
    <fill>
      <patternFill patternType="solid">
        <fgColor rgb="FFDEEAF6"/>
        <bgColor rgb="FFDEEAF6"/>
      </patternFill>
    </fill>
    <fill>
      <patternFill patternType="solid">
        <fgColor rgb="FFF2F2F2"/>
        <bgColor rgb="FFF2F2F2"/>
      </patternFill>
    </fill>
    <fill>
      <patternFill patternType="solid">
        <fgColor rgb="FFD8D8D8"/>
        <bgColor rgb="FFD8D8D8"/>
      </patternFill>
    </fill>
    <fill>
      <patternFill patternType="solid">
        <fgColor rgb="FFF4B083"/>
        <bgColor rgb="FFF4B083"/>
      </patternFill>
    </fill>
    <fill>
      <patternFill patternType="solid">
        <fgColor rgb="FFA8D08D"/>
        <bgColor rgb="FFA8D08D"/>
      </patternFill>
    </fill>
    <fill>
      <patternFill patternType="solid">
        <fgColor rgb="FFFFC000"/>
        <bgColor rgb="FFFFC000"/>
      </patternFill>
    </fill>
    <fill>
      <patternFill patternType="solid">
        <fgColor rgb="FFFF0000"/>
        <bgColor rgb="FFFF0000"/>
      </patternFill>
    </fill>
    <fill>
      <patternFill patternType="solid">
        <fgColor rgb="FFCCCCFF"/>
        <bgColor rgb="FFCCCCFF"/>
      </patternFill>
    </fill>
    <fill>
      <patternFill patternType="solid">
        <fgColor rgb="FFFFFF99"/>
        <bgColor rgb="FFFFFF99"/>
      </patternFill>
    </fill>
    <fill>
      <patternFill patternType="solid">
        <fgColor theme="5"/>
        <bgColor theme="5"/>
      </patternFill>
    </fill>
    <fill>
      <patternFill patternType="solid">
        <fgColor rgb="FFC8C8C8"/>
        <bgColor rgb="FFC8C8C8"/>
      </patternFill>
    </fill>
    <fill>
      <patternFill patternType="solid">
        <fgColor rgb="FFFFCCFF"/>
        <bgColor rgb="FFFFCCFF"/>
      </patternFill>
    </fill>
    <fill>
      <patternFill patternType="solid">
        <fgColor rgb="FFFFFFCC"/>
        <bgColor rgb="FFFFFFCC"/>
      </patternFill>
    </fill>
    <fill>
      <patternFill patternType="solid">
        <fgColor rgb="FFFFCCCC"/>
        <bgColor rgb="FFFFCCCC"/>
      </patternFill>
    </fill>
  </fills>
  <borders count="4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97">
    <xf numFmtId="0" fontId="0" fillId="0" borderId="0" xfId="0"/>
    <xf numFmtId="0" fontId="2" fillId="0" borderId="1" xfId="0" applyFont="1" applyBorder="1"/>
    <xf numFmtId="0" fontId="3" fillId="0" borderId="1" xfId="0" applyFont="1" applyBorder="1" applyAlignment="1">
      <alignment shrinkToFit="1"/>
    </xf>
    <xf numFmtId="0" fontId="2" fillId="0" borderId="1" xfId="0" applyFont="1" applyBorder="1" applyAlignment="1">
      <alignment horizontal="center" vertical="center"/>
    </xf>
    <xf numFmtId="0" fontId="4" fillId="2" borderId="1" xfId="0" applyFont="1" applyFill="1" applyBorder="1"/>
    <xf numFmtId="0" fontId="4" fillId="2" borderId="1" xfId="0" applyFont="1" applyFill="1" applyBorder="1" applyAlignment="1">
      <alignment horizontal="center" vertical="center"/>
    </xf>
    <xf numFmtId="0" fontId="4" fillId="2" borderId="2" xfId="0" applyFont="1" applyFill="1" applyBorder="1"/>
    <xf numFmtId="0" fontId="4" fillId="3" borderId="1" xfId="0" applyFont="1" applyFill="1" applyBorder="1"/>
    <xf numFmtId="0" fontId="4" fillId="3" borderId="1" xfId="0" applyFont="1" applyFill="1" applyBorder="1" applyAlignment="1">
      <alignment horizontal="center" vertical="center"/>
    </xf>
    <xf numFmtId="0" fontId="4" fillId="3" borderId="2" xfId="0" applyFont="1" applyFill="1" applyBorder="1"/>
    <xf numFmtId="0" fontId="4" fillId="3" borderId="1" xfId="0" applyFont="1" applyFill="1" applyBorder="1" applyAlignment="1">
      <alignment wrapText="1"/>
    </xf>
    <xf numFmtId="0" fontId="5" fillId="3" borderId="1" xfId="0" applyFont="1" applyFill="1" applyBorder="1"/>
    <xf numFmtId="0" fontId="6" fillId="3" borderId="1" xfId="0" applyFont="1" applyFill="1" applyBorder="1"/>
    <xf numFmtId="0" fontId="6" fillId="3" borderId="1" xfId="0" applyFont="1" applyFill="1" applyBorder="1" applyAlignment="1">
      <alignment wrapText="1"/>
    </xf>
    <xf numFmtId="0" fontId="7" fillId="3" borderId="1" xfId="0" applyFont="1" applyFill="1" applyBorder="1"/>
    <xf numFmtId="0" fontId="8" fillId="0" borderId="0" xfId="0" applyFont="1"/>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applyAlignment="1">
      <alignment vertical="center" wrapText="1"/>
    </xf>
    <xf numFmtId="0" fontId="4" fillId="2" borderId="1" xfId="0" applyFont="1" applyFill="1" applyBorder="1" applyAlignment="1">
      <alignment vertical="top"/>
    </xf>
    <xf numFmtId="0" fontId="4" fillId="4" borderId="1" xfId="0" applyFont="1" applyFill="1" applyBorder="1"/>
    <xf numFmtId="0" fontId="4" fillId="4" borderId="1" xfId="0" applyFont="1" applyFill="1" applyBorder="1" applyAlignment="1">
      <alignment horizontal="center" vertical="center"/>
    </xf>
    <xf numFmtId="0" fontId="4" fillId="4" borderId="1" xfId="0" applyFont="1" applyFill="1" applyBorder="1" applyAlignment="1">
      <alignment wrapText="1"/>
    </xf>
    <xf numFmtId="0" fontId="9" fillId="4" borderId="1" xfId="0" applyFont="1" applyFill="1" applyBorder="1"/>
    <xf numFmtId="0" fontId="4" fillId="4" borderId="2" xfId="0" applyFont="1" applyFill="1" applyBorder="1"/>
    <xf numFmtId="0" fontId="10" fillId="4" borderId="1" xfId="0" applyFont="1" applyFill="1" applyBorder="1"/>
    <xf numFmtId="0" fontId="10" fillId="4" borderId="1" xfId="0" applyFont="1" applyFill="1" applyBorder="1" applyAlignment="1">
      <alignment wrapText="1"/>
    </xf>
    <xf numFmtId="0" fontId="10" fillId="4" borderId="1" xfId="0" applyFont="1" applyFill="1" applyBorder="1" applyAlignment="1">
      <alignment vertical="center" wrapText="1"/>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11" fillId="4" borderId="1" xfId="0" applyFont="1" applyFill="1" applyBorder="1" applyAlignment="1">
      <alignment horizontal="right"/>
    </xf>
    <xf numFmtId="0" fontId="4" fillId="4" borderId="1" xfId="0" applyFont="1" applyFill="1" applyBorder="1" applyAlignment="1">
      <alignment horizontal="center" vertical="center" wrapText="1"/>
    </xf>
    <xf numFmtId="0" fontId="12" fillId="2" borderId="1" xfId="0" applyFont="1" applyFill="1" applyBorder="1"/>
    <xf numFmtId="0" fontId="4" fillId="5" borderId="1" xfId="0" applyFont="1" applyFill="1" applyBorder="1"/>
    <xf numFmtId="0" fontId="13"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5" borderId="2" xfId="0" applyFont="1" applyFill="1" applyBorder="1"/>
    <xf numFmtId="0" fontId="4" fillId="5" borderId="1" xfId="0" applyFont="1" applyFill="1" applyBorder="1" applyAlignment="1">
      <alignment wrapText="1"/>
    </xf>
    <xf numFmtId="0" fontId="14" fillId="5" borderId="1" xfId="0" applyFont="1" applyFill="1" applyBorder="1"/>
    <xf numFmtId="0" fontId="14" fillId="5" borderId="1" xfId="0" applyFont="1" applyFill="1" applyBorder="1" applyAlignment="1">
      <alignment wrapText="1"/>
    </xf>
    <xf numFmtId="8" fontId="15" fillId="5" borderId="1" xfId="0" applyNumberFormat="1" applyFont="1" applyFill="1" applyBorder="1"/>
    <xf numFmtId="0" fontId="4" fillId="5" borderId="1" xfId="0" applyFont="1" applyFill="1" applyBorder="1" applyAlignment="1">
      <alignment vertical="center" wrapText="1"/>
    </xf>
    <xf numFmtId="0" fontId="4" fillId="5" borderId="1" xfId="0" applyFont="1" applyFill="1" applyBorder="1" applyAlignment="1">
      <alignment horizontal="right"/>
    </xf>
    <xf numFmtId="0" fontId="4" fillId="5" borderId="1" xfId="0" applyFont="1" applyFill="1" applyBorder="1" applyAlignment="1">
      <alignment horizontal="left" vertical="center"/>
    </xf>
    <xf numFmtId="2" fontId="4" fillId="5" borderId="1" xfId="0" applyNumberFormat="1" applyFont="1" applyFill="1" applyBorder="1" applyAlignment="1">
      <alignment horizontal="right" vertical="center"/>
    </xf>
    <xf numFmtId="0" fontId="4" fillId="5" borderId="1" xfId="0" applyFont="1" applyFill="1" applyBorder="1" applyAlignment="1">
      <alignment horizontal="left" wrapText="1"/>
    </xf>
    <xf numFmtId="0" fontId="4" fillId="5" borderId="1" xfId="0" applyFont="1" applyFill="1" applyBorder="1" applyAlignment="1">
      <alignment horizontal="left" vertical="center" wrapText="1"/>
    </xf>
    <xf numFmtId="0" fontId="4" fillId="5" borderId="1" xfId="0" applyFont="1" applyFill="1" applyBorder="1" applyAlignment="1">
      <alignment vertical="center"/>
    </xf>
    <xf numFmtId="0" fontId="11" fillId="5" borderId="1" xfId="0" applyFont="1" applyFill="1" applyBorder="1" applyAlignment="1">
      <alignment horizontal="right"/>
    </xf>
    <xf numFmtId="0" fontId="4" fillId="5" borderId="1" xfId="0" applyFont="1" applyFill="1" applyBorder="1" applyAlignment="1">
      <alignment horizontal="center" vertical="center" wrapText="1"/>
    </xf>
    <xf numFmtId="0" fontId="4" fillId="6" borderId="1" xfId="0" applyFont="1" applyFill="1" applyBorder="1"/>
    <xf numFmtId="0" fontId="4" fillId="6" borderId="1" xfId="0" applyFont="1" applyFill="1" applyBorder="1" applyAlignment="1">
      <alignment horizontal="center" vertical="center"/>
    </xf>
    <xf numFmtId="0" fontId="4" fillId="6" borderId="1" xfId="0" applyFont="1" applyFill="1" applyBorder="1" applyAlignment="1">
      <alignment wrapText="1"/>
    </xf>
    <xf numFmtId="0" fontId="4" fillId="6" borderId="2" xfId="0" applyFont="1" applyFill="1" applyBorder="1"/>
    <xf numFmtId="0" fontId="13" fillId="6" borderId="1" xfId="0" applyFont="1" applyFill="1" applyBorder="1"/>
    <xf numFmtId="0" fontId="4" fillId="7" borderId="1" xfId="0" applyFont="1" applyFill="1" applyBorder="1"/>
    <xf numFmtId="0" fontId="4" fillId="7" borderId="1" xfId="0" applyFont="1" applyFill="1" applyBorder="1" applyAlignment="1">
      <alignment horizontal="center" vertical="center"/>
    </xf>
    <xf numFmtId="0" fontId="4" fillId="7" borderId="1" xfId="0" applyFont="1" applyFill="1" applyBorder="1" applyAlignment="1">
      <alignment wrapText="1"/>
    </xf>
    <xf numFmtId="0" fontId="4" fillId="7" borderId="2" xfId="0" applyFont="1" applyFill="1" applyBorder="1"/>
    <xf numFmtId="0" fontId="4" fillId="7" borderId="1" xfId="0" applyFont="1" applyFill="1" applyBorder="1" applyAlignment="1">
      <alignment horizontal="right"/>
    </xf>
    <xf numFmtId="0" fontId="16" fillId="7" borderId="1" xfId="0" applyFont="1" applyFill="1" applyBorder="1"/>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6" fillId="7" borderId="2" xfId="0" applyFont="1" applyFill="1" applyBorder="1"/>
    <xf numFmtId="0" fontId="4" fillId="7" borderId="1" xfId="0" applyFont="1" applyFill="1" applyBorder="1" applyAlignment="1">
      <alignment horizontal="center" vertical="center" wrapText="1"/>
    </xf>
    <xf numFmtId="0" fontId="4" fillId="7" borderId="1" xfId="0" applyFont="1" applyFill="1" applyBorder="1" applyAlignment="1">
      <alignment vertical="center"/>
    </xf>
    <xf numFmtId="0" fontId="4" fillId="7" borderId="1" xfId="0" applyFont="1" applyFill="1" applyBorder="1" applyAlignment="1">
      <alignment vertical="center" wrapText="1"/>
    </xf>
    <xf numFmtId="0" fontId="11" fillId="7" borderId="1" xfId="0" applyFont="1" applyFill="1" applyBorder="1" applyAlignment="1">
      <alignment horizontal="right"/>
    </xf>
    <xf numFmtId="0" fontId="11" fillId="7" borderId="2" xfId="0" applyFont="1" applyFill="1" applyBorder="1" applyAlignment="1">
      <alignment horizontal="right"/>
    </xf>
    <xf numFmtId="2" fontId="4" fillId="2" borderId="1" xfId="0" applyNumberFormat="1" applyFont="1" applyFill="1" applyBorder="1"/>
    <xf numFmtId="6" fontId="4" fillId="2" borderId="1" xfId="0" applyNumberFormat="1" applyFont="1" applyFill="1" applyBorder="1"/>
    <xf numFmtId="0" fontId="4" fillId="8" borderId="1" xfId="0" applyFont="1" applyFill="1" applyBorder="1"/>
    <xf numFmtId="0" fontId="4" fillId="8" borderId="1" xfId="0" applyFont="1" applyFill="1" applyBorder="1" applyAlignment="1">
      <alignment horizontal="center" vertical="center"/>
    </xf>
    <xf numFmtId="0" fontId="4" fillId="8" borderId="2" xfId="0" applyFont="1" applyFill="1" applyBorder="1"/>
    <xf numFmtId="0" fontId="4" fillId="8" borderId="1" xfId="0" applyFont="1" applyFill="1" applyBorder="1" applyAlignment="1">
      <alignment horizontal="center" wrapText="1"/>
    </xf>
    <xf numFmtId="0" fontId="17" fillId="8" borderId="1" xfId="0" applyFont="1" applyFill="1" applyBorder="1"/>
    <xf numFmtId="0" fontId="4" fillId="8" borderId="1" xfId="0" applyFont="1" applyFill="1" applyBorder="1" applyAlignment="1">
      <alignment wrapText="1"/>
    </xf>
    <xf numFmtId="0" fontId="17" fillId="8" borderId="1" xfId="0" applyFont="1" applyFill="1" applyBorder="1" applyAlignment="1">
      <alignment wrapText="1"/>
    </xf>
    <xf numFmtId="0" fontId="4" fillId="8" borderId="1" xfId="0" applyFont="1" applyFill="1" applyBorder="1" applyAlignment="1">
      <alignment vertical="top" wrapText="1"/>
    </xf>
    <xf numFmtId="0" fontId="4" fillId="0" borderId="1" xfId="0" applyFont="1" applyBorder="1"/>
    <xf numFmtId="0" fontId="17" fillId="0" borderId="1" xfId="0" applyFont="1" applyBorder="1"/>
    <xf numFmtId="0" fontId="17" fillId="0" borderId="1" xfId="0" applyFont="1" applyBorder="1" applyAlignment="1">
      <alignment wrapText="1"/>
    </xf>
    <xf numFmtId="0" fontId="4" fillId="0" borderId="1" xfId="0" applyFont="1" applyBorder="1" applyAlignment="1">
      <alignment horizontal="center" vertical="center"/>
    </xf>
    <xf numFmtId="0" fontId="17" fillId="8" borderId="1" xfId="0" applyFont="1" applyFill="1" applyBorder="1" applyAlignment="1">
      <alignment vertical="center" wrapText="1"/>
    </xf>
    <xf numFmtId="0" fontId="17" fillId="8" borderId="1" xfId="0" applyFont="1" applyFill="1" applyBorder="1" applyAlignment="1">
      <alignment horizontal="left" vertical="center" wrapText="1"/>
    </xf>
    <xf numFmtId="0" fontId="17" fillId="8" borderId="1" xfId="0" applyFont="1" applyFill="1" applyBorder="1" applyAlignment="1">
      <alignment vertical="top" wrapText="1"/>
    </xf>
    <xf numFmtId="0" fontId="4" fillId="8" borderId="1" xfId="0" applyFont="1" applyFill="1" applyBorder="1" applyAlignment="1">
      <alignment horizontal="center" vertical="center" wrapText="1"/>
    </xf>
    <xf numFmtId="0" fontId="16" fillId="0" borderId="1" xfId="0" applyFont="1" applyBorder="1"/>
    <xf numFmtId="0" fontId="16" fillId="0" borderId="1" xfId="0" applyFont="1" applyBorder="1" applyAlignment="1">
      <alignment shrinkToFit="1"/>
    </xf>
    <xf numFmtId="0" fontId="16" fillId="0" borderId="1" xfId="0" applyFont="1" applyBorder="1" applyAlignment="1">
      <alignment horizontal="center" vertical="center"/>
    </xf>
    <xf numFmtId="0" fontId="16" fillId="0" borderId="1" xfId="0" applyFont="1" applyBorder="1" applyAlignment="1">
      <alignment wrapText="1"/>
    </xf>
    <xf numFmtId="0" fontId="4" fillId="0" borderId="1" xfId="0" applyFont="1" applyBorder="1" applyAlignment="1">
      <alignment wrapText="1"/>
    </xf>
    <xf numFmtId="0" fontId="16" fillId="0" borderId="1" xfId="0" applyFont="1" applyBorder="1" applyAlignment="1">
      <alignment horizontal="center" vertical="center" wrapText="1"/>
    </xf>
    <xf numFmtId="0" fontId="16" fillId="0" borderId="0" xfId="0" applyFont="1"/>
    <xf numFmtId="0" fontId="16" fillId="0" borderId="1" xfId="0" applyFont="1" applyBorder="1" applyAlignment="1">
      <alignment vertical="center" wrapText="1"/>
    </xf>
    <xf numFmtId="0" fontId="18" fillId="0" borderId="1" xfId="0" applyFont="1" applyBorder="1"/>
    <xf numFmtId="0" fontId="18" fillId="0" borderId="1" xfId="0" applyFont="1" applyBorder="1" applyAlignment="1">
      <alignment wrapText="1"/>
    </xf>
    <xf numFmtId="0" fontId="4" fillId="0" borderId="1" xfId="0" applyFont="1" applyBorder="1" applyAlignment="1">
      <alignment vertical="top"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vertical="top" wrapText="1"/>
    </xf>
    <xf numFmtId="0" fontId="18" fillId="0" borderId="1" xfId="0" applyFont="1" applyBorder="1" applyAlignment="1">
      <alignment vertical="center"/>
    </xf>
    <xf numFmtId="0" fontId="18" fillId="0" borderId="1" xfId="0" applyFont="1" applyBorder="1" applyAlignment="1">
      <alignment vertical="center" wrapText="1"/>
    </xf>
    <xf numFmtId="0" fontId="16" fillId="0" borderId="1" xfId="0" applyFont="1" applyBorder="1" applyAlignment="1">
      <alignment vertical="center"/>
    </xf>
    <xf numFmtId="0" fontId="18" fillId="0" borderId="0" xfId="0" applyFont="1"/>
    <xf numFmtId="0" fontId="18" fillId="0" borderId="1" xfId="0" applyFont="1" applyBorder="1" applyAlignment="1">
      <alignment horizont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19" fillId="0" borderId="1" xfId="0" applyFont="1" applyBorder="1" applyAlignment="1">
      <alignment vertical="center"/>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0" fontId="16" fillId="0" borderId="4" xfId="0" applyFont="1" applyBorder="1"/>
    <xf numFmtId="0" fontId="20" fillId="0" borderId="1" xfId="0" applyFont="1" applyBorder="1" applyAlignment="1">
      <alignment vertical="center" wrapText="1"/>
    </xf>
    <xf numFmtId="0" fontId="16" fillId="0" borderId="5" xfId="0" applyFont="1" applyBorder="1" applyAlignment="1">
      <alignment horizontal="center" vertical="center"/>
    </xf>
    <xf numFmtId="0" fontId="16" fillId="0" borderId="1" xfId="0" applyFont="1" applyBorder="1" applyAlignment="1">
      <alignment vertical="center" shrinkToFit="1"/>
    </xf>
    <xf numFmtId="0" fontId="16" fillId="0" borderId="0" xfId="0" applyFont="1" applyAlignment="1">
      <alignment vertical="center"/>
    </xf>
    <xf numFmtId="0" fontId="21" fillId="0" borderId="1" xfId="0" applyFont="1" applyBorder="1"/>
    <xf numFmtId="0" fontId="21" fillId="0" borderId="1" xfId="0" applyFont="1" applyBorder="1" applyAlignment="1">
      <alignment vertical="top" wrapText="1"/>
    </xf>
    <xf numFmtId="0" fontId="16" fillId="0" borderId="1" xfId="0" applyFont="1" applyBorder="1" applyAlignment="1">
      <alignment horizontal="center"/>
    </xf>
    <xf numFmtId="0" fontId="4" fillId="0" borderId="0" xfId="0" applyFont="1"/>
    <xf numFmtId="2" fontId="16" fillId="0" borderId="1" xfId="0" applyNumberFormat="1" applyFont="1" applyBorder="1" applyAlignment="1">
      <alignment horizontal="center" vertical="center"/>
    </xf>
    <xf numFmtId="0" fontId="16" fillId="0" borderId="1" xfId="0" applyFont="1" applyBorder="1" applyAlignment="1">
      <alignment vertical="top" wrapText="1"/>
    </xf>
    <xf numFmtId="0" fontId="21" fillId="0" borderId="1" xfId="0" applyFont="1" applyBorder="1" applyAlignment="1">
      <alignment horizontal="center" vertical="center"/>
    </xf>
    <xf numFmtId="0" fontId="16" fillId="0" borderId="1" xfId="0" applyFont="1" applyBorder="1" applyAlignment="1">
      <alignment vertical="top"/>
    </xf>
    <xf numFmtId="0" fontId="21" fillId="0" borderId="1" xfId="0" applyFont="1" applyBorder="1" applyAlignment="1">
      <alignment vertical="top"/>
    </xf>
    <xf numFmtId="0" fontId="4" fillId="0" borderId="1" xfId="0" applyFont="1" applyBorder="1" applyAlignment="1">
      <alignment horizontal="center"/>
    </xf>
    <xf numFmtId="0" fontId="8" fillId="0" borderId="1" xfId="0" applyFont="1" applyBorder="1"/>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6" fillId="0" borderId="6" xfId="0" applyFont="1" applyBorder="1"/>
    <xf numFmtId="0" fontId="16" fillId="0" borderId="6" xfId="0" applyFont="1" applyBorder="1" applyAlignment="1">
      <alignment horizontal="center" vertical="center"/>
    </xf>
    <xf numFmtId="0" fontId="4" fillId="0" borderId="0" xfId="0" applyFont="1" applyAlignment="1">
      <alignment horizontal="center" vertical="center"/>
    </xf>
    <xf numFmtId="0" fontId="4" fillId="9" borderId="2" xfId="0" applyFont="1" applyFill="1" applyBorder="1"/>
    <xf numFmtId="0" fontId="23" fillId="9" borderId="1" xfId="0" applyFont="1" applyFill="1" applyBorder="1"/>
    <xf numFmtId="0" fontId="23" fillId="9" borderId="2" xfId="0" applyFont="1" applyFill="1" applyBorder="1"/>
    <xf numFmtId="0" fontId="24" fillId="9" borderId="1" xfId="0" applyFont="1" applyFill="1" applyBorder="1"/>
    <xf numFmtId="0" fontId="25" fillId="9" borderId="1" xfId="0" applyFont="1" applyFill="1" applyBorder="1"/>
    <xf numFmtId="0" fontId="26" fillId="10" borderId="1" xfId="0" applyFont="1" applyFill="1" applyBorder="1"/>
    <xf numFmtId="0" fontId="26" fillId="10" borderId="7" xfId="0" applyFont="1" applyFill="1" applyBorder="1"/>
    <xf numFmtId="0" fontId="27" fillId="9" borderId="8" xfId="0" applyFont="1" applyFill="1" applyBorder="1"/>
    <xf numFmtId="0" fontId="27" fillId="9" borderId="9" xfId="0" applyFont="1" applyFill="1" applyBorder="1"/>
    <xf numFmtId="0" fontId="11" fillId="9" borderId="1" xfId="0" applyFont="1" applyFill="1" applyBorder="1"/>
    <xf numFmtId="0" fontId="27" fillId="9" borderId="1" xfId="0" applyFont="1" applyFill="1" applyBorder="1"/>
    <xf numFmtId="0" fontId="16" fillId="11" borderId="1" xfId="0" applyFont="1" applyFill="1" applyBorder="1"/>
    <xf numFmtId="44" fontId="4" fillId="9" borderId="1" xfId="0" applyNumberFormat="1" applyFont="1" applyFill="1" applyBorder="1"/>
    <xf numFmtId="0" fontId="4" fillId="12" borderId="1" xfId="0" applyFont="1" applyFill="1" applyBorder="1"/>
    <xf numFmtId="0" fontId="16" fillId="11" borderId="10" xfId="0" applyFont="1" applyFill="1" applyBorder="1"/>
    <xf numFmtId="0" fontId="16" fillId="11" borderId="2" xfId="0" applyFont="1" applyFill="1" applyBorder="1"/>
    <xf numFmtId="0" fontId="28" fillId="7" borderId="1" xfId="0" applyFont="1" applyFill="1" applyBorder="1"/>
    <xf numFmtId="164" fontId="28" fillId="7" borderId="1" xfId="0" applyNumberFormat="1" applyFont="1" applyFill="1" applyBorder="1"/>
    <xf numFmtId="0" fontId="28" fillId="6" borderId="1" xfId="0" applyFont="1" applyFill="1" applyBorder="1"/>
    <xf numFmtId="164" fontId="28" fillId="6" borderId="1" xfId="0" applyNumberFormat="1" applyFont="1" applyFill="1" applyBorder="1"/>
    <xf numFmtId="0" fontId="28" fillId="2" borderId="1" xfId="0" applyFont="1" applyFill="1" applyBorder="1"/>
    <xf numFmtId="164" fontId="28" fillId="2" borderId="1" xfId="0" applyNumberFormat="1" applyFont="1" applyFill="1" applyBorder="1"/>
    <xf numFmtId="0" fontId="28" fillId="13" borderId="1" xfId="0" applyFont="1" applyFill="1" applyBorder="1"/>
    <xf numFmtId="164" fontId="28" fillId="13" borderId="1" xfId="0" applyNumberFormat="1" applyFont="1" applyFill="1" applyBorder="1"/>
    <xf numFmtId="0" fontId="28" fillId="5" borderId="1" xfId="0" applyFont="1" applyFill="1" applyBorder="1"/>
    <xf numFmtId="164" fontId="28" fillId="5" borderId="1" xfId="0" applyNumberFormat="1" applyFont="1" applyFill="1" applyBorder="1"/>
    <xf numFmtId="0" fontId="4" fillId="14" borderId="1" xfId="0" applyFont="1" applyFill="1" applyBorder="1"/>
    <xf numFmtId="8" fontId="4" fillId="14" borderId="1" xfId="0" applyNumberFormat="1" applyFont="1" applyFill="1" applyBorder="1"/>
    <xf numFmtId="164" fontId="28" fillId="14" borderId="1" xfId="0" applyNumberFormat="1" applyFont="1" applyFill="1" applyBorder="1"/>
    <xf numFmtId="0" fontId="28" fillId="15" borderId="1" xfId="0" applyFont="1" applyFill="1" applyBorder="1"/>
    <xf numFmtId="164" fontId="28" fillId="15" borderId="1" xfId="0" applyNumberFormat="1" applyFont="1" applyFill="1" applyBorder="1"/>
    <xf numFmtId="0" fontId="28" fillId="16" borderId="1" xfId="0" applyFont="1" applyFill="1" applyBorder="1"/>
    <xf numFmtId="164" fontId="28" fillId="16" borderId="1" xfId="0" applyNumberFormat="1" applyFont="1" applyFill="1" applyBorder="1"/>
    <xf numFmtId="0" fontId="4" fillId="16" borderId="1" xfId="0" applyFont="1" applyFill="1" applyBorder="1"/>
    <xf numFmtId="8" fontId="4" fillId="16" borderId="1" xfId="0" applyNumberFormat="1" applyFont="1" applyFill="1" applyBorder="1"/>
    <xf numFmtId="0" fontId="30" fillId="17" borderId="1" xfId="0" applyFont="1" applyFill="1" applyBorder="1" applyAlignment="1">
      <alignment horizontal="center" vertical="center" wrapText="1"/>
    </xf>
    <xf numFmtId="0" fontId="4" fillId="0" borderId="1" xfId="0" applyFont="1" applyBorder="1" applyAlignment="1">
      <alignment vertical="center" wrapText="1"/>
    </xf>
    <xf numFmtId="0" fontId="11" fillId="0" borderId="1" xfId="0" applyFont="1" applyBorder="1" applyAlignment="1">
      <alignment vertical="center" wrapText="1"/>
    </xf>
    <xf numFmtId="0" fontId="4" fillId="18" borderId="1" xfId="0" applyFont="1" applyFill="1" applyBorder="1" applyAlignment="1">
      <alignment vertical="center" wrapText="1"/>
    </xf>
    <xf numFmtId="0" fontId="31" fillId="0" borderId="0" xfId="0" applyFont="1" applyAlignment="1">
      <alignment vertical="center" wrapText="1"/>
    </xf>
    <xf numFmtId="0" fontId="4" fillId="0" borderId="1" xfId="0" applyFont="1" applyBorder="1" applyAlignment="1">
      <alignment horizontal="center" vertical="top" wrapText="1"/>
    </xf>
    <xf numFmtId="0" fontId="11" fillId="0" borderId="1" xfId="0" applyFont="1" applyBorder="1" applyAlignment="1">
      <alignment horizontal="center" vertical="top" wrapText="1"/>
    </xf>
    <xf numFmtId="49" fontId="4" fillId="0" borderId="1" xfId="0" applyNumberFormat="1" applyFont="1" applyBorder="1" applyAlignment="1">
      <alignment horizontal="center" vertical="top" wrapText="1"/>
    </xf>
    <xf numFmtId="0" fontId="31" fillId="0" borderId="0" xfId="0" applyFont="1" applyAlignment="1">
      <alignment horizontal="center" vertical="center" wrapText="1"/>
    </xf>
    <xf numFmtId="0" fontId="32"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quotePrefix="1" applyFont="1" applyBorder="1" applyAlignment="1">
      <alignment horizontal="center" vertical="center" wrapText="1"/>
    </xf>
    <xf numFmtId="0" fontId="31" fillId="0" borderId="0" xfId="0" applyFont="1" applyAlignment="1">
      <alignment horizontal="left" vertical="center" wrapText="1"/>
    </xf>
    <xf numFmtId="0" fontId="3" fillId="17" borderId="10" xfId="0" applyFont="1" applyFill="1" applyBorder="1" applyAlignment="1">
      <alignment vertical="center"/>
    </xf>
    <xf numFmtId="0" fontId="33" fillId="14" borderId="1" xfId="0" applyFont="1" applyFill="1" applyBorder="1" applyAlignment="1">
      <alignment horizontal="left" vertical="center" wrapText="1"/>
    </xf>
    <xf numFmtId="0" fontId="34" fillId="14" borderId="1" xfId="0" applyFont="1" applyFill="1" applyBorder="1" applyAlignment="1">
      <alignment horizontal="left" vertical="center" wrapText="1"/>
    </xf>
    <xf numFmtId="0" fontId="20" fillId="14" borderId="1" xfId="0" applyFont="1" applyFill="1" applyBorder="1"/>
    <xf numFmtId="165" fontId="20" fillId="14" borderId="1" xfId="0" applyNumberFormat="1" applyFont="1" applyFill="1" applyBorder="1"/>
    <xf numFmtId="0" fontId="33" fillId="7" borderId="1" xfId="0" applyFont="1" applyFill="1" applyBorder="1" applyAlignment="1">
      <alignment horizontal="left" vertical="center" wrapText="1"/>
    </xf>
    <xf numFmtId="0" fontId="34" fillId="7" borderId="1" xfId="0" applyFont="1" applyFill="1" applyBorder="1" applyAlignment="1">
      <alignment horizontal="left" vertical="center" wrapText="1"/>
    </xf>
    <xf numFmtId="0" fontId="20" fillId="7" borderId="1" xfId="0" applyFont="1" applyFill="1" applyBorder="1"/>
    <xf numFmtId="0" fontId="33" fillId="2" borderId="1" xfId="0" applyFont="1" applyFill="1" applyBorder="1" applyAlignment="1">
      <alignment horizontal="left" vertical="center" wrapText="1"/>
    </xf>
    <xf numFmtId="0" fontId="34" fillId="2" borderId="1" xfId="0" applyFont="1" applyFill="1" applyBorder="1" applyAlignment="1">
      <alignment horizontal="left" vertical="center" wrapText="1"/>
    </xf>
    <xf numFmtId="0" fontId="20" fillId="2" borderId="1" xfId="0" applyFont="1" applyFill="1" applyBorder="1"/>
    <xf numFmtId="0" fontId="33" fillId="19" borderId="1" xfId="0" applyFont="1" applyFill="1" applyBorder="1" applyAlignment="1">
      <alignment horizontal="left" vertical="center" wrapText="1"/>
    </xf>
    <xf numFmtId="0" fontId="34" fillId="19" borderId="1" xfId="0" applyFont="1" applyFill="1" applyBorder="1" applyAlignment="1">
      <alignment horizontal="left" vertical="center" wrapText="1"/>
    </xf>
    <xf numFmtId="0" fontId="20" fillId="19" borderId="1" xfId="0" applyFont="1" applyFill="1" applyBorder="1"/>
    <xf numFmtId="0" fontId="4" fillId="19" borderId="2" xfId="0" applyFont="1" applyFill="1" applyBorder="1"/>
    <xf numFmtId="0" fontId="33" fillId="10" borderId="1" xfId="0" applyFont="1" applyFill="1" applyBorder="1" applyAlignment="1">
      <alignment horizontal="left" vertical="center" wrapText="1"/>
    </xf>
    <xf numFmtId="0" fontId="34" fillId="10" borderId="1" xfId="0" applyFont="1" applyFill="1" applyBorder="1" applyAlignment="1">
      <alignment horizontal="left" vertical="center" wrapText="1"/>
    </xf>
    <xf numFmtId="0" fontId="20" fillId="10" borderId="1" xfId="0" applyFont="1" applyFill="1" applyBorder="1"/>
    <xf numFmtId="0" fontId="4" fillId="10" borderId="2" xfId="0" applyFont="1" applyFill="1" applyBorder="1"/>
    <xf numFmtId="0" fontId="33" fillId="20" borderId="1" xfId="0" applyFont="1" applyFill="1" applyBorder="1" applyAlignment="1">
      <alignment horizontal="left" vertical="center" wrapText="1"/>
    </xf>
    <xf numFmtId="0" fontId="34" fillId="20" borderId="1" xfId="0" applyFont="1" applyFill="1" applyBorder="1" applyAlignment="1">
      <alignment horizontal="left" vertical="center" wrapText="1"/>
    </xf>
    <xf numFmtId="0" fontId="20" fillId="20" borderId="1" xfId="0" applyFont="1" applyFill="1" applyBorder="1"/>
    <xf numFmtId="0" fontId="4" fillId="20" borderId="2" xfId="0" applyFont="1" applyFill="1" applyBorder="1"/>
    <xf numFmtId="0" fontId="33" fillId="21" borderId="1" xfId="0" applyFont="1" applyFill="1" applyBorder="1" applyAlignment="1">
      <alignment horizontal="left" vertical="center" wrapText="1"/>
    </xf>
    <xf numFmtId="0" fontId="34" fillId="21" borderId="1" xfId="0" applyFont="1" applyFill="1" applyBorder="1" applyAlignment="1">
      <alignment horizontal="left" vertical="center" wrapText="1"/>
    </xf>
    <xf numFmtId="0" fontId="20" fillId="21" borderId="1" xfId="0" applyFont="1" applyFill="1" applyBorder="1"/>
    <xf numFmtId="2" fontId="20" fillId="21" borderId="1" xfId="0" applyNumberFormat="1" applyFont="1" applyFill="1" applyBorder="1"/>
    <xf numFmtId="0" fontId="4" fillId="21" borderId="2" xfId="0" applyFont="1" applyFill="1" applyBorder="1"/>
    <xf numFmtId="0" fontId="16" fillId="14" borderId="1" xfId="0" applyFont="1" applyFill="1" applyBorder="1" applyAlignment="1">
      <alignment wrapText="1"/>
    </xf>
    <xf numFmtId="0" fontId="4" fillId="14" borderId="1" xfId="0" applyFont="1" applyFill="1" applyBorder="1" applyAlignment="1">
      <alignment vertical="center"/>
    </xf>
    <xf numFmtId="0" fontId="4" fillId="14" borderId="1" xfId="0" applyFont="1" applyFill="1" applyBorder="1" applyAlignment="1">
      <alignment vertical="center" wrapText="1"/>
    </xf>
    <xf numFmtId="0" fontId="4" fillId="14" borderId="1" xfId="0" applyFont="1" applyFill="1" applyBorder="1" applyAlignment="1">
      <alignment wrapText="1"/>
    </xf>
    <xf numFmtId="0" fontId="16" fillId="14" borderId="1" xfId="0" applyFont="1" applyFill="1" applyBorder="1" applyAlignment="1">
      <alignment vertical="center" wrapText="1"/>
    </xf>
    <xf numFmtId="0" fontId="33" fillId="22" borderId="1" xfId="0" applyFont="1" applyFill="1" applyBorder="1" applyAlignment="1">
      <alignment horizontal="left" vertical="center" wrapText="1"/>
    </xf>
    <xf numFmtId="0" fontId="16" fillId="22" borderId="1" xfId="0" applyFont="1" applyFill="1" applyBorder="1" applyAlignment="1">
      <alignment wrapText="1"/>
    </xf>
    <xf numFmtId="0" fontId="4" fillId="22" borderId="1" xfId="0" applyFont="1" applyFill="1" applyBorder="1" applyAlignment="1">
      <alignment vertical="center" wrapText="1"/>
    </xf>
    <xf numFmtId="0" fontId="4" fillId="22" borderId="1" xfId="0" applyFont="1" applyFill="1" applyBorder="1" applyAlignment="1">
      <alignment wrapText="1"/>
    </xf>
    <xf numFmtId="0" fontId="4" fillId="22" borderId="1" xfId="0" applyFont="1" applyFill="1" applyBorder="1"/>
    <xf numFmtId="0" fontId="20" fillId="22" borderId="1" xfId="0" applyFont="1" applyFill="1" applyBorder="1"/>
    <xf numFmtId="0" fontId="4" fillId="22" borderId="2" xfId="0" applyFont="1" applyFill="1" applyBorder="1"/>
    <xf numFmtId="0" fontId="16" fillId="14" borderId="1" xfId="0" applyFont="1" applyFill="1" applyBorder="1"/>
    <xf numFmtId="0" fontId="33" fillId="23" borderId="1" xfId="0" applyFont="1" applyFill="1" applyBorder="1" applyAlignment="1">
      <alignment horizontal="left" vertical="center" wrapText="1"/>
    </xf>
    <xf numFmtId="0" fontId="16" fillId="23" borderId="1" xfId="0" applyFont="1" applyFill="1" applyBorder="1" applyAlignment="1">
      <alignment vertical="center" wrapText="1"/>
    </xf>
    <xf numFmtId="0" fontId="4" fillId="23" borderId="1" xfId="0" applyFont="1" applyFill="1" applyBorder="1" applyAlignment="1">
      <alignment vertical="center" wrapText="1"/>
    </xf>
    <xf numFmtId="0" fontId="4" fillId="23" borderId="1" xfId="0" applyFont="1" applyFill="1" applyBorder="1" applyAlignment="1">
      <alignment wrapText="1"/>
    </xf>
    <xf numFmtId="0" fontId="4" fillId="23" borderId="1" xfId="0" applyFont="1" applyFill="1" applyBorder="1"/>
    <xf numFmtId="0" fontId="20" fillId="23" borderId="1" xfId="0" applyFont="1" applyFill="1" applyBorder="1"/>
    <xf numFmtId="0" fontId="20" fillId="23" borderId="1" xfId="0" applyFont="1" applyFill="1" applyBorder="1" applyAlignment="1">
      <alignment horizontal="right"/>
    </xf>
    <xf numFmtId="0" fontId="4" fillId="23" borderId="2" xfId="0" applyFont="1" applyFill="1" applyBorder="1"/>
    <xf numFmtId="0" fontId="20" fillId="0" borderId="0" xfId="0" applyFont="1"/>
    <xf numFmtId="0" fontId="35" fillId="0" borderId="0" xfId="0" applyFont="1"/>
    <xf numFmtId="0" fontId="35" fillId="0" borderId="0" xfId="0" applyFont="1" applyAlignment="1">
      <alignment horizontal="center"/>
    </xf>
    <xf numFmtId="0" fontId="36" fillId="0" borderId="0" xfId="0" applyFont="1" applyAlignment="1">
      <alignment horizontal="center" vertical="center" wrapText="1"/>
    </xf>
    <xf numFmtId="0" fontId="36" fillId="25" borderId="1" xfId="0" applyFont="1" applyFill="1" applyBorder="1" applyAlignment="1">
      <alignment horizontal="center" vertical="center" wrapText="1"/>
    </xf>
    <xf numFmtId="0" fontId="37" fillId="23" borderId="1" xfId="0" applyFont="1" applyFill="1" applyBorder="1" applyAlignment="1">
      <alignment horizontal="center" vertical="center" wrapText="1"/>
    </xf>
    <xf numFmtId="0" fontId="37" fillId="23" borderId="12" xfId="0" applyFont="1" applyFill="1" applyBorder="1" applyAlignment="1">
      <alignment horizontal="center" vertical="center" wrapText="1"/>
    </xf>
    <xf numFmtId="0" fontId="37" fillId="25" borderId="1" xfId="0" applyFont="1" applyFill="1" applyBorder="1" applyAlignment="1">
      <alignment horizontal="center" vertical="center" wrapText="1"/>
    </xf>
    <xf numFmtId="0" fontId="38" fillId="24" borderId="1" xfId="0" applyFont="1" applyFill="1" applyBorder="1" applyAlignment="1">
      <alignment horizontal="left" vertical="center" wrapText="1"/>
    </xf>
    <xf numFmtId="0" fontId="38" fillId="0" borderId="3" xfId="0" applyFont="1" applyBorder="1" applyAlignment="1">
      <alignment horizontal="left" vertical="center" wrapText="1"/>
    </xf>
    <xf numFmtId="0" fontId="38" fillId="19" borderId="8" xfId="0" applyFont="1" applyFill="1" applyBorder="1" applyAlignment="1">
      <alignment horizontal="right" wrapText="1"/>
    </xf>
    <xf numFmtId="0" fontId="20" fillId="24" borderId="8" xfId="0" applyFont="1" applyFill="1" applyBorder="1"/>
    <xf numFmtId="0" fontId="20" fillId="19" borderId="8" xfId="0" applyFont="1" applyFill="1" applyBorder="1"/>
    <xf numFmtId="0" fontId="20" fillId="24" borderId="1" xfId="0" applyFont="1" applyFill="1" applyBorder="1"/>
    <xf numFmtId="0" fontId="20" fillId="19" borderId="13" xfId="0" applyFont="1" applyFill="1" applyBorder="1"/>
    <xf numFmtId="0" fontId="20" fillId="24" borderId="13" xfId="0" applyFont="1" applyFill="1" applyBorder="1"/>
    <xf numFmtId="0" fontId="4" fillId="24" borderId="1" xfId="0" applyFont="1" applyFill="1" applyBorder="1"/>
    <xf numFmtId="0" fontId="4" fillId="19" borderId="1" xfId="0" applyFont="1" applyFill="1" applyBorder="1"/>
    <xf numFmtId="0" fontId="4" fillId="0" borderId="0" xfId="0" applyFont="1" applyAlignment="1">
      <alignment vertical="center"/>
    </xf>
    <xf numFmtId="0" fontId="4" fillId="0" borderId="0" xfId="0" applyFont="1" applyAlignment="1">
      <alignment wrapText="1"/>
    </xf>
    <xf numFmtId="0" fontId="4" fillId="0" borderId="6" xfId="0" applyFont="1" applyBorder="1" applyAlignment="1">
      <alignment vertical="center"/>
    </xf>
    <xf numFmtId="0" fontId="4" fillId="0" borderId="5" xfId="0" applyFont="1" applyBorder="1"/>
    <xf numFmtId="0" fontId="4" fillId="0" borderId="3" xfId="0" applyFont="1" applyBorder="1" applyAlignment="1">
      <alignment vertical="center"/>
    </xf>
    <xf numFmtId="44" fontId="4" fillId="7" borderId="1" xfId="0" applyNumberFormat="1" applyFont="1" applyFill="1" applyBorder="1"/>
    <xf numFmtId="0" fontId="4" fillId="2" borderId="20" xfId="0" applyFont="1" applyFill="1" applyBorder="1" applyAlignment="1">
      <alignment horizontal="center"/>
    </xf>
    <xf numFmtId="0" fontId="4" fillId="0" borderId="21" xfId="0" applyFont="1" applyBorder="1"/>
    <xf numFmtId="0" fontId="16" fillId="2" borderId="10" xfId="0" applyFont="1" applyFill="1" applyBorder="1" applyAlignment="1">
      <alignment horizontal="center" vertical="center" wrapText="1"/>
    </xf>
    <xf numFmtId="0" fontId="16" fillId="2" borderId="10" xfId="0" applyFont="1" applyFill="1" applyBorder="1" applyAlignment="1">
      <alignment horizontal="center" vertical="center"/>
    </xf>
    <xf numFmtId="0" fontId="16" fillId="2" borderId="22" xfId="0" applyFont="1" applyFill="1" applyBorder="1" applyAlignment="1">
      <alignment horizontal="center" vertical="center" wrapText="1"/>
    </xf>
    <xf numFmtId="0" fontId="16" fillId="2" borderId="23" xfId="0" applyFont="1" applyFill="1" applyBorder="1" applyAlignment="1">
      <alignment horizontal="center" vertical="center"/>
    </xf>
    <xf numFmtId="0" fontId="4" fillId="23" borderId="1" xfId="0" applyFont="1" applyFill="1" applyBorder="1" applyAlignment="1">
      <alignment vertical="center"/>
    </xf>
    <xf numFmtId="0" fontId="16" fillId="23" borderId="1" xfId="0" applyFont="1" applyFill="1" applyBorder="1" applyAlignment="1">
      <alignment wrapText="1"/>
    </xf>
    <xf numFmtId="0" fontId="4" fillId="23" borderId="1" xfId="0" applyFont="1" applyFill="1" applyBorder="1" applyAlignment="1">
      <alignment horizontal="center" wrapText="1"/>
    </xf>
    <xf numFmtId="0" fontId="4" fillId="23" borderId="1" xfId="0" applyFont="1" applyFill="1" applyBorder="1" applyAlignment="1">
      <alignment horizontal="center" vertical="center" wrapText="1"/>
    </xf>
    <xf numFmtId="0" fontId="4" fillId="23" borderId="1" xfId="0" applyFont="1" applyFill="1" applyBorder="1" applyAlignment="1">
      <alignment horizontal="center" vertical="center"/>
    </xf>
    <xf numFmtId="0" fontId="16" fillId="23" borderId="1" xfId="0" applyFont="1" applyFill="1" applyBorder="1" applyAlignment="1">
      <alignment horizontal="right"/>
    </xf>
    <xf numFmtId="0" fontId="4" fillId="23" borderId="1" xfId="0" applyFont="1" applyFill="1" applyBorder="1" applyAlignment="1">
      <alignment horizontal="center"/>
    </xf>
    <xf numFmtId="0" fontId="16" fillId="0" borderId="1" xfId="0" applyFont="1" applyBorder="1" applyAlignment="1">
      <alignment horizontal="right"/>
    </xf>
    <xf numFmtId="0" fontId="16" fillId="6" borderId="1" xfId="0" applyFont="1" applyFill="1" applyBorder="1" applyAlignment="1">
      <alignment wrapText="1"/>
    </xf>
    <xf numFmtId="0" fontId="16" fillId="6" borderId="1" xfId="0" applyFont="1" applyFill="1" applyBorder="1" applyAlignment="1">
      <alignment horizontal="right"/>
    </xf>
    <xf numFmtId="0" fontId="16" fillId="23" borderId="1" xfId="0" applyFont="1" applyFill="1" applyBorder="1"/>
    <xf numFmtId="0" fontId="4" fillId="23" borderId="2" xfId="0" applyFont="1" applyFill="1" applyBorder="1" applyAlignment="1">
      <alignment horizontal="center" vertical="center"/>
    </xf>
    <xf numFmtId="0" fontId="16" fillId="16" borderId="1" xfId="0" applyFont="1" applyFill="1" applyBorder="1" applyAlignment="1">
      <alignment wrapText="1"/>
    </xf>
    <xf numFmtId="0" fontId="4" fillId="16" borderId="1" xfId="0" applyFont="1" applyFill="1" applyBorder="1" applyAlignment="1">
      <alignment wrapText="1"/>
    </xf>
    <xf numFmtId="0" fontId="4" fillId="16" borderId="1" xfId="0" applyFont="1" applyFill="1" applyBorder="1" applyAlignment="1">
      <alignment vertical="center" wrapText="1"/>
    </xf>
    <xf numFmtId="0" fontId="16" fillId="16" borderId="1" xfId="0" applyFont="1" applyFill="1" applyBorder="1"/>
    <xf numFmtId="0" fontId="4" fillId="16" borderId="1" xfId="0" applyFont="1" applyFill="1" applyBorder="1" applyAlignment="1">
      <alignment horizontal="center" vertical="center" wrapText="1"/>
    </xf>
    <xf numFmtId="0" fontId="4" fillId="16" borderId="1" xfId="0" applyFont="1" applyFill="1" applyBorder="1" applyAlignment="1">
      <alignment horizontal="center" vertical="center"/>
    </xf>
    <xf numFmtId="0" fontId="16" fillId="6" borderId="1" xfId="0" applyFont="1" applyFill="1" applyBorder="1"/>
    <xf numFmtId="0" fontId="4" fillId="6" borderId="1" xfId="0" applyFont="1" applyFill="1" applyBorder="1" applyAlignment="1">
      <alignment horizontal="center" vertical="center" wrapText="1"/>
    </xf>
    <xf numFmtId="0" fontId="4" fillId="0" borderId="24" xfId="0" applyFont="1" applyBorder="1"/>
    <xf numFmtId="0" fontId="4" fillId="0" borderId="26" xfId="0" applyFont="1" applyBorder="1"/>
    <xf numFmtId="0" fontId="16" fillId="0" borderId="26" xfId="0" applyFont="1" applyBorder="1"/>
    <xf numFmtId="0" fontId="4" fillId="0" borderId="27" xfId="0" applyFont="1" applyBorder="1"/>
    <xf numFmtId="0" fontId="4" fillId="0" borderId="27" xfId="0" applyFont="1" applyBorder="1" applyAlignment="1">
      <alignment horizontal="center" vertical="center"/>
    </xf>
    <xf numFmtId="0" fontId="4" fillId="0" borderId="28" xfId="0" applyFont="1" applyBorder="1"/>
    <xf numFmtId="0" fontId="4" fillId="0" borderId="30" xfId="0" applyFont="1" applyBorder="1"/>
    <xf numFmtId="0" fontId="16" fillId="0" borderId="30" xfId="0" applyFont="1" applyBorder="1"/>
    <xf numFmtId="0" fontId="4" fillId="0" borderId="31" xfId="0" applyFont="1" applyBorder="1"/>
    <xf numFmtId="0" fontId="4" fillId="0" borderId="31" xfId="0" applyFont="1" applyBorder="1" applyAlignment="1">
      <alignment horizontal="center" vertical="center"/>
    </xf>
    <xf numFmtId="0" fontId="4" fillId="0" borderId="32" xfId="0" applyFont="1" applyBorder="1"/>
    <xf numFmtId="0" fontId="4" fillId="0" borderId="33" xfId="0" applyFont="1" applyBorder="1"/>
    <xf numFmtId="0" fontId="4" fillId="0" borderId="34" xfId="0" applyFont="1" applyBorder="1"/>
    <xf numFmtId="0" fontId="4" fillId="0" borderId="35" xfId="0" applyFont="1" applyBorder="1"/>
    <xf numFmtId="0" fontId="4" fillId="0" borderId="36" xfId="0" applyFont="1" applyBorder="1"/>
    <xf numFmtId="166" fontId="4" fillId="0" borderId="0" xfId="0" applyNumberFormat="1" applyFont="1"/>
    <xf numFmtId="166" fontId="4" fillId="0" borderId="0" xfId="0" applyNumberFormat="1" applyFont="1" applyAlignment="1">
      <alignment horizontal="center" vertical="center"/>
    </xf>
    <xf numFmtId="0" fontId="4" fillId="0" borderId="37" xfId="0" applyFont="1" applyBorder="1"/>
    <xf numFmtId="0" fontId="4" fillId="0" borderId="38" xfId="0" applyFont="1" applyBorder="1"/>
    <xf numFmtId="166" fontId="4" fillId="0" borderId="39" xfId="0" applyNumberFormat="1" applyFont="1" applyBorder="1"/>
    <xf numFmtId="166" fontId="4" fillId="0" borderId="39" xfId="0" applyNumberFormat="1" applyFont="1" applyBorder="1" applyAlignment="1">
      <alignment horizontal="center" vertical="center"/>
    </xf>
    <xf numFmtId="166" fontId="4" fillId="0" borderId="40" xfId="0" applyNumberFormat="1" applyFont="1" applyBorder="1" applyAlignment="1">
      <alignment vertical="center"/>
    </xf>
    <xf numFmtId="166" fontId="4" fillId="0" borderId="0" xfId="0" applyNumberFormat="1" applyFont="1" applyAlignment="1">
      <alignment vertical="center"/>
    </xf>
    <xf numFmtId="167" fontId="4" fillId="0" borderId="0" xfId="0" applyNumberFormat="1" applyFont="1"/>
    <xf numFmtId="167" fontId="4" fillId="0" borderId="0" xfId="0" applyNumberFormat="1" applyFont="1" applyAlignment="1">
      <alignment horizontal="center" vertical="center"/>
    </xf>
    <xf numFmtId="0" fontId="4" fillId="0" borderId="38" xfId="0" applyFont="1" applyBorder="1" applyAlignment="1">
      <alignment wrapText="1"/>
    </xf>
    <xf numFmtId="167" fontId="4" fillId="0" borderId="39" xfId="0" applyNumberFormat="1" applyFont="1" applyBorder="1" applyAlignment="1">
      <alignment horizontal="center" vertical="center"/>
    </xf>
    <xf numFmtId="0" fontId="4" fillId="0" borderId="40" xfId="0" applyFont="1" applyBorder="1"/>
    <xf numFmtId="0" fontId="39" fillId="0" borderId="0" xfId="0" applyFont="1"/>
    <xf numFmtId="0" fontId="40" fillId="0" borderId="0" xfId="0" applyFont="1"/>
    <xf numFmtId="0" fontId="41" fillId="2" borderId="10" xfId="0" applyFont="1" applyFill="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horizontal="center" wrapText="1"/>
    </xf>
    <xf numFmtId="0" fontId="39" fillId="0" borderId="1" xfId="0" applyFont="1" applyBorder="1" applyAlignment="1">
      <alignment horizontal="center" vertical="center" wrapText="1"/>
    </xf>
    <xf numFmtId="0" fontId="16" fillId="19" borderId="1" xfId="0" applyFont="1" applyFill="1" applyBorder="1" applyAlignment="1">
      <alignment wrapText="1"/>
    </xf>
    <xf numFmtId="0" fontId="4" fillId="19" borderId="1" xfId="0" applyFont="1" applyFill="1" applyBorder="1" applyAlignment="1">
      <alignment wrapText="1"/>
    </xf>
    <xf numFmtId="0" fontId="4" fillId="19" borderId="1" xfId="0" applyFont="1" applyFill="1" applyBorder="1" applyAlignment="1">
      <alignment vertical="center" wrapText="1"/>
    </xf>
    <xf numFmtId="0" fontId="16" fillId="19" borderId="1" xfId="0" applyFont="1" applyFill="1" applyBorder="1" applyAlignment="1">
      <alignment horizontal="right"/>
    </xf>
    <xf numFmtId="0" fontId="4" fillId="19" borderId="1" xfId="0" applyFont="1" applyFill="1" applyBorder="1" applyAlignment="1">
      <alignment horizontal="center" vertical="center" wrapText="1"/>
    </xf>
    <xf numFmtId="0" fontId="4" fillId="19" borderId="1" xfId="0" applyFont="1" applyFill="1" applyBorder="1" applyAlignment="1">
      <alignment horizontal="right"/>
    </xf>
    <xf numFmtId="9" fontId="39" fillId="0" borderId="1" xfId="0" applyNumberFormat="1" applyFont="1" applyBorder="1" applyAlignment="1">
      <alignment horizontal="center" vertical="center" wrapText="1"/>
    </xf>
    <xf numFmtId="0" fontId="16" fillId="24" borderId="1" xfId="0" applyFont="1" applyFill="1" applyBorder="1" applyAlignment="1">
      <alignment wrapText="1"/>
    </xf>
    <xf numFmtId="0" fontId="4" fillId="24" borderId="1" xfId="0" applyFont="1" applyFill="1" applyBorder="1" applyAlignment="1">
      <alignment wrapText="1"/>
    </xf>
    <xf numFmtId="0" fontId="16" fillId="24" borderId="1" xfId="0" applyFont="1" applyFill="1" applyBorder="1" applyAlignment="1">
      <alignment horizontal="right"/>
    </xf>
    <xf numFmtId="0" fontId="4" fillId="24" borderId="1" xfId="0" applyFont="1" applyFill="1" applyBorder="1" applyAlignment="1">
      <alignment horizontal="center" vertical="center" wrapText="1"/>
    </xf>
    <xf numFmtId="0" fontId="16" fillId="0" borderId="0" xfId="0" applyFont="1" applyAlignment="1">
      <alignment wrapText="1"/>
    </xf>
    <xf numFmtId="0" fontId="4"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xf>
    <xf numFmtId="0" fontId="4" fillId="0" borderId="10" xfId="0" applyFont="1" applyBorder="1"/>
    <xf numFmtId="0" fontId="22" fillId="0" borderId="1" xfId="0" applyFont="1" applyBorder="1"/>
    <xf numFmtId="0" fontId="16" fillId="0" borderId="12" xfId="0" applyFont="1" applyBorder="1"/>
    <xf numFmtId="0" fontId="0" fillId="0" borderId="1" xfId="0" applyBorder="1"/>
    <xf numFmtId="0" fontId="19" fillId="0" borderId="1" xfId="0" applyFont="1" applyBorder="1" applyAlignment="1">
      <alignment vertical="center" wrapText="1"/>
    </xf>
    <xf numFmtId="0" fontId="20" fillId="0" borderId="0" xfId="0" applyFont="1" applyAlignment="1">
      <alignment vertical="center" wrapText="1"/>
    </xf>
    <xf numFmtId="0" fontId="16" fillId="0" borderId="41" xfId="0" applyFont="1" applyBorder="1"/>
    <xf numFmtId="0" fontId="16" fillId="0" borderId="7" xfId="0" applyFont="1" applyBorder="1" applyAlignment="1">
      <alignment horizontal="center" vertical="center"/>
    </xf>
    <xf numFmtId="0" fontId="18" fillId="0" borderId="3"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xf numFmtId="0" fontId="4" fillId="0" borderId="6" xfId="0" applyFont="1" applyBorder="1"/>
    <xf numFmtId="0" fontId="4" fillId="0" borderId="6" xfId="0" applyFont="1" applyBorder="1" applyAlignment="1">
      <alignment wrapText="1"/>
    </xf>
    <xf numFmtId="0" fontId="18" fillId="0" borderId="0" xfId="0" applyFont="1" applyAlignment="1">
      <alignment wrapText="1"/>
    </xf>
    <xf numFmtId="0" fontId="27" fillId="9" borderId="10" xfId="0" applyFont="1" applyFill="1" applyBorder="1"/>
    <xf numFmtId="0" fontId="11" fillId="9" borderId="10" xfId="0" applyFont="1" applyFill="1" applyBorder="1"/>
    <xf numFmtId="0" fontId="11" fillId="9" borderId="41" xfId="0" applyFont="1" applyFill="1" applyBorder="1"/>
    <xf numFmtId="0" fontId="27" fillId="9" borderId="41" xfId="0" applyFont="1" applyFill="1" applyBorder="1"/>
    <xf numFmtId="0" fontId="11" fillId="9" borderId="42" xfId="0" applyFont="1" applyFill="1" applyBorder="1"/>
    <xf numFmtId="0" fontId="28" fillId="15" borderId="1" xfId="0" applyFont="1" applyFill="1" applyBorder="1" applyAlignment="1">
      <alignment wrapText="1"/>
    </xf>
    <xf numFmtId="0" fontId="1" fillId="0" borderId="0" xfId="0" applyFont="1"/>
    <xf numFmtId="0" fontId="4" fillId="0" borderId="2" xfId="0" applyFont="1" applyBorder="1"/>
    <xf numFmtId="0" fontId="3" fillId="17" borderId="4" xfId="0" applyFont="1" applyFill="1" applyBorder="1" applyAlignment="1">
      <alignment vertical="center"/>
    </xf>
    <xf numFmtId="0" fontId="29" fillId="0" borderId="11" xfId="0" applyFont="1" applyBorder="1"/>
    <xf numFmtId="0" fontId="29" fillId="0" borderId="5" xfId="0" applyFont="1" applyBorder="1"/>
    <xf numFmtId="0" fontId="30" fillId="17" borderId="6" xfId="0" applyFont="1" applyFill="1" applyBorder="1" applyAlignment="1">
      <alignment horizontal="center" vertical="center" wrapText="1"/>
    </xf>
    <xf numFmtId="0" fontId="29" fillId="0" borderId="3" xfId="0" applyFont="1" applyBorder="1"/>
    <xf numFmtId="0" fontId="3" fillId="17" borderId="22" xfId="0" applyFont="1" applyFill="1" applyBorder="1" applyAlignment="1">
      <alignment horizontal="center" vertical="center"/>
    </xf>
    <xf numFmtId="0" fontId="3" fillId="17" borderId="15" xfId="0" applyFont="1" applyFill="1" applyBorder="1" applyAlignment="1">
      <alignment horizontal="center" vertical="center"/>
    </xf>
    <xf numFmtId="0" fontId="3" fillId="17" borderId="23" xfId="0" applyFont="1" applyFill="1" applyBorder="1" applyAlignment="1">
      <alignment horizontal="center" vertical="center"/>
    </xf>
    <xf numFmtId="0" fontId="3" fillId="17" borderId="13" xfId="0" applyFont="1" applyFill="1" applyBorder="1" applyAlignment="1">
      <alignment horizontal="center" vertical="center"/>
    </xf>
    <xf numFmtId="0" fontId="3" fillId="17" borderId="21" xfId="0" applyFont="1" applyFill="1" applyBorder="1" applyAlignment="1">
      <alignment horizontal="center" vertical="center"/>
    </xf>
    <xf numFmtId="0" fontId="3" fillId="17" borderId="9" xfId="0" applyFont="1" applyFill="1" applyBorder="1" applyAlignment="1">
      <alignment horizontal="center" vertical="center"/>
    </xf>
    <xf numFmtId="0" fontId="4" fillId="0" borderId="4" xfId="0" applyFont="1" applyBorder="1" applyAlignment="1">
      <alignment horizontal="center" vertical="center"/>
    </xf>
    <xf numFmtId="0" fontId="4" fillId="15" borderId="4" xfId="0" applyFont="1" applyFill="1" applyBorder="1" applyAlignment="1">
      <alignment horizontal="center" vertical="center"/>
    </xf>
    <xf numFmtId="0" fontId="4" fillId="0" borderId="4" xfId="0" applyFont="1" applyBorder="1" applyAlignment="1">
      <alignment horizontal="center"/>
    </xf>
    <xf numFmtId="0" fontId="4" fillId="0" borderId="4" xfId="0" applyFont="1" applyBorder="1" applyAlignment="1">
      <alignment horizontal="center" wrapText="1"/>
    </xf>
    <xf numFmtId="0" fontId="4" fillId="0" borderId="4" xfId="0" applyFont="1" applyBorder="1" applyAlignment="1">
      <alignment horizontal="center" vertical="center" wrapText="1"/>
    </xf>
    <xf numFmtId="0" fontId="4" fillId="15" borderId="14" xfId="0" applyFont="1" applyFill="1" applyBorder="1" applyAlignment="1">
      <alignment horizontal="center" vertical="center" wrapText="1"/>
    </xf>
    <xf numFmtId="0" fontId="29" fillId="0" borderId="15" xfId="0" applyFont="1" applyBorder="1"/>
    <xf numFmtId="0" fontId="29" fillId="0" borderId="16" xfId="0" applyFont="1" applyBorder="1"/>
    <xf numFmtId="0" fontId="4" fillId="6" borderId="4" xfId="0" applyFont="1" applyFill="1" applyBorder="1" applyAlignment="1">
      <alignment horizontal="center" vertical="center" wrapText="1"/>
    </xf>
    <xf numFmtId="0" fontId="34" fillId="0" borderId="4" xfId="0" applyFont="1" applyBorder="1" applyAlignment="1">
      <alignment horizontal="center" vertical="center"/>
    </xf>
    <xf numFmtId="0" fontId="20" fillId="0" borderId="4" xfId="0" applyFont="1" applyBorder="1" applyAlignment="1">
      <alignment horizontal="center" vertical="center" wrapText="1"/>
    </xf>
    <xf numFmtId="0" fontId="20" fillId="0" borderId="4" xfId="0" applyFont="1" applyBorder="1" applyAlignment="1">
      <alignment horizontal="center" vertical="center"/>
    </xf>
    <xf numFmtId="0" fontId="16" fillId="0" borderId="0" xfId="0" applyFont="1" applyAlignment="1">
      <alignment horizontal="center" wrapText="1"/>
    </xf>
    <xf numFmtId="0" fontId="0" fillId="0" borderId="0" xfId="0"/>
    <xf numFmtId="0" fontId="35" fillId="19" borderId="4" xfId="0" applyFont="1" applyFill="1" applyBorder="1" applyAlignment="1">
      <alignment horizontal="center" wrapText="1"/>
    </xf>
    <xf numFmtId="0" fontId="35" fillId="24" borderId="4" xfId="0" applyFont="1" applyFill="1" applyBorder="1" applyAlignment="1">
      <alignment horizontal="center" wrapText="1"/>
    </xf>
    <xf numFmtId="0" fontId="33" fillId="0" borderId="4" xfId="0" applyFont="1" applyBorder="1" applyAlignment="1">
      <alignment horizontal="center" vertical="center" wrapText="1"/>
    </xf>
    <xf numFmtId="0" fontId="20" fillId="0" borderId="4" xfId="0" applyFont="1" applyBorder="1" applyAlignment="1">
      <alignment horizontal="center" wrapText="1"/>
    </xf>
    <xf numFmtId="0" fontId="20" fillId="18" borderId="4" xfId="0" applyFont="1" applyFill="1" applyBorder="1" applyAlignment="1">
      <alignment horizontal="center" vertical="center"/>
    </xf>
    <xf numFmtId="166" fontId="4" fillId="0" borderId="0" xfId="0" applyNumberFormat="1" applyFont="1" applyAlignment="1">
      <alignment horizontal="center" vertical="center"/>
    </xf>
    <xf numFmtId="0" fontId="29" fillId="0" borderId="39" xfId="0" applyFont="1" applyBorder="1"/>
    <xf numFmtId="167" fontId="4" fillId="0" borderId="0" xfId="0" applyNumberFormat="1" applyFont="1" applyAlignment="1">
      <alignment horizontal="center" vertical="center"/>
    </xf>
    <xf numFmtId="0" fontId="4" fillId="2" borderId="17" xfId="0" applyFont="1" applyFill="1" applyBorder="1" applyAlignment="1">
      <alignment horizontal="center"/>
    </xf>
    <xf numFmtId="0" fontId="29" fillId="0" borderId="18" xfId="0" applyFont="1" applyBorder="1"/>
    <xf numFmtId="0" fontId="29" fillId="0" borderId="19" xfId="0" applyFont="1" applyBorder="1"/>
    <xf numFmtId="0" fontId="4" fillId="2" borderId="6" xfId="0" applyFont="1" applyFill="1" applyBorder="1" applyAlignment="1">
      <alignment horizontal="center" vertical="center" wrapText="1"/>
    </xf>
    <xf numFmtId="0" fontId="29" fillId="0" borderId="24" xfId="0" applyFont="1" applyBorder="1"/>
    <xf numFmtId="0" fontId="4" fillId="0" borderId="6" xfId="0" applyFont="1" applyBorder="1" applyAlignment="1">
      <alignment horizontal="center" vertical="center" wrapText="1"/>
    </xf>
    <xf numFmtId="0" fontId="4" fillId="0" borderId="25" xfId="0" applyFont="1" applyBorder="1" applyAlignment="1">
      <alignment horizontal="center" vertical="center"/>
    </xf>
    <xf numFmtId="0" fontId="29" fillId="0" borderId="29" xfId="0" applyFont="1" applyBorder="1"/>
    <xf numFmtId="0" fontId="4" fillId="0" borderId="0" xfId="0" applyFont="1" applyAlignment="1">
      <alignment horizontal="center" vertical="center" wrapText="1"/>
    </xf>
  </cellXfs>
  <cellStyles count="1">
    <cellStyle name="Normal" xfId="0" builtinId="0"/>
  </cellStyles>
  <dxfs count="7">
    <dxf>
      <fill>
        <patternFill patternType="solid">
          <fgColor rgb="FFD8D8D8"/>
          <bgColor rgb="FFD8D8D8"/>
        </patternFill>
      </fill>
    </dxf>
    <dxf>
      <fill>
        <patternFill patternType="solid">
          <fgColor rgb="FFFF0000"/>
          <bgColor rgb="FFFF0000"/>
        </patternFill>
      </fill>
    </dxf>
    <dxf>
      <fill>
        <patternFill patternType="solid">
          <fgColor rgb="FFD8D8D8"/>
          <bgColor rgb="FFD8D8D8"/>
        </patternFill>
      </fill>
    </dxf>
    <dxf>
      <fill>
        <patternFill patternType="solid">
          <fgColor rgb="FFFF0000"/>
          <bgColor rgb="FFFF0000"/>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Descriptions-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ecile/Desktop/La%20Canop&#233;e%20Dropbox/La%20Canop&#233;e%20Dropbox/Lucile%20Waldisp&#252;hl/Formulation%20et%20actifs/Donn&#233;esMP%20(Modifications%20de%20Lucile,%202023-12-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sheetName val="Descriptions"/>
      <sheetName val="Code formule"/>
      <sheetName val="Code emballage"/>
      <sheetName val="Allergènes 81"/>
      <sheetName val="Contour des yeux"/>
      <sheetName val="Gamme bébé"/>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13:C33">
  <tableColumns count="2">
    <tableColumn id="1" xr3:uid="{00000000-0010-0000-0000-000001000000}" name="MP00"/>
    <tableColumn id="2" xr3:uid="{00000000-0010-0000-0000-000002000000}" name="Actifs techniques objectivés "/>
  </tableColumns>
  <tableStyleInfo name="Description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80"/>
  <sheetViews>
    <sheetView workbookViewId="0">
      <pane ySplit="1" topLeftCell="A765" activePane="bottomLeft" state="frozen"/>
      <selection pane="bottomLeft" activeCell="H1" sqref="H1"/>
    </sheetView>
  </sheetViews>
  <sheetFormatPr baseColWidth="10" defaultColWidth="11.1640625" defaultRowHeight="15" customHeight="1" x14ac:dyDescent="0.2"/>
  <cols>
    <col min="1" max="1" width="15.33203125" customWidth="1"/>
    <col min="2" max="2" width="51" customWidth="1"/>
    <col min="3" max="3" width="28.33203125" customWidth="1"/>
    <col min="4" max="4" width="57.1640625" customWidth="1"/>
    <col min="5" max="5" width="27.33203125" customWidth="1"/>
    <col min="6" max="6" width="19" customWidth="1"/>
    <col min="7" max="7" width="11.83203125" customWidth="1"/>
    <col min="8" max="8" width="49" customWidth="1"/>
    <col min="9" max="9" width="10.83203125" customWidth="1"/>
    <col min="10" max="10" width="12.33203125" customWidth="1"/>
    <col min="11" max="11" width="8.1640625" customWidth="1"/>
    <col min="12" max="12" width="12.33203125" customWidth="1"/>
    <col min="13" max="13" width="25.1640625" customWidth="1"/>
    <col min="14" max="14" width="29.33203125" customWidth="1"/>
    <col min="15" max="15" width="47.33203125" customWidth="1"/>
    <col min="16" max="26" width="10.6640625" customWidth="1"/>
  </cols>
  <sheetData>
    <row r="1" spans="1:26" ht="66.75" customHeight="1" x14ac:dyDescent="0.35">
      <c r="A1" s="1" t="s">
        <v>0</v>
      </c>
      <c r="B1" s="1" t="s">
        <v>4092</v>
      </c>
      <c r="C1" s="1" t="s">
        <v>2</v>
      </c>
      <c r="D1" s="1" t="s">
        <v>3</v>
      </c>
      <c r="E1" s="1" t="s">
        <v>4</v>
      </c>
      <c r="F1" s="2" t="s">
        <v>4093</v>
      </c>
      <c r="G1" s="1" t="s">
        <v>5</v>
      </c>
      <c r="H1" s="1" t="s">
        <v>4102</v>
      </c>
      <c r="I1" s="3" t="s">
        <v>7</v>
      </c>
      <c r="J1" s="3" t="s">
        <v>8</v>
      </c>
      <c r="K1" s="3" t="s">
        <v>9</v>
      </c>
      <c r="L1" s="3" t="s">
        <v>10</v>
      </c>
      <c r="M1" s="3" t="s">
        <v>11</v>
      </c>
      <c r="N1" s="3" t="s">
        <v>12</v>
      </c>
      <c r="O1" s="3" t="s">
        <v>13</v>
      </c>
    </row>
    <row r="2" spans="1:26" ht="15.75" customHeight="1" x14ac:dyDescent="0.2">
      <c r="A2" s="73" t="s">
        <v>577</v>
      </c>
      <c r="B2" s="73" t="s">
        <v>2325</v>
      </c>
      <c r="C2" s="77" t="s">
        <v>56</v>
      </c>
      <c r="D2" s="77" t="s">
        <v>2326</v>
      </c>
      <c r="E2" s="77" t="s">
        <v>2327</v>
      </c>
      <c r="F2" s="73"/>
      <c r="G2" s="73"/>
      <c r="H2" s="79" t="s">
        <v>2328</v>
      </c>
      <c r="I2" s="74"/>
      <c r="J2" s="74"/>
      <c r="K2" s="74"/>
      <c r="L2" s="74"/>
      <c r="M2" s="74"/>
      <c r="N2" s="74"/>
      <c r="O2" s="73"/>
      <c r="P2" s="6"/>
      <c r="Q2" s="6"/>
      <c r="R2" s="6"/>
      <c r="S2" s="6"/>
      <c r="T2" s="6"/>
      <c r="U2" s="6"/>
      <c r="V2" s="6"/>
      <c r="W2" s="6"/>
      <c r="X2" s="6"/>
      <c r="Y2" s="6"/>
      <c r="Z2" s="6"/>
    </row>
    <row r="3" spans="1:26" ht="15.75" customHeight="1" x14ac:dyDescent="0.2">
      <c r="A3" s="4" t="s">
        <v>14</v>
      </c>
      <c r="B3" s="4" t="s">
        <v>15</v>
      </c>
      <c r="C3" s="4" t="s">
        <v>16</v>
      </c>
      <c r="D3" s="4"/>
      <c r="E3" s="4" t="s">
        <v>17</v>
      </c>
      <c r="F3" s="4"/>
      <c r="G3" s="4"/>
      <c r="H3" s="4"/>
      <c r="I3" s="5"/>
      <c r="J3" s="5"/>
      <c r="K3" s="5"/>
      <c r="L3" s="5"/>
      <c r="M3" s="5"/>
      <c r="N3" s="5"/>
      <c r="O3" s="4"/>
      <c r="P3" s="6"/>
      <c r="Q3" s="6"/>
      <c r="R3" s="6"/>
      <c r="S3" s="6"/>
      <c r="T3" s="6"/>
      <c r="U3" s="6"/>
      <c r="V3" s="6"/>
      <c r="W3" s="6"/>
      <c r="X3" s="6"/>
      <c r="Y3" s="6"/>
      <c r="Z3" s="6"/>
    </row>
    <row r="4" spans="1:26" ht="15.75" customHeight="1" x14ac:dyDescent="0.2">
      <c r="A4" s="4" t="s">
        <v>18</v>
      </c>
      <c r="B4" s="4" t="s">
        <v>19</v>
      </c>
      <c r="C4" s="4" t="s">
        <v>20</v>
      </c>
      <c r="D4" s="4"/>
      <c r="E4" s="4" t="s">
        <v>21</v>
      </c>
      <c r="F4" s="4">
        <v>7500</v>
      </c>
      <c r="G4" s="4"/>
      <c r="H4" s="4"/>
      <c r="I4" s="5"/>
      <c r="J4" s="5"/>
      <c r="K4" s="5"/>
      <c r="L4" s="5"/>
      <c r="M4" s="5"/>
      <c r="N4" s="5"/>
      <c r="O4" s="4"/>
      <c r="P4" s="6"/>
      <c r="Q4" s="6"/>
      <c r="R4" s="6"/>
      <c r="S4" s="6"/>
      <c r="T4" s="6"/>
      <c r="U4" s="6"/>
      <c r="V4" s="6"/>
      <c r="W4" s="6"/>
      <c r="X4" s="6"/>
      <c r="Y4" s="6"/>
      <c r="Z4" s="6"/>
    </row>
    <row r="5" spans="1:26" ht="15.75" customHeight="1" x14ac:dyDescent="0.2">
      <c r="A5" s="4" t="s">
        <v>22</v>
      </c>
      <c r="B5" s="4" t="s">
        <v>23</v>
      </c>
      <c r="C5" s="4" t="s">
        <v>20</v>
      </c>
      <c r="D5" s="4"/>
      <c r="E5" s="4" t="s">
        <v>17</v>
      </c>
      <c r="F5" s="4"/>
      <c r="G5" s="4"/>
      <c r="H5" s="4"/>
      <c r="I5" s="5"/>
      <c r="J5" s="5"/>
      <c r="K5" s="5"/>
      <c r="L5" s="5"/>
      <c r="M5" s="5"/>
      <c r="N5" s="5"/>
      <c r="O5" s="4"/>
      <c r="P5" s="6"/>
      <c r="Q5" s="6"/>
      <c r="R5" s="6"/>
      <c r="S5" s="6"/>
      <c r="T5" s="6"/>
      <c r="U5" s="6"/>
      <c r="V5" s="6"/>
      <c r="W5" s="6"/>
      <c r="X5" s="6"/>
      <c r="Y5" s="6"/>
      <c r="Z5" s="6"/>
    </row>
    <row r="6" spans="1:26" ht="15.75" customHeight="1" x14ac:dyDescent="0.2">
      <c r="A6" s="4" t="s">
        <v>24</v>
      </c>
      <c r="B6" s="4" t="s">
        <v>25</v>
      </c>
      <c r="C6" s="4" t="s">
        <v>26</v>
      </c>
      <c r="D6" s="4"/>
      <c r="E6" s="4" t="s">
        <v>21</v>
      </c>
      <c r="F6" s="4"/>
      <c r="G6" s="4"/>
      <c r="H6" s="4"/>
      <c r="I6" s="5"/>
      <c r="J6" s="5"/>
      <c r="K6" s="5"/>
      <c r="L6" s="5"/>
      <c r="M6" s="5"/>
      <c r="N6" s="5"/>
      <c r="O6" s="4"/>
      <c r="P6" s="9"/>
      <c r="Q6" s="9"/>
      <c r="R6" s="9"/>
      <c r="S6" s="9"/>
      <c r="T6" s="9"/>
      <c r="U6" s="9"/>
      <c r="V6" s="9"/>
      <c r="W6" s="9"/>
      <c r="X6" s="9"/>
      <c r="Y6" s="9"/>
      <c r="Z6" s="9"/>
    </row>
    <row r="7" spans="1:26" ht="15.75" customHeight="1" x14ac:dyDescent="0.2">
      <c r="A7" s="7" t="s">
        <v>27</v>
      </c>
      <c r="B7" s="7" t="s">
        <v>28</v>
      </c>
      <c r="C7" s="7" t="s">
        <v>16</v>
      </c>
      <c r="D7" s="7"/>
      <c r="E7" s="7" t="s">
        <v>29</v>
      </c>
      <c r="F7" s="7"/>
      <c r="G7" s="7"/>
      <c r="H7" s="7"/>
      <c r="I7" s="8"/>
      <c r="J7" s="8"/>
      <c r="K7" s="8"/>
      <c r="L7" s="8"/>
      <c r="M7" s="8"/>
      <c r="N7" s="8"/>
      <c r="O7" s="7"/>
      <c r="P7" s="9"/>
      <c r="Q7" s="9"/>
      <c r="R7" s="9"/>
      <c r="S7" s="9"/>
      <c r="T7" s="9"/>
      <c r="U7" s="9"/>
      <c r="V7" s="9"/>
      <c r="W7" s="9"/>
      <c r="X7" s="9"/>
      <c r="Y7" s="9"/>
      <c r="Z7" s="9"/>
    </row>
    <row r="8" spans="1:26" ht="15.75" customHeight="1" x14ac:dyDescent="0.2">
      <c r="A8" s="7" t="s">
        <v>30</v>
      </c>
      <c r="B8" s="7" t="s">
        <v>31</v>
      </c>
      <c r="C8" s="7" t="s">
        <v>16</v>
      </c>
      <c r="D8" s="7"/>
      <c r="E8" s="7"/>
      <c r="F8" s="7"/>
      <c r="G8" s="7"/>
      <c r="H8" s="7"/>
      <c r="I8" s="8"/>
      <c r="J8" s="8"/>
      <c r="K8" s="8"/>
      <c r="L8" s="8"/>
      <c r="M8" s="8"/>
      <c r="N8" s="8"/>
      <c r="O8" s="7"/>
      <c r="P8" s="9"/>
      <c r="Q8" s="9"/>
      <c r="R8" s="9"/>
      <c r="S8" s="9"/>
      <c r="T8" s="9"/>
      <c r="U8" s="9"/>
      <c r="V8" s="9"/>
      <c r="W8" s="9"/>
      <c r="X8" s="9"/>
      <c r="Y8" s="9"/>
      <c r="Z8" s="9"/>
    </row>
    <row r="9" spans="1:26" ht="15.75" customHeight="1" x14ac:dyDescent="0.2">
      <c r="A9" s="7" t="s">
        <v>32</v>
      </c>
      <c r="B9" s="7" t="s">
        <v>33</v>
      </c>
      <c r="C9" s="7" t="s">
        <v>16</v>
      </c>
      <c r="D9" s="7"/>
      <c r="E9" s="7"/>
      <c r="F9" s="7"/>
      <c r="G9" s="7"/>
      <c r="H9" s="7"/>
      <c r="I9" s="8"/>
      <c r="J9" s="8"/>
      <c r="K9" s="8"/>
      <c r="L9" s="8"/>
      <c r="M9" s="8"/>
      <c r="N9" s="8"/>
      <c r="O9" s="7"/>
      <c r="P9" s="9"/>
      <c r="Q9" s="9"/>
      <c r="R9" s="9"/>
      <c r="S9" s="9"/>
      <c r="T9" s="9"/>
      <c r="U9" s="9"/>
      <c r="V9" s="9"/>
      <c r="W9" s="9"/>
      <c r="X9" s="9"/>
      <c r="Y9" s="9"/>
      <c r="Z9" s="9"/>
    </row>
    <row r="10" spans="1:26" ht="15.75" customHeight="1" x14ac:dyDescent="0.2">
      <c r="A10" s="7" t="s">
        <v>34</v>
      </c>
      <c r="B10" s="7" t="s">
        <v>35</v>
      </c>
      <c r="C10" s="7" t="s">
        <v>36</v>
      </c>
      <c r="D10" s="7"/>
      <c r="E10" s="7"/>
      <c r="F10" s="7"/>
      <c r="G10" s="7"/>
      <c r="H10" s="7"/>
      <c r="I10" s="8"/>
      <c r="J10" s="8"/>
      <c r="K10" s="8"/>
      <c r="L10" s="8"/>
      <c r="M10" s="8"/>
      <c r="N10" s="8"/>
      <c r="O10" s="7"/>
      <c r="P10" s="9"/>
      <c r="Q10" s="9"/>
      <c r="R10" s="9"/>
      <c r="S10" s="9"/>
      <c r="T10" s="9"/>
      <c r="U10" s="9"/>
      <c r="V10" s="9"/>
      <c r="W10" s="9"/>
      <c r="X10" s="9"/>
      <c r="Y10" s="9"/>
      <c r="Z10" s="9"/>
    </row>
    <row r="11" spans="1:26" ht="15.75" customHeight="1" x14ac:dyDescent="0.2">
      <c r="A11" s="7" t="s">
        <v>37</v>
      </c>
      <c r="B11" s="7" t="s">
        <v>38</v>
      </c>
      <c r="C11" s="7" t="s">
        <v>36</v>
      </c>
      <c r="D11" s="7"/>
      <c r="E11" s="7"/>
      <c r="F11" s="7"/>
      <c r="G11" s="7"/>
      <c r="H11" s="7"/>
      <c r="I11" s="8"/>
      <c r="J11" s="8"/>
      <c r="K11" s="8"/>
      <c r="L11" s="8"/>
      <c r="M11" s="8"/>
      <c r="N11" s="8"/>
      <c r="O11" s="7"/>
      <c r="P11" s="9"/>
      <c r="Q11" s="9"/>
      <c r="R11" s="9"/>
      <c r="S11" s="9"/>
      <c r="T11" s="9"/>
      <c r="U11" s="9"/>
      <c r="V11" s="9"/>
      <c r="W11" s="9"/>
      <c r="X11" s="9"/>
      <c r="Y11" s="9"/>
      <c r="Z11" s="9"/>
    </row>
    <row r="12" spans="1:26" ht="15.75" customHeight="1" x14ac:dyDescent="0.2">
      <c r="A12" s="7" t="s">
        <v>39</v>
      </c>
      <c r="B12" s="7" t="s">
        <v>40</v>
      </c>
      <c r="C12" s="7" t="s">
        <v>41</v>
      </c>
      <c r="D12" s="7"/>
      <c r="E12" s="7"/>
      <c r="F12" s="7"/>
      <c r="G12" s="7" t="s">
        <v>42</v>
      </c>
      <c r="H12" s="7"/>
      <c r="I12" s="8"/>
      <c r="J12" s="8"/>
      <c r="K12" s="8"/>
      <c r="L12" s="8"/>
      <c r="M12" s="8"/>
      <c r="N12" s="8"/>
      <c r="O12" s="7"/>
      <c r="P12" s="9"/>
      <c r="Q12" s="9"/>
      <c r="R12" s="9"/>
      <c r="S12" s="9"/>
      <c r="T12" s="9"/>
      <c r="U12" s="9"/>
      <c r="V12" s="9"/>
      <c r="W12" s="9"/>
      <c r="X12" s="9"/>
      <c r="Y12" s="9"/>
      <c r="Z12" s="9"/>
    </row>
    <row r="13" spans="1:26" ht="15.75" customHeight="1" x14ac:dyDescent="0.2">
      <c r="A13" s="7" t="s">
        <v>43</v>
      </c>
      <c r="B13" s="7" t="s">
        <v>44</v>
      </c>
      <c r="C13" s="7" t="s">
        <v>41</v>
      </c>
      <c r="D13" s="7"/>
      <c r="E13" s="7"/>
      <c r="F13" s="7">
        <v>254.1</v>
      </c>
      <c r="G13" s="7"/>
      <c r="H13" s="10" t="s">
        <v>45</v>
      </c>
      <c r="I13" s="8"/>
      <c r="J13" s="8"/>
      <c r="K13" s="8"/>
      <c r="L13" s="8"/>
      <c r="M13" s="8"/>
      <c r="N13" s="8"/>
      <c r="O13" s="7"/>
      <c r="P13" s="9"/>
      <c r="Q13" s="9"/>
      <c r="R13" s="9"/>
      <c r="S13" s="9"/>
      <c r="T13" s="9"/>
      <c r="U13" s="9"/>
      <c r="V13" s="9"/>
      <c r="W13" s="9"/>
      <c r="X13" s="9"/>
      <c r="Y13" s="9"/>
      <c r="Z13" s="9"/>
    </row>
    <row r="14" spans="1:26" ht="15.75" customHeight="1" x14ac:dyDescent="0.2">
      <c r="A14" s="7" t="s">
        <v>46</v>
      </c>
      <c r="B14" s="7" t="s">
        <v>47</v>
      </c>
      <c r="C14" s="7" t="s">
        <v>48</v>
      </c>
      <c r="D14" s="7"/>
      <c r="E14" s="7"/>
      <c r="F14" s="7"/>
      <c r="G14" s="7"/>
      <c r="H14" s="7"/>
      <c r="I14" s="8"/>
      <c r="J14" s="8"/>
      <c r="K14" s="8"/>
      <c r="L14" s="8"/>
      <c r="M14" s="8"/>
      <c r="N14" s="8"/>
      <c r="O14" s="7"/>
      <c r="P14" s="9"/>
      <c r="Q14" s="9"/>
      <c r="R14" s="9"/>
      <c r="S14" s="9"/>
      <c r="T14" s="9"/>
      <c r="U14" s="9"/>
      <c r="V14" s="9"/>
      <c r="W14" s="9"/>
      <c r="X14" s="9"/>
      <c r="Y14" s="9"/>
      <c r="Z14" s="9"/>
    </row>
    <row r="15" spans="1:26" ht="15.75" customHeight="1" x14ac:dyDescent="0.2">
      <c r="A15" s="7" t="s">
        <v>49</v>
      </c>
      <c r="B15" s="7" t="s">
        <v>50</v>
      </c>
      <c r="C15" s="7" t="s">
        <v>41</v>
      </c>
      <c r="D15" s="7"/>
      <c r="E15" s="7"/>
      <c r="F15" s="7"/>
      <c r="G15" s="7" t="s">
        <v>42</v>
      </c>
      <c r="H15" s="7"/>
      <c r="I15" s="8"/>
      <c r="J15" s="8"/>
      <c r="K15" s="8"/>
      <c r="L15" s="8"/>
      <c r="M15" s="8"/>
      <c r="N15" s="8"/>
      <c r="O15" s="7"/>
      <c r="P15" s="9"/>
      <c r="Q15" s="9"/>
      <c r="R15" s="9"/>
      <c r="S15" s="9"/>
      <c r="T15" s="9"/>
      <c r="U15" s="9"/>
      <c r="V15" s="9"/>
      <c r="W15" s="9"/>
      <c r="X15" s="9"/>
      <c r="Y15" s="9"/>
      <c r="Z15" s="9"/>
    </row>
    <row r="16" spans="1:26" ht="15.75" customHeight="1" x14ac:dyDescent="0.2">
      <c r="A16" s="7" t="s">
        <v>51</v>
      </c>
      <c r="B16" s="7" t="s">
        <v>52</v>
      </c>
      <c r="C16" s="7" t="s">
        <v>53</v>
      </c>
      <c r="D16" s="7"/>
      <c r="E16" s="7"/>
      <c r="F16" s="7"/>
      <c r="G16" s="7" t="s">
        <v>42</v>
      </c>
      <c r="H16" s="7"/>
      <c r="I16" s="8"/>
      <c r="J16" s="8"/>
      <c r="K16" s="8"/>
      <c r="L16" s="8"/>
      <c r="M16" s="8"/>
      <c r="N16" s="8"/>
      <c r="O16" s="7"/>
      <c r="P16" s="9"/>
      <c r="Q16" s="9"/>
      <c r="R16" s="9"/>
      <c r="S16" s="9"/>
      <c r="T16" s="9"/>
      <c r="U16" s="9"/>
      <c r="V16" s="9"/>
      <c r="W16" s="9"/>
      <c r="X16" s="9"/>
      <c r="Y16" s="9"/>
      <c r="Z16" s="9"/>
    </row>
    <row r="17" spans="1:26" ht="15.75" customHeight="1" x14ac:dyDescent="0.2">
      <c r="A17" s="7" t="s">
        <v>54</v>
      </c>
      <c r="B17" s="7" t="s">
        <v>55</v>
      </c>
      <c r="C17" s="7" t="s">
        <v>56</v>
      </c>
      <c r="D17" s="7"/>
      <c r="E17" s="7"/>
      <c r="F17" s="7"/>
      <c r="G17" s="7" t="s">
        <v>42</v>
      </c>
      <c r="H17" s="7"/>
      <c r="I17" s="8"/>
      <c r="J17" s="8"/>
      <c r="K17" s="8"/>
      <c r="L17" s="8"/>
      <c r="M17" s="8"/>
      <c r="N17" s="8"/>
      <c r="O17" s="7"/>
      <c r="P17" s="9"/>
      <c r="Q17" s="9"/>
      <c r="R17" s="9"/>
      <c r="S17" s="9"/>
      <c r="T17" s="9"/>
      <c r="U17" s="9"/>
      <c r="V17" s="9"/>
      <c r="W17" s="9"/>
      <c r="X17" s="9"/>
      <c r="Y17" s="9"/>
      <c r="Z17" s="9"/>
    </row>
    <row r="18" spans="1:26" ht="15.75" customHeight="1" x14ac:dyDescent="0.2">
      <c r="A18" s="7" t="s">
        <v>57</v>
      </c>
      <c r="B18" s="7" t="s">
        <v>58</v>
      </c>
      <c r="C18" s="7" t="s">
        <v>53</v>
      </c>
      <c r="D18" s="7"/>
      <c r="E18" s="7"/>
      <c r="F18" s="7"/>
      <c r="G18" s="7"/>
      <c r="H18" s="7"/>
      <c r="I18" s="8"/>
      <c r="J18" s="8"/>
      <c r="K18" s="8"/>
      <c r="L18" s="8"/>
      <c r="M18" s="8"/>
      <c r="N18" s="8"/>
      <c r="O18" s="7"/>
      <c r="P18" s="9"/>
      <c r="Q18" s="9"/>
      <c r="R18" s="9"/>
      <c r="S18" s="9"/>
      <c r="T18" s="9"/>
      <c r="U18" s="9"/>
      <c r="V18" s="9"/>
      <c r="W18" s="9"/>
      <c r="X18" s="9"/>
      <c r="Y18" s="9"/>
      <c r="Z18" s="9"/>
    </row>
    <row r="19" spans="1:26" ht="15.75" customHeight="1" x14ac:dyDescent="0.2">
      <c r="A19" s="7" t="s">
        <v>59</v>
      </c>
      <c r="B19" s="7" t="s">
        <v>60</v>
      </c>
      <c r="C19" s="7" t="s">
        <v>16</v>
      </c>
      <c r="D19" s="7"/>
      <c r="E19" s="7"/>
      <c r="F19" s="7"/>
      <c r="G19" s="7"/>
      <c r="H19" s="7"/>
      <c r="I19" s="8"/>
      <c r="J19" s="8"/>
      <c r="K19" s="8"/>
      <c r="L19" s="8"/>
      <c r="M19" s="8"/>
      <c r="N19" s="8"/>
      <c r="O19" s="7"/>
      <c r="P19" s="9"/>
      <c r="Q19" s="9"/>
      <c r="R19" s="9"/>
      <c r="S19" s="9"/>
      <c r="T19" s="9"/>
      <c r="U19" s="9"/>
      <c r="V19" s="9"/>
      <c r="W19" s="9"/>
      <c r="X19" s="9"/>
      <c r="Y19" s="9"/>
      <c r="Z19" s="9"/>
    </row>
    <row r="20" spans="1:26" ht="15.75" customHeight="1" x14ac:dyDescent="0.2">
      <c r="A20" s="7" t="s">
        <v>61</v>
      </c>
      <c r="B20" s="7" t="s">
        <v>62</v>
      </c>
      <c r="C20" s="7" t="s">
        <v>63</v>
      </c>
      <c r="D20" s="7"/>
      <c r="E20" s="7"/>
      <c r="F20" s="7"/>
      <c r="G20" s="7"/>
      <c r="H20" s="7"/>
      <c r="I20" s="8"/>
      <c r="J20" s="8"/>
      <c r="K20" s="8"/>
      <c r="L20" s="8"/>
      <c r="M20" s="8"/>
      <c r="N20" s="8"/>
      <c r="O20" s="7"/>
      <c r="P20" s="9"/>
      <c r="Q20" s="9"/>
      <c r="R20" s="9"/>
      <c r="S20" s="9"/>
      <c r="T20" s="9"/>
      <c r="U20" s="9"/>
      <c r="V20" s="9"/>
      <c r="W20" s="9"/>
      <c r="X20" s="9"/>
      <c r="Y20" s="9"/>
      <c r="Z20" s="9"/>
    </row>
    <row r="21" spans="1:26" ht="15.75" customHeight="1" x14ac:dyDescent="0.2">
      <c r="A21" s="7" t="s">
        <v>64</v>
      </c>
      <c r="B21" s="7" t="s">
        <v>65</v>
      </c>
      <c r="C21" s="7" t="s">
        <v>63</v>
      </c>
      <c r="D21" s="7"/>
      <c r="E21" s="7"/>
      <c r="F21" s="7"/>
      <c r="G21" s="7"/>
      <c r="H21" s="7"/>
      <c r="I21" s="8"/>
      <c r="J21" s="8"/>
      <c r="K21" s="8"/>
      <c r="L21" s="8"/>
      <c r="M21" s="8"/>
      <c r="N21" s="8"/>
      <c r="O21" s="7"/>
      <c r="P21" s="9"/>
      <c r="Q21" s="9"/>
      <c r="R21" s="9"/>
      <c r="S21" s="9"/>
      <c r="T21" s="9"/>
      <c r="U21" s="9"/>
      <c r="V21" s="9"/>
      <c r="W21" s="9"/>
      <c r="X21" s="9"/>
      <c r="Y21" s="9"/>
      <c r="Z21" s="9"/>
    </row>
    <row r="22" spans="1:26" ht="15.75" customHeight="1" x14ac:dyDescent="0.2">
      <c r="A22" s="7" t="s">
        <v>66</v>
      </c>
      <c r="B22" s="7" t="s">
        <v>67</v>
      </c>
      <c r="C22" s="7" t="s">
        <v>63</v>
      </c>
      <c r="D22" s="7"/>
      <c r="E22" s="7"/>
      <c r="F22" s="7"/>
      <c r="G22" s="7"/>
      <c r="H22" s="7"/>
      <c r="I22" s="8"/>
      <c r="J22" s="8"/>
      <c r="K22" s="8"/>
      <c r="L22" s="8"/>
      <c r="M22" s="8"/>
      <c r="N22" s="8"/>
      <c r="O22" s="7"/>
      <c r="P22" s="9"/>
      <c r="Q22" s="9"/>
      <c r="R22" s="9"/>
      <c r="S22" s="9"/>
      <c r="T22" s="9"/>
      <c r="U22" s="9"/>
      <c r="V22" s="9"/>
      <c r="W22" s="9"/>
      <c r="X22" s="9"/>
      <c r="Y22" s="9"/>
      <c r="Z22" s="9"/>
    </row>
    <row r="23" spans="1:26" ht="15.75" customHeight="1" x14ac:dyDescent="0.2">
      <c r="A23" s="7" t="s">
        <v>68</v>
      </c>
      <c r="B23" s="7" t="s">
        <v>69</v>
      </c>
      <c r="C23" s="7" t="s">
        <v>63</v>
      </c>
      <c r="D23" s="7"/>
      <c r="E23" s="7"/>
      <c r="F23" s="7"/>
      <c r="G23" s="7"/>
      <c r="H23" s="7"/>
      <c r="I23" s="8"/>
      <c r="J23" s="8"/>
      <c r="K23" s="8"/>
      <c r="L23" s="8"/>
      <c r="M23" s="8"/>
      <c r="N23" s="8"/>
      <c r="O23" s="7"/>
      <c r="P23" s="9"/>
      <c r="Q23" s="9"/>
      <c r="R23" s="9"/>
      <c r="S23" s="9"/>
      <c r="T23" s="9"/>
      <c r="U23" s="9"/>
      <c r="V23" s="9"/>
      <c r="W23" s="9"/>
      <c r="X23" s="9"/>
      <c r="Y23" s="9"/>
      <c r="Z23" s="9"/>
    </row>
    <row r="24" spans="1:26" ht="15.75" customHeight="1" x14ac:dyDescent="0.2">
      <c r="A24" s="7" t="s">
        <v>70</v>
      </c>
      <c r="B24" s="7" t="s">
        <v>71</v>
      </c>
      <c r="C24" s="7" t="s">
        <v>63</v>
      </c>
      <c r="D24" s="7"/>
      <c r="E24" s="7"/>
      <c r="F24" s="7"/>
      <c r="G24" s="7"/>
      <c r="H24" s="7"/>
      <c r="I24" s="8"/>
      <c r="J24" s="8"/>
      <c r="K24" s="8"/>
      <c r="L24" s="8"/>
      <c r="M24" s="8"/>
      <c r="N24" s="8"/>
      <c r="O24" s="7"/>
      <c r="P24" s="9"/>
      <c r="Q24" s="9"/>
      <c r="R24" s="9"/>
      <c r="S24" s="9"/>
      <c r="T24" s="9"/>
      <c r="U24" s="9"/>
      <c r="V24" s="9"/>
      <c r="W24" s="9"/>
      <c r="X24" s="9"/>
      <c r="Y24" s="9"/>
      <c r="Z24" s="9"/>
    </row>
    <row r="25" spans="1:26" ht="15.75" customHeight="1" x14ac:dyDescent="0.2">
      <c r="A25" s="7" t="s">
        <v>72</v>
      </c>
      <c r="B25" s="7" t="s">
        <v>73</v>
      </c>
      <c r="C25" s="7" t="s">
        <v>74</v>
      </c>
      <c r="D25" s="7"/>
      <c r="E25" s="7"/>
      <c r="F25" s="7"/>
      <c r="G25" s="7"/>
      <c r="H25" s="7"/>
      <c r="I25" s="8"/>
      <c r="J25" s="8"/>
      <c r="K25" s="8"/>
      <c r="L25" s="8"/>
      <c r="M25" s="8"/>
      <c r="N25" s="8"/>
      <c r="O25" s="7"/>
      <c r="P25" s="9"/>
      <c r="Q25" s="9"/>
      <c r="R25" s="9"/>
      <c r="S25" s="9"/>
      <c r="T25" s="9"/>
      <c r="U25" s="9"/>
      <c r="V25" s="9"/>
      <c r="W25" s="9"/>
      <c r="X25" s="9"/>
      <c r="Y25" s="9"/>
      <c r="Z25" s="9"/>
    </row>
    <row r="26" spans="1:26" ht="15.75" customHeight="1" x14ac:dyDescent="0.2">
      <c r="A26" s="7" t="s">
        <v>75</v>
      </c>
      <c r="B26" s="7" t="s">
        <v>76</v>
      </c>
      <c r="C26" s="7" t="s">
        <v>63</v>
      </c>
      <c r="D26" s="7"/>
      <c r="E26" s="7"/>
      <c r="F26" s="7"/>
      <c r="G26" s="7"/>
      <c r="H26" s="7"/>
      <c r="I26" s="8"/>
      <c r="J26" s="8"/>
      <c r="K26" s="8"/>
      <c r="L26" s="8"/>
      <c r="M26" s="8"/>
      <c r="N26" s="8"/>
      <c r="O26" s="7"/>
      <c r="P26" s="9"/>
      <c r="Q26" s="9"/>
      <c r="R26" s="9"/>
      <c r="S26" s="9"/>
      <c r="T26" s="9"/>
      <c r="U26" s="9"/>
      <c r="V26" s="9"/>
      <c r="W26" s="9"/>
      <c r="X26" s="9"/>
      <c r="Y26" s="9"/>
      <c r="Z26" s="9"/>
    </row>
    <row r="27" spans="1:26" ht="15.75" customHeight="1" x14ac:dyDescent="0.2">
      <c r="A27" s="7" t="s">
        <v>77</v>
      </c>
      <c r="B27" s="7" t="s">
        <v>78</v>
      </c>
      <c r="C27" s="7" t="s">
        <v>63</v>
      </c>
      <c r="D27" s="7"/>
      <c r="E27" s="7"/>
      <c r="F27" s="7"/>
      <c r="G27" s="7"/>
      <c r="H27" s="7"/>
      <c r="I27" s="8"/>
      <c r="J27" s="8"/>
      <c r="K27" s="8"/>
      <c r="L27" s="8"/>
      <c r="M27" s="8"/>
      <c r="N27" s="8"/>
      <c r="O27" s="7"/>
      <c r="P27" s="9"/>
      <c r="Q27" s="9"/>
      <c r="R27" s="9"/>
      <c r="S27" s="9"/>
      <c r="T27" s="9"/>
      <c r="U27" s="9"/>
      <c r="V27" s="9"/>
      <c r="W27" s="9"/>
      <c r="X27" s="9"/>
      <c r="Y27" s="9"/>
      <c r="Z27" s="9"/>
    </row>
    <row r="28" spans="1:26" ht="15.75" customHeight="1" x14ac:dyDescent="0.2">
      <c r="A28" s="7" t="s">
        <v>79</v>
      </c>
      <c r="B28" s="7" t="s">
        <v>80</v>
      </c>
      <c r="C28" s="7" t="s">
        <v>63</v>
      </c>
      <c r="D28" s="7"/>
      <c r="E28" s="7"/>
      <c r="F28" s="7"/>
      <c r="G28" s="7"/>
      <c r="H28" s="7"/>
      <c r="I28" s="8"/>
      <c r="J28" s="8"/>
      <c r="K28" s="8"/>
      <c r="L28" s="8"/>
      <c r="M28" s="8"/>
      <c r="N28" s="8"/>
      <c r="O28" s="7"/>
      <c r="P28" s="9"/>
      <c r="Q28" s="9"/>
      <c r="R28" s="9"/>
      <c r="S28" s="9"/>
      <c r="T28" s="9"/>
      <c r="U28" s="9"/>
      <c r="V28" s="9"/>
      <c r="W28" s="9"/>
      <c r="X28" s="9"/>
      <c r="Y28" s="9"/>
      <c r="Z28" s="9"/>
    </row>
    <row r="29" spans="1:26" ht="15.75" customHeight="1" x14ac:dyDescent="0.2">
      <c r="A29" s="7" t="s">
        <v>81</v>
      </c>
      <c r="B29" s="7" t="s">
        <v>82</v>
      </c>
      <c r="C29" s="7" t="s">
        <v>63</v>
      </c>
      <c r="D29" s="7"/>
      <c r="E29" s="7"/>
      <c r="F29" s="7"/>
      <c r="G29" s="7"/>
      <c r="H29" s="7"/>
      <c r="I29" s="8"/>
      <c r="J29" s="8"/>
      <c r="K29" s="8"/>
      <c r="L29" s="8"/>
      <c r="M29" s="8"/>
      <c r="N29" s="8"/>
      <c r="O29" s="7"/>
      <c r="P29" s="9"/>
      <c r="Q29" s="9"/>
      <c r="R29" s="9"/>
      <c r="S29" s="9"/>
      <c r="T29" s="9"/>
      <c r="U29" s="9"/>
      <c r="V29" s="9"/>
      <c r="W29" s="9"/>
      <c r="X29" s="9"/>
      <c r="Y29" s="9"/>
      <c r="Z29" s="9"/>
    </row>
    <row r="30" spans="1:26" ht="15.75" customHeight="1" x14ac:dyDescent="0.2">
      <c r="A30" s="7" t="s">
        <v>83</v>
      </c>
      <c r="B30" s="7" t="s">
        <v>84</v>
      </c>
      <c r="C30" s="7" t="s">
        <v>63</v>
      </c>
      <c r="D30" s="7"/>
      <c r="E30" s="7"/>
      <c r="F30" s="7"/>
      <c r="G30" s="7"/>
      <c r="H30" s="7"/>
      <c r="I30" s="8"/>
      <c r="J30" s="8"/>
      <c r="K30" s="8"/>
      <c r="L30" s="8"/>
      <c r="M30" s="8"/>
      <c r="N30" s="8"/>
      <c r="O30" s="7"/>
      <c r="P30" s="9"/>
      <c r="Q30" s="9"/>
      <c r="R30" s="9"/>
      <c r="S30" s="9"/>
      <c r="T30" s="9"/>
      <c r="U30" s="9"/>
      <c r="V30" s="9"/>
      <c r="W30" s="9"/>
      <c r="X30" s="9"/>
      <c r="Y30" s="9"/>
      <c r="Z30" s="9"/>
    </row>
    <row r="31" spans="1:26" ht="15.75" customHeight="1" x14ac:dyDescent="0.2">
      <c r="A31" s="7" t="s">
        <v>85</v>
      </c>
      <c r="B31" s="7" t="s">
        <v>86</v>
      </c>
      <c r="C31" s="7" t="s">
        <v>63</v>
      </c>
      <c r="D31" s="7"/>
      <c r="E31" s="7"/>
      <c r="F31" s="7"/>
      <c r="G31" s="7"/>
      <c r="H31" s="7"/>
      <c r="I31" s="8"/>
      <c r="J31" s="8"/>
      <c r="K31" s="8"/>
      <c r="L31" s="8"/>
      <c r="M31" s="8"/>
      <c r="N31" s="8"/>
      <c r="O31" s="7"/>
      <c r="P31" s="9"/>
      <c r="Q31" s="9"/>
      <c r="R31" s="9"/>
      <c r="S31" s="9"/>
      <c r="T31" s="9"/>
      <c r="U31" s="9"/>
      <c r="V31" s="9"/>
      <c r="W31" s="9"/>
      <c r="X31" s="9"/>
      <c r="Y31" s="9"/>
      <c r="Z31" s="9"/>
    </row>
    <row r="32" spans="1:26" ht="15.75" customHeight="1" x14ac:dyDescent="0.2">
      <c r="A32" s="7" t="s">
        <v>87</v>
      </c>
      <c r="B32" s="7" t="s">
        <v>88</v>
      </c>
      <c r="C32" s="7" t="s">
        <v>63</v>
      </c>
      <c r="D32" s="7"/>
      <c r="E32" s="7"/>
      <c r="F32" s="7"/>
      <c r="G32" s="7"/>
      <c r="H32" s="7"/>
      <c r="I32" s="8"/>
      <c r="J32" s="8"/>
      <c r="K32" s="8"/>
      <c r="L32" s="8"/>
      <c r="M32" s="8"/>
      <c r="N32" s="8"/>
      <c r="O32" s="7"/>
      <c r="P32" s="9"/>
      <c r="Q32" s="9"/>
      <c r="R32" s="9"/>
      <c r="S32" s="9"/>
      <c r="T32" s="9"/>
      <c r="U32" s="9"/>
      <c r="V32" s="9"/>
      <c r="W32" s="9"/>
      <c r="X32" s="9"/>
      <c r="Y32" s="9"/>
      <c r="Z32" s="9"/>
    </row>
    <row r="33" spans="1:26" ht="15.75" customHeight="1" x14ac:dyDescent="0.2">
      <c r="A33" s="7" t="s">
        <v>89</v>
      </c>
      <c r="B33" s="7" t="s">
        <v>90</v>
      </c>
      <c r="C33" s="7" t="s">
        <v>63</v>
      </c>
      <c r="D33" s="7"/>
      <c r="E33" s="7"/>
      <c r="F33" s="7"/>
      <c r="G33" s="7"/>
      <c r="H33" s="7"/>
      <c r="I33" s="8"/>
      <c r="J33" s="8"/>
      <c r="K33" s="8"/>
      <c r="L33" s="8"/>
      <c r="M33" s="8"/>
      <c r="N33" s="8"/>
      <c r="O33" s="7"/>
      <c r="P33" s="9"/>
      <c r="Q33" s="9"/>
      <c r="R33" s="9"/>
      <c r="S33" s="9"/>
      <c r="T33" s="9"/>
      <c r="U33" s="9"/>
      <c r="V33" s="9"/>
      <c r="W33" s="9"/>
      <c r="X33" s="9"/>
      <c r="Y33" s="9"/>
      <c r="Z33" s="9"/>
    </row>
    <row r="34" spans="1:26" ht="15.75" customHeight="1" x14ac:dyDescent="0.2">
      <c r="A34" s="7" t="s">
        <v>91</v>
      </c>
      <c r="B34" s="7" t="s">
        <v>92</v>
      </c>
      <c r="C34" s="7" t="s">
        <v>63</v>
      </c>
      <c r="D34" s="7"/>
      <c r="E34" s="7"/>
      <c r="F34" s="11"/>
      <c r="G34" s="7"/>
      <c r="H34" s="7"/>
      <c r="I34" s="8"/>
      <c r="J34" s="8"/>
      <c r="K34" s="8"/>
      <c r="L34" s="8"/>
      <c r="M34" s="8"/>
      <c r="N34" s="8"/>
      <c r="O34" s="7"/>
      <c r="P34" s="9"/>
      <c r="Q34" s="9"/>
      <c r="R34" s="9"/>
      <c r="S34" s="9"/>
      <c r="T34" s="9"/>
      <c r="U34" s="9"/>
      <c r="V34" s="9"/>
      <c r="W34" s="9"/>
      <c r="X34" s="9"/>
      <c r="Y34" s="9"/>
      <c r="Z34" s="9"/>
    </row>
    <row r="35" spans="1:26" ht="15.75" customHeight="1" x14ac:dyDescent="0.2">
      <c r="A35" s="7" t="s">
        <v>93</v>
      </c>
      <c r="B35" s="7" t="s">
        <v>94</v>
      </c>
      <c r="C35" s="7" t="s">
        <v>95</v>
      </c>
      <c r="D35" s="7" t="s">
        <v>96</v>
      </c>
      <c r="E35" s="7" t="s">
        <v>97</v>
      </c>
      <c r="F35" s="7">
        <v>50</v>
      </c>
      <c r="G35" s="7"/>
      <c r="H35" s="7"/>
      <c r="I35" s="8"/>
      <c r="J35" s="8"/>
      <c r="K35" s="8"/>
      <c r="L35" s="8"/>
      <c r="M35" s="8"/>
      <c r="N35" s="8"/>
      <c r="O35" s="7"/>
      <c r="P35" s="9"/>
      <c r="Q35" s="9"/>
      <c r="R35" s="9"/>
      <c r="S35" s="9"/>
      <c r="T35" s="9"/>
      <c r="U35" s="9"/>
      <c r="V35" s="9"/>
      <c r="W35" s="9"/>
      <c r="X35" s="9"/>
      <c r="Y35" s="9"/>
      <c r="Z35" s="9"/>
    </row>
    <row r="36" spans="1:26" ht="15.75" customHeight="1" x14ac:dyDescent="0.2">
      <c r="A36" s="7" t="s">
        <v>98</v>
      </c>
      <c r="B36" s="7" t="s">
        <v>99</v>
      </c>
      <c r="C36" s="7" t="s">
        <v>95</v>
      </c>
      <c r="D36" s="7" t="s">
        <v>96</v>
      </c>
      <c r="E36" s="7" t="s">
        <v>97</v>
      </c>
      <c r="F36" s="7">
        <v>50</v>
      </c>
      <c r="G36" s="7"/>
      <c r="H36" s="7"/>
      <c r="I36" s="8"/>
      <c r="J36" s="8"/>
      <c r="K36" s="8"/>
      <c r="L36" s="8"/>
      <c r="M36" s="8"/>
      <c r="N36" s="8"/>
      <c r="O36" s="7"/>
      <c r="P36" s="9"/>
      <c r="Q36" s="9"/>
      <c r="R36" s="9"/>
      <c r="S36" s="9"/>
      <c r="T36" s="9"/>
      <c r="U36" s="9"/>
      <c r="V36" s="9"/>
      <c r="W36" s="9"/>
      <c r="X36" s="9"/>
      <c r="Y36" s="9"/>
      <c r="Z36" s="9"/>
    </row>
    <row r="37" spans="1:26" ht="15.75" customHeight="1" x14ac:dyDescent="0.2">
      <c r="A37" s="7" t="s">
        <v>100</v>
      </c>
      <c r="B37" s="7" t="s">
        <v>101</v>
      </c>
      <c r="C37" s="7" t="s">
        <v>102</v>
      </c>
      <c r="D37" s="7"/>
      <c r="E37" s="7"/>
      <c r="F37" s="10" t="s">
        <v>103</v>
      </c>
      <c r="G37" s="7" t="s">
        <v>42</v>
      </c>
      <c r="H37" s="7"/>
      <c r="I37" s="8"/>
      <c r="J37" s="8"/>
      <c r="K37" s="8"/>
      <c r="L37" s="8"/>
      <c r="M37" s="8"/>
      <c r="N37" s="8"/>
      <c r="O37" s="7"/>
      <c r="P37" s="9"/>
      <c r="Q37" s="9"/>
      <c r="R37" s="9"/>
      <c r="S37" s="9"/>
      <c r="T37" s="9"/>
      <c r="U37" s="9"/>
      <c r="V37" s="9"/>
      <c r="W37" s="9"/>
      <c r="X37" s="9"/>
      <c r="Y37" s="9"/>
      <c r="Z37" s="9"/>
    </row>
    <row r="38" spans="1:26" ht="15.75" customHeight="1" x14ac:dyDescent="0.2">
      <c r="A38" s="7" t="s">
        <v>104</v>
      </c>
      <c r="B38" s="7" t="s">
        <v>105</v>
      </c>
      <c r="C38" s="7" t="s">
        <v>16</v>
      </c>
      <c r="D38" s="7"/>
      <c r="E38" s="7"/>
      <c r="F38" s="7"/>
      <c r="G38" s="7"/>
      <c r="H38" s="7"/>
      <c r="I38" s="8"/>
      <c r="J38" s="8"/>
      <c r="K38" s="8"/>
      <c r="L38" s="8"/>
      <c r="M38" s="8"/>
      <c r="N38" s="8"/>
      <c r="O38" s="7"/>
      <c r="P38" s="9"/>
      <c r="Q38" s="9"/>
      <c r="R38" s="9"/>
      <c r="S38" s="9"/>
      <c r="T38" s="9"/>
      <c r="U38" s="9"/>
      <c r="V38" s="9"/>
      <c r="W38" s="9"/>
      <c r="X38" s="9"/>
      <c r="Y38" s="9"/>
      <c r="Z38" s="9"/>
    </row>
    <row r="39" spans="1:26" ht="15.75" customHeight="1" x14ac:dyDescent="0.2">
      <c r="A39" s="7" t="s">
        <v>106</v>
      </c>
      <c r="B39" s="7" t="s">
        <v>107</v>
      </c>
      <c r="C39" s="7" t="s">
        <v>108</v>
      </c>
      <c r="D39" s="7"/>
      <c r="E39" s="7"/>
      <c r="F39" s="7"/>
      <c r="G39" s="7"/>
      <c r="H39" s="7"/>
      <c r="I39" s="8"/>
      <c r="J39" s="8"/>
      <c r="K39" s="8"/>
      <c r="L39" s="8"/>
      <c r="M39" s="8"/>
      <c r="N39" s="8"/>
      <c r="O39" s="7"/>
      <c r="P39" s="9"/>
      <c r="Q39" s="9"/>
      <c r="R39" s="9"/>
      <c r="S39" s="9"/>
      <c r="T39" s="9"/>
      <c r="U39" s="9"/>
      <c r="V39" s="9"/>
      <c r="W39" s="9"/>
      <c r="X39" s="9"/>
      <c r="Y39" s="9"/>
      <c r="Z39" s="9"/>
    </row>
    <row r="40" spans="1:26" ht="15.75" customHeight="1" x14ac:dyDescent="0.2">
      <c r="A40" s="7" t="s">
        <v>109</v>
      </c>
      <c r="B40" s="7" t="s">
        <v>110</v>
      </c>
      <c r="C40" s="7" t="s">
        <v>108</v>
      </c>
      <c r="D40" s="7"/>
      <c r="E40" s="7"/>
      <c r="F40" s="7"/>
      <c r="G40" s="7"/>
      <c r="H40" s="7"/>
      <c r="I40" s="8"/>
      <c r="J40" s="8"/>
      <c r="K40" s="8"/>
      <c r="L40" s="8"/>
      <c r="M40" s="8"/>
      <c r="N40" s="8"/>
      <c r="O40" s="7"/>
      <c r="P40" s="9"/>
      <c r="Q40" s="9"/>
      <c r="R40" s="9"/>
      <c r="S40" s="9"/>
      <c r="T40" s="9"/>
      <c r="U40" s="9"/>
      <c r="V40" s="9"/>
      <c r="W40" s="9"/>
      <c r="X40" s="9"/>
      <c r="Y40" s="9"/>
      <c r="Z40" s="9"/>
    </row>
    <row r="41" spans="1:26" ht="15.75" customHeight="1" x14ac:dyDescent="0.2">
      <c r="A41" s="7" t="s">
        <v>111</v>
      </c>
      <c r="B41" s="7" t="s">
        <v>112</v>
      </c>
      <c r="C41" s="7"/>
      <c r="D41" s="7"/>
      <c r="E41" s="7"/>
      <c r="F41" s="7"/>
      <c r="G41" s="7"/>
      <c r="H41" s="7"/>
      <c r="I41" s="8"/>
      <c r="J41" s="8"/>
      <c r="K41" s="8"/>
      <c r="L41" s="8"/>
      <c r="M41" s="8"/>
      <c r="N41" s="8"/>
      <c r="O41" s="7"/>
      <c r="P41" s="9"/>
      <c r="Q41" s="9"/>
      <c r="R41" s="9"/>
      <c r="S41" s="9"/>
      <c r="T41" s="9"/>
      <c r="U41" s="9"/>
      <c r="V41" s="9"/>
      <c r="W41" s="9"/>
      <c r="X41" s="9"/>
      <c r="Y41" s="9"/>
      <c r="Z41" s="9"/>
    </row>
    <row r="42" spans="1:26" ht="15.75" customHeight="1" x14ac:dyDescent="0.2">
      <c r="A42" s="7" t="s">
        <v>113</v>
      </c>
      <c r="B42" s="7" t="s">
        <v>114</v>
      </c>
      <c r="C42" s="7"/>
      <c r="D42" s="7"/>
      <c r="E42" s="7"/>
      <c r="F42" s="7"/>
      <c r="G42" s="7"/>
      <c r="H42" s="7"/>
      <c r="I42" s="8"/>
      <c r="J42" s="8"/>
      <c r="K42" s="8"/>
      <c r="L42" s="8"/>
      <c r="M42" s="8"/>
      <c r="N42" s="8"/>
      <c r="O42" s="7"/>
      <c r="P42" s="9"/>
      <c r="Q42" s="9"/>
      <c r="R42" s="9"/>
      <c r="S42" s="9"/>
      <c r="T42" s="9"/>
      <c r="U42" s="9"/>
      <c r="V42" s="9"/>
      <c r="W42" s="9"/>
      <c r="X42" s="9"/>
      <c r="Y42" s="9"/>
      <c r="Z42" s="9"/>
    </row>
    <row r="43" spans="1:26" ht="15.75" customHeight="1" x14ac:dyDescent="0.2">
      <c r="A43" s="7" t="s">
        <v>115</v>
      </c>
      <c r="B43" s="7" t="s">
        <v>116</v>
      </c>
      <c r="C43" s="7" t="s">
        <v>16</v>
      </c>
      <c r="D43" s="10" t="s">
        <v>117</v>
      </c>
      <c r="E43" s="7" t="s">
        <v>118</v>
      </c>
      <c r="F43" s="7"/>
      <c r="G43" s="7"/>
      <c r="H43" s="7"/>
      <c r="I43" s="8"/>
      <c r="J43" s="8"/>
      <c r="K43" s="8"/>
      <c r="L43" s="8"/>
      <c r="M43" s="8"/>
      <c r="N43" s="8"/>
      <c r="O43" s="7"/>
      <c r="P43" s="9"/>
      <c r="Q43" s="9"/>
      <c r="R43" s="9"/>
      <c r="S43" s="9"/>
      <c r="T43" s="9"/>
      <c r="U43" s="9"/>
      <c r="V43" s="9"/>
      <c r="W43" s="9"/>
      <c r="X43" s="9"/>
      <c r="Y43" s="9"/>
      <c r="Z43" s="9"/>
    </row>
    <row r="44" spans="1:26" ht="15.75" customHeight="1" x14ac:dyDescent="0.2">
      <c r="A44" s="7" t="s">
        <v>119</v>
      </c>
      <c r="B44" s="7" t="s">
        <v>120</v>
      </c>
      <c r="C44" s="7" t="s">
        <v>121</v>
      </c>
      <c r="D44" s="7" t="s">
        <v>122</v>
      </c>
      <c r="E44" s="7" t="s">
        <v>123</v>
      </c>
      <c r="F44" s="7"/>
      <c r="G44" s="7"/>
      <c r="H44" s="7" t="s">
        <v>124</v>
      </c>
      <c r="I44" s="8"/>
      <c r="J44" s="8"/>
      <c r="K44" s="8"/>
      <c r="L44" s="8"/>
      <c r="M44" s="8"/>
      <c r="N44" s="8"/>
      <c r="O44" s="7"/>
      <c r="P44" s="9"/>
      <c r="Q44" s="9"/>
      <c r="R44" s="9"/>
      <c r="S44" s="9"/>
      <c r="T44" s="9"/>
      <c r="U44" s="9"/>
      <c r="V44" s="9"/>
      <c r="W44" s="9"/>
      <c r="X44" s="9"/>
      <c r="Y44" s="9"/>
      <c r="Z44" s="9"/>
    </row>
    <row r="45" spans="1:26" ht="15.75" customHeight="1" x14ac:dyDescent="0.2">
      <c r="A45" s="7" t="s">
        <v>125</v>
      </c>
      <c r="B45" s="7" t="s">
        <v>126</v>
      </c>
      <c r="C45" s="7" t="s">
        <v>121</v>
      </c>
      <c r="D45" s="7" t="s">
        <v>127</v>
      </c>
      <c r="E45" s="7" t="s">
        <v>118</v>
      </c>
      <c r="F45" s="7"/>
      <c r="G45" s="7" t="s">
        <v>42</v>
      </c>
      <c r="H45" s="7"/>
      <c r="I45" s="8"/>
      <c r="J45" s="8"/>
      <c r="K45" s="8"/>
      <c r="L45" s="8"/>
      <c r="M45" s="8"/>
      <c r="N45" s="8"/>
      <c r="O45" s="7"/>
      <c r="P45" s="9"/>
      <c r="Q45" s="9"/>
      <c r="R45" s="9"/>
      <c r="S45" s="9"/>
      <c r="T45" s="9"/>
      <c r="U45" s="9"/>
      <c r="V45" s="9"/>
      <c r="W45" s="9"/>
      <c r="X45" s="9"/>
      <c r="Y45" s="9"/>
      <c r="Z45" s="9"/>
    </row>
    <row r="46" spans="1:26" ht="15.75" customHeight="1" x14ac:dyDescent="0.2">
      <c r="A46" s="7" t="s">
        <v>128</v>
      </c>
      <c r="B46" s="7" t="s">
        <v>129</v>
      </c>
      <c r="C46" s="7" t="s">
        <v>130</v>
      </c>
      <c r="D46" s="7"/>
      <c r="E46" s="7" t="s">
        <v>131</v>
      </c>
      <c r="F46" s="7"/>
      <c r="G46" s="7"/>
      <c r="H46" s="7"/>
      <c r="I46" s="8"/>
      <c r="J46" s="8"/>
      <c r="K46" s="8"/>
      <c r="L46" s="8"/>
      <c r="M46" s="8"/>
      <c r="N46" s="8"/>
      <c r="O46" s="7"/>
      <c r="P46" s="9"/>
      <c r="Q46" s="9"/>
      <c r="R46" s="9"/>
      <c r="S46" s="9"/>
      <c r="T46" s="9"/>
      <c r="U46" s="9"/>
      <c r="V46" s="9"/>
      <c r="W46" s="9"/>
      <c r="X46" s="9"/>
      <c r="Y46" s="9"/>
      <c r="Z46" s="9"/>
    </row>
    <row r="47" spans="1:26" ht="15.75" customHeight="1" x14ac:dyDescent="0.2">
      <c r="A47" s="7" t="s">
        <v>132</v>
      </c>
      <c r="B47" s="7" t="s">
        <v>133</v>
      </c>
      <c r="C47" s="7" t="s">
        <v>134</v>
      </c>
      <c r="D47" s="7"/>
      <c r="E47" s="7" t="s">
        <v>135</v>
      </c>
      <c r="F47" s="7">
        <v>110</v>
      </c>
      <c r="G47" s="7" t="s">
        <v>42</v>
      </c>
      <c r="H47" s="7"/>
      <c r="I47" s="8"/>
      <c r="J47" s="8"/>
      <c r="K47" s="8"/>
      <c r="L47" s="8"/>
      <c r="M47" s="8"/>
      <c r="N47" s="8"/>
      <c r="O47" s="7"/>
      <c r="P47" s="9"/>
      <c r="Q47" s="9"/>
      <c r="R47" s="9"/>
      <c r="S47" s="9"/>
      <c r="T47" s="9"/>
      <c r="U47" s="9"/>
      <c r="V47" s="9"/>
      <c r="W47" s="9"/>
      <c r="X47" s="9"/>
      <c r="Y47" s="9"/>
      <c r="Z47" s="9"/>
    </row>
    <row r="48" spans="1:26" ht="15.75" customHeight="1" x14ac:dyDescent="0.2">
      <c r="A48" s="7" t="s">
        <v>136</v>
      </c>
      <c r="B48" s="7" t="s">
        <v>137</v>
      </c>
      <c r="C48" s="7" t="s">
        <v>134</v>
      </c>
      <c r="D48" s="7"/>
      <c r="E48" s="7"/>
      <c r="F48" s="7">
        <v>460</v>
      </c>
      <c r="G48" s="7" t="s">
        <v>42</v>
      </c>
      <c r="H48" s="7"/>
      <c r="I48" s="8"/>
      <c r="J48" s="8"/>
      <c r="K48" s="8"/>
      <c r="L48" s="8"/>
      <c r="M48" s="8"/>
      <c r="N48" s="8"/>
      <c r="O48" s="7"/>
      <c r="P48" s="9"/>
      <c r="Q48" s="9"/>
      <c r="R48" s="9"/>
      <c r="S48" s="9"/>
      <c r="T48" s="9"/>
      <c r="U48" s="9"/>
      <c r="V48" s="9"/>
      <c r="W48" s="9"/>
      <c r="X48" s="9"/>
      <c r="Y48" s="9"/>
      <c r="Z48" s="9"/>
    </row>
    <row r="49" spans="1:26" ht="15.75" customHeight="1" x14ac:dyDescent="0.2">
      <c r="A49" s="7" t="s">
        <v>138</v>
      </c>
      <c r="B49" s="7" t="s">
        <v>139</v>
      </c>
      <c r="C49" s="7" t="s">
        <v>121</v>
      </c>
      <c r="D49" s="7" t="s">
        <v>140</v>
      </c>
      <c r="E49" s="7" t="s">
        <v>141</v>
      </c>
      <c r="F49" s="7"/>
      <c r="G49" s="7"/>
      <c r="H49" s="7" t="s">
        <v>142</v>
      </c>
      <c r="I49" s="8"/>
      <c r="J49" s="8"/>
      <c r="K49" s="8"/>
      <c r="L49" s="8"/>
      <c r="M49" s="8"/>
      <c r="N49" s="8"/>
      <c r="O49" s="7"/>
      <c r="P49" s="9"/>
      <c r="Q49" s="9"/>
      <c r="R49" s="9"/>
      <c r="S49" s="9"/>
      <c r="T49" s="9"/>
      <c r="U49" s="9"/>
      <c r="V49" s="9"/>
      <c r="W49" s="9"/>
      <c r="X49" s="9"/>
      <c r="Y49" s="9"/>
      <c r="Z49" s="9"/>
    </row>
    <row r="50" spans="1:26" ht="15.75" customHeight="1" x14ac:dyDescent="0.2">
      <c r="A50" s="7" t="s">
        <v>143</v>
      </c>
      <c r="B50" s="7" t="s">
        <v>144</v>
      </c>
      <c r="C50" s="7" t="s">
        <v>145</v>
      </c>
      <c r="D50" s="7" t="s">
        <v>146</v>
      </c>
      <c r="E50" s="7" t="s">
        <v>147</v>
      </c>
      <c r="F50" s="7"/>
      <c r="G50" s="7" t="s">
        <v>42</v>
      </c>
      <c r="H50" s="7"/>
      <c r="I50" s="8"/>
      <c r="J50" s="8"/>
      <c r="K50" s="8"/>
      <c r="L50" s="8"/>
      <c r="M50" s="8"/>
      <c r="N50" s="8"/>
      <c r="O50" s="7"/>
      <c r="P50" s="9"/>
      <c r="Q50" s="9"/>
      <c r="R50" s="9"/>
      <c r="S50" s="9"/>
      <c r="T50" s="9"/>
      <c r="U50" s="9"/>
      <c r="V50" s="9"/>
      <c r="W50" s="9"/>
      <c r="X50" s="9"/>
      <c r="Y50" s="9"/>
      <c r="Z50" s="9"/>
    </row>
    <row r="51" spans="1:26" ht="15.75" customHeight="1" x14ac:dyDescent="0.2">
      <c r="A51" s="7" t="s">
        <v>148</v>
      </c>
      <c r="B51" s="7" t="s">
        <v>149</v>
      </c>
      <c r="C51" s="7" t="s">
        <v>121</v>
      </c>
      <c r="D51" s="7"/>
      <c r="E51" s="7" t="s">
        <v>52</v>
      </c>
      <c r="F51" s="7"/>
      <c r="G51" s="7"/>
      <c r="H51" s="7"/>
      <c r="I51" s="8"/>
      <c r="J51" s="8"/>
      <c r="K51" s="8"/>
      <c r="L51" s="8"/>
      <c r="M51" s="8"/>
      <c r="N51" s="8"/>
      <c r="O51" s="7"/>
      <c r="P51" s="9"/>
      <c r="Q51" s="9"/>
      <c r="R51" s="9"/>
      <c r="S51" s="9"/>
      <c r="T51" s="9"/>
      <c r="U51" s="9"/>
      <c r="V51" s="9"/>
      <c r="W51" s="9"/>
      <c r="X51" s="9"/>
      <c r="Y51" s="9"/>
      <c r="Z51" s="9"/>
    </row>
    <row r="52" spans="1:26" ht="15.75" customHeight="1" x14ac:dyDescent="0.2">
      <c r="A52" s="7" t="s">
        <v>150</v>
      </c>
      <c r="B52" s="7" t="s">
        <v>151</v>
      </c>
      <c r="C52" s="7" t="s">
        <v>121</v>
      </c>
      <c r="D52" s="7"/>
      <c r="E52" s="7" t="s">
        <v>152</v>
      </c>
      <c r="F52" s="7"/>
      <c r="G52" s="7"/>
      <c r="H52" s="7"/>
      <c r="I52" s="8"/>
      <c r="J52" s="8"/>
      <c r="K52" s="8"/>
      <c r="L52" s="8"/>
      <c r="M52" s="8"/>
      <c r="N52" s="8"/>
      <c r="O52" s="7"/>
      <c r="P52" s="9"/>
      <c r="Q52" s="9"/>
      <c r="R52" s="9"/>
      <c r="S52" s="9"/>
      <c r="T52" s="9"/>
      <c r="U52" s="9"/>
      <c r="V52" s="9"/>
      <c r="W52" s="9"/>
      <c r="X52" s="9"/>
      <c r="Y52" s="9"/>
      <c r="Z52" s="9"/>
    </row>
    <row r="53" spans="1:26" ht="15.75" customHeight="1" x14ac:dyDescent="0.2">
      <c r="A53" s="7" t="s">
        <v>153</v>
      </c>
      <c r="B53" s="7" t="s">
        <v>154</v>
      </c>
      <c r="C53" s="7" t="s">
        <v>155</v>
      </c>
      <c r="D53" s="7"/>
      <c r="E53" s="7" t="s">
        <v>52</v>
      </c>
      <c r="F53" s="7"/>
      <c r="G53" s="7"/>
      <c r="H53" s="7"/>
      <c r="I53" s="8"/>
      <c r="J53" s="8"/>
      <c r="K53" s="8"/>
      <c r="L53" s="8"/>
      <c r="M53" s="8"/>
      <c r="N53" s="8"/>
      <c r="O53" s="7"/>
      <c r="P53" s="9"/>
      <c r="Q53" s="9"/>
      <c r="R53" s="9"/>
      <c r="S53" s="9"/>
      <c r="T53" s="9"/>
      <c r="U53" s="9"/>
      <c r="V53" s="9"/>
      <c r="W53" s="9"/>
      <c r="X53" s="9"/>
      <c r="Y53" s="9"/>
      <c r="Z53" s="9"/>
    </row>
    <row r="54" spans="1:26" ht="15.75" customHeight="1" x14ac:dyDescent="0.2">
      <c r="A54" s="7" t="s">
        <v>156</v>
      </c>
      <c r="B54" s="7" t="s">
        <v>157</v>
      </c>
      <c r="C54" s="7" t="s">
        <v>158</v>
      </c>
      <c r="D54" s="7" t="s">
        <v>159</v>
      </c>
      <c r="E54" s="7" t="s">
        <v>160</v>
      </c>
      <c r="F54" s="7">
        <v>30.5</v>
      </c>
      <c r="G54" s="7"/>
      <c r="H54" s="7"/>
      <c r="I54" s="8"/>
      <c r="J54" s="8"/>
      <c r="K54" s="8"/>
      <c r="L54" s="8"/>
      <c r="M54" s="8"/>
      <c r="N54" s="8"/>
      <c r="O54" s="7"/>
      <c r="P54" s="9"/>
      <c r="Q54" s="9"/>
      <c r="R54" s="9"/>
      <c r="S54" s="9"/>
      <c r="T54" s="9"/>
      <c r="U54" s="9"/>
      <c r="V54" s="9"/>
      <c r="W54" s="9"/>
      <c r="X54" s="9"/>
      <c r="Y54" s="9"/>
      <c r="Z54" s="9"/>
    </row>
    <row r="55" spans="1:26" ht="15.75" customHeight="1" x14ac:dyDescent="0.2">
      <c r="A55" s="7" t="s">
        <v>161</v>
      </c>
      <c r="B55" s="7" t="s">
        <v>162</v>
      </c>
      <c r="C55" s="7" t="s">
        <v>163</v>
      </c>
      <c r="D55" s="7"/>
      <c r="E55" s="7" t="s">
        <v>131</v>
      </c>
      <c r="F55" s="7"/>
      <c r="G55" s="7"/>
      <c r="H55" s="7"/>
      <c r="I55" s="8"/>
      <c r="J55" s="8"/>
      <c r="K55" s="8"/>
      <c r="L55" s="8"/>
      <c r="M55" s="8"/>
      <c r="N55" s="8"/>
      <c r="O55" s="7"/>
      <c r="P55" s="9"/>
      <c r="Q55" s="9"/>
      <c r="R55" s="9"/>
      <c r="S55" s="9"/>
      <c r="T55" s="9"/>
      <c r="U55" s="9"/>
      <c r="V55" s="9"/>
      <c r="W55" s="9"/>
      <c r="X55" s="9"/>
      <c r="Y55" s="9"/>
      <c r="Z55" s="9"/>
    </row>
    <row r="56" spans="1:26" ht="15.75" customHeight="1" x14ac:dyDescent="0.2">
      <c r="A56" s="7" t="s">
        <v>164</v>
      </c>
      <c r="B56" s="7" t="s">
        <v>165</v>
      </c>
      <c r="C56" s="7" t="s">
        <v>163</v>
      </c>
      <c r="D56" s="7"/>
      <c r="E56" s="7" t="s">
        <v>131</v>
      </c>
      <c r="F56" s="7"/>
      <c r="G56" s="7"/>
      <c r="H56" s="7"/>
      <c r="I56" s="8"/>
      <c r="J56" s="8"/>
      <c r="K56" s="8"/>
      <c r="L56" s="8"/>
      <c r="M56" s="8"/>
      <c r="N56" s="8"/>
      <c r="O56" s="7"/>
      <c r="P56" s="9"/>
      <c r="Q56" s="9"/>
      <c r="R56" s="9"/>
      <c r="S56" s="9"/>
      <c r="T56" s="9"/>
      <c r="U56" s="9"/>
      <c r="V56" s="9"/>
      <c r="W56" s="9"/>
      <c r="X56" s="9"/>
      <c r="Y56" s="9"/>
      <c r="Z56" s="9"/>
    </row>
    <row r="57" spans="1:26" ht="15.75" customHeight="1" x14ac:dyDescent="0.2">
      <c r="A57" s="7" t="s">
        <v>166</v>
      </c>
      <c r="B57" s="7" t="s">
        <v>167</v>
      </c>
      <c r="C57" s="7" t="s">
        <v>163</v>
      </c>
      <c r="D57" s="7"/>
      <c r="E57" s="7" t="s">
        <v>131</v>
      </c>
      <c r="F57" s="7"/>
      <c r="G57" s="7"/>
      <c r="H57" s="7"/>
      <c r="I57" s="8"/>
      <c r="J57" s="8"/>
      <c r="K57" s="8"/>
      <c r="L57" s="8"/>
      <c r="M57" s="8"/>
      <c r="N57" s="8"/>
      <c r="O57" s="7"/>
      <c r="P57" s="9"/>
      <c r="Q57" s="9"/>
      <c r="R57" s="9"/>
      <c r="S57" s="9"/>
      <c r="T57" s="9"/>
      <c r="U57" s="9"/>
      <c r="V57" s="9"/>
      <c r="W57" s="9"/>
      <c r="X57" s="9"/>
      <c r="Y57" s="9"/>
      <c r="Z57" s="9"/>
    </row>
    <row r="58" spans="1:26" ht="15.75" customHeight="1" x14ac:dyDescent="0.2">
      <c r="A58" s="7" t="s">
        <v>168</v>
      </c>
      <c r="B58" s="7" t="s">
        <v>169</v>
      </c>
      <c r="C58" s="7" t="s">
        <v>170</v>
      </c>
      <c r="D58" s="7"/>
      <c r="E58" s="7" t="s">
        <v>171</v>
      </c>
      <c r="F58" s="7">
        <v>53.9</v>
      </c>
      <c r="G58" s="7"/>
      <c r="H58" s="7"/>
      <c r="I58" s="8"/>
      <c r="J58" s="8"/>
      <c r="K58" s="8"/>
      <c r="L58" s="8"/>
      <c r="M58" s="8"/>
      <c r="N58" s="8"/>
      <c r="O58" s="7"/>
      <c r="P58" s="9"/>
      <c r="Q58" s="9"/>
      <c r="R58" s="9"/>
      <c r="S58" s="9"/>
      <c r="T58" s="9"/>
      <c r="U58" s="9"/>
      <c r="V58" s="9"/>
      <c r="W58" s="9"/>
      <c r="X58" s="9"/>
      <c r="Y58" s="9"/>
      <c r="Z58" s="9"/>
    </row>
    <row r="59" spans="1:26" ht="15.75" customHeight="1" x14ac:dyDescent="0.2">
      <c r="A59" s="7" t="s">
        <v>172</v>
      </c>
      <c r="B59" s="7" t="s">
        <v>173</v>
      </c>
      <c r="C59" s="7" t="s">
        <v>170</v>
      </c>
      <c r="D59" s="7"/>
      <c r="E59" s="7" t="s">
        <v>171</v>
      </c>
      <c r="F59" s="7">
        <v>16</v>
      </c>
      <c r="G59" s="7"/>
      <c r="H59" s="7"/>
      <c r="I59" s="8"/>
      <c r="J59" s="8"/>
      <c r="K59" s="8"/>
      <c r="L59" s="8"/>
      <c r="M59" s="8"/>
      <c r="N59" s="8"/>
      <c r="O59" s="7"/>
      <c r="P59" s="9"/>
      <c r="Q59" s="9"/>
      <c r="R59" s="9"/>
      <c r="S59" s="9"/>
      <c r="T59" s="9"/>
      <c r="U59" s="9"/>
      <c r="V59" s="9"/>
      <c r="W59" s="9"/>
      <c r="X59" s="9"/>
      <c r="Y59" s="9"/>
      <c r="Z59" s="9"/>
    </row>
    <row r="60" spans="1:26" ht="15.75" customHeight="1" x14ac:dyDescent="0.2">
      <c r="A60" s="7" t="s">
        <v>174</v>
      </c>
      <c r="B60" s="7" t="s">
        <v>175</v>
      </c>
      <c r="C60" s="7" t="s">
        <v>170</v>
      </c>
      <c r="D60" s="7"/>
      <c r="E60" s="7" t="s">
        <v>131</v>
      </c>
      <c r="F60" s="7">
        <v>53.9</v>
      </c>
      <c r="G60" s="7"/>
      <c r="H60" s="7"/>
      <c r="I60" s="8"/>
      <c r="J60" s="8"/>
      <c r="K60" s="8"/>
      <c r="L60" s="8"/>
      <c r="M60" s="8"/>
      <c r="N60" s="8"/>
      <c r="O60" s="7"/>
      <c r="P60" s="9"/>
      <c r="Q60" s="9"/>
      <c r="R60" s="9"/>
      <c r="S60" s="9"/>
      <c r="T60" s="9"/>
      <c r="U60" s="9"/>
      <c r="V60" s="9"/>
      <c r="W60" s="9"/>
      <c r="X60" s="9"/>
      <c r="Y60" s="9"/>
      <c r="Z60" s="9"/>
    </row>
    <row r="61" spans="1:26" ht="15.75" customHeight="1" x14ac:dyDescent="0.2">
      <c r="A61" s="7" t="s">
        <v>176</v>
      </c>
      <c r="B61" s="7" t="s">
        <v>177</v>
      </c>
      <c r="C61" s="7" t="s">
        <v>178</v>
      </c>
      <c r="D61" s="7"/>
      <c r="E61" s="7" t="s">
        <v>131</v>
      </c>
      <c r="F61" s="7"/>
      <c r="G61" s="7"/>
      <c r="H61" s="7"/>
      <c r="I61" s="8"/>
      <c r="J61" s="8"/>
      <c r="K61" s="8"/>
      <c r="L61" s="8"/>
      <c r="M61" s="8"/>
      <c r="N61" s="8"/>
      <c r="O61" s="7"/>
      <c r="P61" s="9"/>
      <c r="Q61" s="9"/>
      <c r="R61" s="9"/>
      <c r="S61" s="9"/>
      <c r="T61" s="9"/>
      <c r="U61" s="9"/>
      <c r="V61" s="9"/>
      <c r="W61" s="9"/>
      <c r="X61" s="9"/>
      <c r="Y61" s="9"/>
      <c r="Z61" s="9"/>
    </row>
    <row r="62" spans="1:26" ht="15.75" customHeight="1" x14ac:dyDescent="0.2">
      <c r="A62" s="7" t="s">
        <v>179</v>
      </c>
      <c r="B62" s="7" t="s">
        <v>180</v>
      </c>
      <c r="C62" s="7" t="s">
        <v>181</v>
      </c>
      <c r="D62" s="7"/>
      <c r="E62" s="7"/>
      <c r="F62" s="7"/>
      <c r="G62" s="7"/>
      <c r="H62" s="7"/>
      <c r="I62" s="8"/>
      <c r="J62" s="8"/>
      <c r="K62" s="8"/>
      <c r="L62" s="8"/>
      <c r="M62" s="8"/>
      <c r="N62" s="8"/>
      <c r="O62" s="7"/>
      <c r="P62" s="9"/>
      <c r="Q62" s="9"/>
      <c r="R62" s="9"/>
      <c r="S62" s="9"/>
      <c r="T62" s="9"/>
      <c r="U62" s="9"/>
      <c r="V62" s="9"/>
      <c r="W62" s="9"/>
      <c r="X62" s="9"/>
      <c r="Y62" s="9"/>
      <c r="Z62" s="9"/>
    </row>
    <row r="63" spans="1:26" ht="15.75" customHeight="1" x14ac:dyDescent="0.2">
      <c r="A63" s="7" t="s">
        <v>182</v>
      </c>
      <c r="B63" s="7" t="s">
        <v>183</v>
      </c>
      <c r="C63" s="7" t="s">
        <v>184</v>
      </c>
      <c r="D63" s="12" t="s">
        <v>185</v>
      </c>
      <c r="E63" s="7" t="s">
        <v>186</v>
      </c>
      <c r="F63" s="7">
        <v>14.7</v>
      </c>
      <c r="G63" s="7"/>
      <c r="H63" s="7" t="s">
        <v>187</v>
      </c>
      <c r="I63" s="8"/>
      <c r="J63" s="8"/>
      <c r="K63" s="8"/>
      <c r="L63" s="8"/>
      <c r="M63" s="8"/>
      <c r="N63" s="8"/>
      <c r="O63" s="7"/>
      <c r="P63" s="9"/>
      <c r="Q63" s="9"/>
      <c r="R63" s="9"/>
      <c r="S63" s="9"/>
      <c r="T63" s="9"/>
      <c r="U63" s="9"/>
      <c r="V63" s="9"/>
      <c r="W63" s="9"/>
      <c r="X63" s="9"/>
      <c r="Y63" s="9"/>
      <c r="Z63" s="9"/>
    </row>
    <row r="64" spans="1:26" ht="15.75" customHeight="1" x14ac:dyDescent="0.2">
      <c r="A64" s="7" t="s">
        <v>188</v>
      </c>
      <c r="B64" s="7" t="s">
        <v>189</v>
      </c>
      <c r="C64" s="7" t="s">
        <v>184</v>
      </c>
      <c r="D64" s="12" t="s">
        <v>190</v>
      </c>
      <c r="E64" s="7"/>
      <c r="F64" s="7">
        <v>12.42</v>
      </c>
      <c r="G64" s="7"/>
      <c r="H64" s="7"/>
      <c r="I64" s="8"/>
      <c r="J64" s="8"/>
      <c r="K64" s="8"/>
      <c r="L64" s="8"/>
      <c r="M64" s="8"/>
      <c r="N64" s="8"/>
      <c r="O64" s="7"/>
      <c r="P64" s="9"/>
      <c r="Q64" s="9"/>
      <c r="R64" s="9"/>
      <c r="S64" s="9"/>
      <c r="T64" s="9"/>
      <c r="U64" s="9"/>
      <c r="V64" s="9"/>
      <c r="W64" s="9"/>
      <c r="X64" s="9"/>
      <c r="Y64" s="9"/>
      <c r="Z64" s="9"/>
    </row>
    <row r="65" spans="1:26" ht="15.75" customHeight="1" x14ac:dyDescent="0.2">
      <c r="A65" s="7" t="s">
        <v>191</v>
      </c>
      <c r="B65" s="7" t="s">
        <v>192</v>
      </c>
      <c r="C65" s="7" t="s">
        <v>184</v>
      </c>
      <c r="D65" s="12" t="s">
        <v>193</v>
      </c>
      <c r="E65" s="7" t="s">
        <v>194</v>
      </c>
      <c r="F65" s="7">
        <v>16</v>
      </c>
      <c r="G65" s="7"/>
      <c r="H65" s="7"/>
      <c r="I65" s="8"/>
      <c r="J65" s="8"/>
      <c r="K65" s="8"/>
      <c r="L65" s="8"/>
      <c r="M65" s="8"/>
      <c r="N65" s="8"/>
      <c r="O65" s="7"/>
      <c r="P65" s="9"/>
      <c r="Q65" s="9"/>
      <c r="R65" s="9"/>
      <c r="S65" s="9"/>
      <c r="T65" s="9"/>
      <c r="U65" s="9"/>
      <c r="V65" s="9"/>
      <c r="W65" s="9"/>
      <c r="X65" s="9"/>
      <c r="Y65" s="9"/>
      <c r="Z65" s="9"/>
    </row>
    <row r="66" spans="1:26" ht="15.75" customHeight="1" x14ac:dyDescent="0.2">
      <c r="A66" s="7" t="s">
        <v>195</v>
      </c>
      <c r="B66" s="7" t="s">
        <v>196</v>
      </c>
      <c r="C66" s="7" t="s">
        <v>184</v>
      </c>
      <c r="D66" s="12" t="s">
        <v>197</v>
      </c>
      <c r="E66" s="7" t="s">
        <v>131</v>
      </c>
      <c r="F66" s="7">
        <v>28.71</v>
      </c>
      <c r="G66" s="7"/>
      <c r="H66" s="7"/>
      <c r="I66" s="8"/>
      <c r="J66" s="8"/>
      <c r="K66" s="8"/>
      <c r="L66" s="8"/>
      <c r="M66" s="8"/>
      <c r="N66" s="8"/>
      <c r="O66" s="7"/>
      <c r="P66" s="9"/>
      <c r="Q66" s="9"/>
      <c r="R66" s="9"/>
      <c r="S66" s="9"/>
      <c r="T66" s="9"/>
      <c r="U66" s="9"/>
      <c r="V66" s="9"/>
      <c r="W66" s="9"/>
      <c r="X66" s="9"/>
      <c r="Y66" s="9"/>
      <c r="Z66" s="9"/>
    </row>
    <row r="67" spans="1:26" ht="15.75" customHeight="1" x14ac:dyDescent="0.2">
      <c r="A67" s="7" t="s">
        <v>198</v>
      </c>
      <c r="B67" s="7" t="s">
        <v>199</v>
      </c>
      <c r="C67" s="7" t="s">
        <v>184</v>
      </c>
      <c r="D67" s="12" t="s">
        <v>200</v>
      </c>
      <c r="E67" s="7" t="s">
        <v>131</v>
      </c>
      <c r="F67" s="7">
        <v>32.130000000000003</v>
      </c>
      <c r="G67" s="7"/>
      <c r="H67" s="7"/>
      <c r="I67" s="8"/>
      <c r="J67" s="8"/>
      <c r="K67" s="8"/>
      <c r="L67" s="8"/>
      <c r="M67" s="8"/>
      <c r="N67" s="8"/>
      <c r="O67" s="7"/>
      <c r="P67" s="9"/>
      <c r="Q67" s="9"/>
      <c r="R67" s="9"/>
      <c r="S67" s="9"/>
      <c r="T67" s="9"/>
      <c r="U67" s="9"/>
      <c r="V67" s="9"/>
      <c r="W67" s="9"/>
      <c r="X67" s="9"/>
      <c r="Y67" s="9"/>
      <c r="Z67" s="9"/>
    </row>
    <row r="68" spans="1:26" ht="15.75" customHeight="1" x14ac:dyDescent="0.2">
      <c r="A68" s="7" t="s">
        <v>201</v>
      </c>
      <c r="B68" s="7" t="s">
        <v>202</v>
      </c>
      <c r="C68" s="7" t="s">
        <v>184</v>
      </c>
      <c r="D68" s="12" t="s">
        <v>203</v>
      </c>
      <c r="E68" s="7" t="s">
        <v>131</v>
      </c>
      <c r="F68" s="7">
        <v>45.15</v>
      </c>
      <c r="G68" s="7"/>
      <c r="H68" s="7"/>
      <c r="I68" s="8"/>
      <c r="J68" s="8"/>
      <c r="K68" s="8"/>
      <c r="L68" s="8"/>
      <c r="M68" s="8"/>
      <c r="N68" s="8"/>
      <c r="O68" s="7"/>
      <c r="P68" s="9"/>
      <c r="Q68" s="9"/>
      <c r="R68" s="9"/>
      <c r="S68" s="9"/>
      <c r="T68" s="9"/>
      <c r="U68" s="9"/>
      <c r="V68" s="9"/>
      <c r="W68" s="9"/>
      <c r="X68" s="9"/>
      <c r="Y68" s="9"/>
      <c r="Z68" s="9"/>
    </row>
    <row r="69" spans="1:26" ht="15.75" customHeight="1" x14ac:dyDescent="0.2">
      <c r="A69" s="7" t="s">
        <v>204</v>
      </c>
      <c r="B69" s="7" t="s">
        <v>205</v>
      </c>
      <c r="C69" s="7" t="s">
        <v>184</v>
      </c>
      <c r="D69" s="12" t="s">
        <v>203</v>
      </c>
      <c r="E69" s="7" t="s">
        <v>131</v>
      </c>
      <c r="F69" s="7">
        <v>45.15</v>
      </c>
      <c r="G69" s="7"/>
      <c r="H69" s="7"/>
      <c r="I69" s="8"/>
      <c r="J69" s="8"/>
      <c r="K69" s="8"/>
      <c r="L69" s="8"/>
      <c r="M69" s="8"/>
      <c r="N69" s="8"/>
      <c r="O69" s="7"/>
      <c r="P69" s="9"/>
      <c r="Q69" s="9"/>
      <c r="R69" s="9"/>
      <c r="S69" s="9"/>
      <c r="T69" s="9"/>
      <c r="U69" s="9"/>
      <c r="V69" s="9"/>
      <c r="W69" s="9"/>
      <c r="X69" s="9"/>
      <c r="Y69" s="9"/>
      <c r="Z69" s="9"/>
    </row>
    <row r="70" spans="1:26" ht="15.75" customHeight="1" x14ac:dyDescent="0.2">
      <c r="A70" s="7" t="s">
        <v>206</v>
      </c>
      <c r="B70" s="7" t="s">
        <v>207</v>
      </c>
      <c r="C70" s="7" t="s">
        <v>184</v>
      </c>
      <c r="D70" s="12" t="s">
        <v>208</v>
      </c>
      <c r="E70" s="7" t="s">
        <v>209</v>
      </c>
      <c r="F70" s="7">
        <v>1417.5</v>
      </c>
      <c r="G70" s="7"/>
      <c r="H70" s="7"/>
      <c r="I70" s="8"/>
      <c r="J70" s="8"/>
      <c r="K70" s="8"/>
      <c r="L70" s="8"/>
      <c r="M70" s="8"/>
      <c r="N70" s="8"/>
      <c r="O70" s="7"/>
      <c r="P70" s="9"/>
      <c r="Q70" s="9"/>
      <c r="R70" s="9"/>
      <c r="S70" s="9"/>
      <c r="T70" s="9"/>
      <c r="U70" s="9"/>
      <c r="V70" s="9"/>
      <c r="W70" s="9"/>
      <c r="X70" s="9"/>
      <c r="Y70" s="9"/>
      <c r="Z70" s="9"/>
    </row>
    <row r="71" spans="1:26" ht="15.75" customHeight="1" x14ac:dyDescent="0.2">
      <c r="A71" s="7" t="s">
        <v>210</v>
      </c>
      <c r="B71" s="7" t="s">
        <v>211</v>
      </c>
      <c r="C71" s="7" t="s">
        <v>163</v>
      </c>
      <c r="D71" s="12"/>
      <c r="E71" s="7"/>
      <c r="F71" s="7"/>
      <c r="G71" s="7"/>
      <c r="H71" s="7"/>
      <c r="I71" s="8"/>
      <c r="J71" s="8"/>
      <c r="K71" s="8"/>
      <c r="L71" s="8"/>
      <c r="M71" s="8"/>
      <c r="N71" s="8"/>
      <c r="O71" s="7"/>
      <c r="P71" s="9"/>
      <c r="Q71" s="9"/>
      <c r="R71" s="9"/>
      <c r="S71" s="9"/>
      <c r="T71" s="9"/>
      <c r="U71" s="9"/>
      <c r="V71" s="9"/>
      <c r="W71" s="9"/>
      <c r="X71" s="9"/>
      <c r="Y71" s="9"/>
      <c r="Z71" s="9"/>
    </row>
    <row r="72" spans="1:26" ht="15.75" customHeight="1" x14ac:dyDescent="0.2">
      <c r="A72" s="7" t="s">
        <v>212</v>
      </c>
      <c r="B72" s="7" t="s">
        <v>213</v>
      </c>
      <c r="C72" s="7" t="s">
        <v>214</v>
      </c>
      <c r="D72" s="12" t="s">
        <v>215</v>
      </c>
      <c r="E72" s="7"/>
      <c r="F72" s="7">
        <v>7.12</v>
      </c>
      <c r="G72" s="7"/>
      <c r="H72" s="7"/>
      <c r="I72" s="8"/>
      <c r="J72" s="8"/>
      <c r="K72" s="8"/>
      <c r="L72" s="8"/>
      <c r="M72" s="8"/>
      <c r="N72" s="8"/>
      <c r="O72" s="7"/>
      <c r="P72" s="9"/>
      <c r="Q72" s="9"/>
      <c r="R72" s="9"/>
      <c r="S72" s="9"/>
      <c r="T72" s="9"/>
      <c r="U72" s="9"/>
      <c r="V72" s="9"/>
      <c r="W72" s="9"/>
      <c r="X72" s="9"/>
      <c r="Y72" s="9"/>
      <c r="Z72" s="9"/>
    </row>
    <row r="73" spans="1:26" ht="15.75" customHeight="1" x14ac:dyDescent="0.2">
      <c r="A73" s="7" t="s">
        <v>216</v>
      </c>
      <c r="B73" s="7" t="s">
        <v>217</v>
      </c>
      <c r="C73" s="7" t="s">
        <v>214</v>
      </c>
      <c r="D73" s="12" t="s">
        <v>218</v>
      </c>
      <c r="E73" s="7"/>
      <c r="F73" s="7"/>
      <c r="G73" s="7"/>
      <c r="H73" s="7"/>
      <c r="I73" s="8"/>
      <c r="J73" s="8"/>
      <c r="K73" s="8"/>
      <c r="L73" s="8"/>
      <c r="M73" s="8"/>
      <c r="N73" s="8"/>
      <c r="O73" s="7"/>
      <c r="P73" s="9"/>
      <c r="Q73" s="9"/>
      <c r="R73" s="9"/>
      <c r="S73" s="9"/>
      <c r="T73" s="9"/>
      <c r="U73" s="9"/>
      <c r="V73" s="9"/>
      <c r="W73" s="9"/>
      <c r="X73" s="9"/>
      <c r="Y73" s="9"/>
      <c r="Z73" s="9"/>
    </row>
    <row r="74" spans="1:26" ht="15.75" customHeight="1" x14ac:dyDescent="0.2">
      <c r="A74" s="7" t="s">
        <v>219</v>
      </c>
      <c r="B74" s="7" t="s">
        <v>220</v>
      </c>
      <c r="C74" s="7" t="s">
        <v>214</v>
      </c>
      <c r="D74" s="12" t="s">
        <v>221</v>
      </c>
      <c r="E74" s="7"/>
      <c r="F74" s="7"/>
      <c r="G74" s="7"/>
      <c r="H74" s="7"/>
      <c r="I74" s="8"/>
      <c r="J74" s="8"/>
      <c r="K74" s="8"/>
      <c r="L74" s="8"/>
      <c r="M74" s="8"/>
      <c r="N74" s="8"/>
      <c r="O74" s="7"/>
      <c r="P74" s="9"/>
      <c r="Q74" s="9"/>
      <c r="R74" s="9"/>
      <c r="S74" s="9"/>
      <c r="T74" s="9"/>
      <c r="U74" s="9"/>
      <c r="V74" s="9"/>
      <c r="W74" s="9"/>
      <c r="X74" s="9"/>
      <c r="Y74" s="9"/>
      <c r="Z74" s="9"/>
    </row>
    <row r="75" spans="1:26" ht="15.75" customHeight="1" x14ac:dyDescent="0.2">
      <c r="A75" s="7" t="s">
        <v>222</v>
      </c>
      <c r="B75" s="7" t="s">
        <v>223</v>
      </c>
      <c r="C75" s="7" t="s">
        <v>214</v>
      </c>
      <c r="D75" s="12" t="s">
        <v>224</v>
      </c>
      <c r="E75" s="7"/>
      <c r="F75" s="7">
        <v>6.16</v>
      </c>
      <c r="G75" s="7"/>
      <c r="H75" s="7"/>
      <c r="I75" s="8"/>
      <c r="J75" s="8"/>
      <c r="K75" s="8"/>
      <c r="L75" s="8"/>
      <c r="M75" s="8"/>
      <c r="N75" s="8"/>
      <c r="O75" s="7"/>
      <c r="P75" s="9"/>
      <c r="Q75" s="9"/>
      <c r="R75" s="9"/>
      <c r="S75" s="9"/>
      <c r="T75" s="9"/>
      <c r="U75" s="9"/>
      <c r="V75" s="9"/>
      <c r="W75" s="9"/>
      <c r="X75" s="9"/>
      <c r="Y75" s="9"/>
      <c r="Z75" s="9"/>
    </row>
    <row r="76" spans="1:26" ht="15.75" customHeight="1" x14ac:dyDescent="0.2">
      <c r="A76" s="7" t="s">
        <v>225</v>
      </c>
      <c r="B76" s="7" t="s">
        <v>226</v>
      </c>
      <c r="C76" s="7" t="s">
        <v>227</v>
      </c>
      <c r="D76" s="12" t="s">
        <v>228</v>
      </c>
      <c r="E76" s="7"/>
      <c r="F76" s="7">
        <v>1392</v>
      </c>
      <c r="G76" s="7"/>
      <c r="H76" s="7"/>
      <c r="I76" s="8">
        <v>0</v>
      </c>
      <c r="J76" s="8">
        <v>0</v>
      </c>
      <c r="K76" s="8">
        <v>99.8</v>
      </c>
      <c r="L76" s="8">
        <v>0</v>
      </c>
      <c r="M76" s="8"/>
      <c r="N76" s="8"/>
      <c r="O76" s="7"/>
      <c r="P76" s="9"/>
      <c r="Q76" s="9"/>
      <c r="R76" s="9"/>
      <c r="S76" s="9"/>
      <c r="T76" s="9"/>
      <c r="U76" s="9"/>
      <c r="V76" s="9"/>
      <c r="W76" s="9"/>
      <c r="X76" s="9"/>
      <c r="Y76" s="9"/>
      <c r="Z76" s="9"/>
    </row>
    <row r="77" spans="1:26" ht="15.75" customHeight="1" x14ac:dyDescent="0.2">
      <c r="A77" s="7" t="s">
        <v>229</v>
      </c>
      <c r="B77" s="7" t="s">
        <v>230</v>
      </c>
      <c r="C77" s="7" t="s">
        <v>158</v>
      </c>
      <c r="D77" s="12" t="s">
        <v>231</v>
      </c>
      <c r="E77" s="7" t="s">
        <v>131</v>
      </c>
      <c r="F77" s="7"/>
      <c r="G77" s="7"/>
      <c r="H77" s="7"/>
      <c r="I77" s="8"/>
      <c r="J77" s="8"/>
      <c r="K77" s="8"/>
      <c r="L77" s="8"/>
      <c r="M77" s="8"/>
      <c r="N77" s="8"/>
      <c r="O77" s="7"/>
      <c r="P77" s="9"/>
      <c r="Q77" s="9"/>
      <c r="R77" s="9"/>
      <c r="S77" s="9"/>
      <c r="T77" s="9"/>
      <c r="U77" s="9"/>
      <c r="V77" s="9"/>
      <c r="W77" s="9"/>
      <c r="X77" s="9"/>
      <c r="Y77" s="9"/>
      <c r="Z77" s="9"/>
    </row>
    <row r="78" spans="1:26" ht="15.75" customHeight="1" x14ac:dyDescent="0.2">
      <c r="A78" s="7" t="s">
        <v>232</v>
      </c>
      <c r="B78" s="7" t="s">
        <v>233</v>
      </c>
      <c r="C78" s="7" t="s">
        <v>158</v>
      </c>
      <c r="D78" s="12" t="s">
        <v>234</v>
      </c>
      <c r="E78" s="7" t="s">
        <v>131</v>
      </c>
      <c r="F78" s="7"/>
      <c r="G78" s="7" t="s">
        <v>42</v>
      </c>
      <c r="H78" s="7"/>
      <c r="I78" s="8"/>
      <c r="J78" s="8"/>
      <c r="K78" s="8"/>
      <c r="L78" s="8"/>
      <c r="M78" s="8"/>
      <c r="N78" s="8"/>
      <c r="O78" s="7"/>
      <c r="P78" s="9"/>
      <c r="Q78" s="9"/>
      <c r="R78" s="9"/>
      <c r="S78" s="9"/>
      <c r="T78" s="9"/>
      <c r="U78" s="9"/>
      <c r="V78" s="9"/>
      <c r="W78" s="9"/>
      <c r="X78" s="9"/>
      <c r="Y78" s="9"/>
      <c r="Z78" s="9"/>
    </row>
    <row r="79" spans="1:26" ht="15.75" customHeight="1" x14ac:dyDescent="0.2">
      <c r="A79" s="7" t="s">
        <v>235</v>
      </c>
      <c r="B79" s="7" t="s">
        <v>236</v>
      </c>
      <c r="C79" s="7" t="s">
        <v>158</v>
      </c>
      <c r="D79" s="12" t="s">
        <v>234</v>
      </c>
      <c r="E79" s="7" t="s">
        <v>131</v>
      </c>
      <c r="F79" s="7"/>
      <c r="G79" s="7" t="s">
        <v>42</v>
      </c>
      <c r="H79" s="7"/>
      <c r="I79" s="8"/>
      <c r="J79" s="8"/>
      <c r="K79" s="8"/>
      <c r="L79" s="8"/>
      <c r="M79" s="8"/>
      <c r="N79" s="8"/>
      <c r="O79" s="7"/>
      <c r="P79" s="9"/>
      <c r="Q79" s="9"/>
      <c r="R79" s="9"/>
      <c r="S79" s="9"/>
      <c r="T79" s="9"/>
      <c r="U79" s="9"/>
      <c r="V79" s="9"/>
      <c r="W79" s="9"/>
      <c r="X79" s="9"/>
      <c r="Y79" s="9"/>
      <c r="Z79" s="9"/>
    </row>
    <row r="80" spans="1:26" ht="15.75" customHeight="1" x14ac:dyDescent="0.2">
      <c r="A80" s="7" t="s">
        <v>237</v>
      </c>
      <c r="B80" s="7" t="s">
        <v>238</v>
      </c>
      <c r="C80" s="7" t="s">
        <v>158</v>
      </c>
      <c r="D80" s="12" t="s">
        <v>234</v>
      </c>
      <c r="E80" s="7" t="s">
        <v>131</v>
      </c>
      <c r="F80" s="7"/>
      <c r="G80" s="7" t="s">
        <v>42</v>
      </c>
      <c r="H80" s="7"/>
      <c r="I80" s="8"/>
      <c r="J80" s="8"/>
      <c r="K80" s="8"/>
      <c r="L80" s="8"/>
      <c r="M80" s="8"/>
      <c r="N80" s="8"/>
      <c r="O80" s="7"/>
      <c r="P80" s="9"/>
      <c r="Q80" s="9"/>
      <c r="R80" s="9"/>
      <c r="S80" s="9"/>
      <c r="T80" s="9"/>
      <c r="U80" s="9"/>
      <c r="V80" s="9"/>
      <c r="W80" s="9"/>
      <c r="X80" s="9"/>
      <c r="Y80" s="9"/>
      <c r="Z80" s="9"/>
    </row>
    <row r="81" spans="1:26" ht="15.75" customHeight="1" x14ac:dyDescent="0.2">
      <c r="A81" s="7" t="s">
        <v>239</v>
      </c>
      <c r="B81" s="7" t="s">
        <v>240</v>
      </c>
      <c r="C81" s="7" t="s">
        <v>241</v>
      </c>
      <c r="D81" s="13" t="s">
        <v>242</v>
      </c>
      <c r="E81" s="7" t="s">
        <v>243</v>
      </c>
      <c r="F81" s="7">
        <v>131.22999999999999</v>
      </c>
      <c r="G81" s="7"/>
      <c r="H81" s="10" t="s">
        <v>244</v>
      </c>
      <c r="I81" s="8"/>
      <c r="J81" s="8"/>
      <c r="K81" s="8"/>
      <c r="L81" s="8"/>
      <c r="M81" s="8"/>
      <c r="N81" s="8"/>
      <c r="O81" s="7"/>
      <c r="P81" s="9"/>
      <c r="Q81" s="9"/>
      <c r="R81" s="9"/>
      <c r="S81" s="9"/>
      <c r="T81" s="9"/>
      <c r="U81" s="9"/>
      <c r="V81" s="9"/>
      <c r="W81" s="9"/>
      <c r="X81" s="9"/>
      <c r="Y81" s="9"/>
      <c r="Z81" s="9"/>
    </row>
    <row r="82" spans="1:26" ht="15.75" customHeight="1" x14ac:dyDescent="0.25">
      <c r="A82" s="7" t="s">
        <v>245</v>
      </c>
      <c r="B82" s="7" t="s">
        <v>246</v>
      </c>
      <c r="C82" s="7" t="s">
        <v>247</v>
      </c>
      <c r="D82" s="14"/>
      <c r="E82" s="7"/>
      <c r="F82" s="7"/>
      <c r="G82" s="7"/>
      <c r="H82" s="10"/>
      <c r="I82" s="8"/>
      <c r="J82" s="8"/>
      <c r="K82" s="8"/>
      <c r="L82" s="8"/>
      <c r="M82" s="8"/>
      <c r="N82" s="8"/>
      <c r="O82" s="7"/>
      <c r="P82" s="9"/>
      <c r="Q82" s="9"/>
      <c r="R82" s="9"/>
      <c r="S82" s="9"/>
      <c r="T82" s="9"/>
      <c r="U82" s="9"/>
      <c r="V82" s="9"/>
      <c r="W82" s="9"/>
      <c r="X82" s="9"/>
      <c r="Y82" s="9"/>
      <c r="Z82" s="9"/>
    </row>
    <row r="83" spans="1:26" ht="15.75" customHeight="1" x14ac:dyDescent="0.2">
      <c r="A83" s="7" t="s">
        <v>248</v>
      </c>
      <c r="B83" s="7" t="s">
        <v>249</v>
      </c>
      <c r="C83" s="7" t="s">
        <v>214</v>
      </c>
      <c r="D83" s="12" t="s">
        <v>250</v>
      </c>
      <c r="E83" s="7"/>
      <c r="F83" s="7"/>
      <c r="G83" s="7"/>
      <c r="H83" s="10"/>
      <c r="I83" s="8"/>
      <c r="J83" s="8"/>
      <c r="K83" s="8"/>
      <c r="L83" s="8"/>
      <c r="M83" s="8"/>
      <c r="N83" s="8"/>
      <c r="O83" s="7"/>
      <c r="P83" s="9"/>
      <c r="Q83" s="9"/>
      <c r="R83" s="9"/>
      <c r="S83" s="9"/>
      <c r="T83" s="9"/>
      <c r="U83" s="9"/>
      <c r="V83" s="9"/>
      <c r="W83" s="9"/>
      <c r="X83" s="9"/>
      <c r="Y83" s="9"/>
      <c r="Z83" s="9"/>
    </row>
    <row r="84" spans="1:26" ht="15.75" customHeight="1" x14ac:dyDescent="0.2">
      <c r="A84" s="7" t="s">
        <v>251</v>
      </c>
      <c r="B84" s="7" t="s">
        <v>252</v>
      </c>
      <c r="C84" s="7" t="s">
        <v>253</v>
      </c>
      <c r="D84" s="12" t="s">
        <v>254</v>
      </c>
      <c r="E84" s="7"/>
      <c r="F84" s="7"/>
      <c r="G84" s="7"/>
      <c r="H84" s="10"/>
      <c r="I84" s="8"/>
      <c r="J84" s="8"/>
      <c r="K84" s="8"/>
      <c r="L84" s="8"/>
      <c r="M84" s="8"/>
      <c r="N84" s="8"/>
      <c r="O84" s="7"/>
      <c r="P84" s="9"/>
      <c r="Q84" s="9"/>
      <c r="R84" s="9"/>
      <c r="S84" s="9"/>
      <c r="T84" s="9"/>
      <c r="U84" s="9"/>
      <c r="V84" s="9"/>
      <c r="W84" s="9"/>
      <c r="X84" s="9"/>
      <c r="Y84" s="9"/>
      <c r="Z84" s="9"/>
    </row>
    <row r="85" spans="1:26" ht="15.75" customHeight="1" x14ac:dyDescent="0.2">
      <c r="A85" s="7" t="s">
        <v>255</v>
      </c>
      <c r="B85" s="7" t="s">
        <v>256</v>
      </c>
      <c r="C85" s="7" t="s">
        <v>253</v>
      </c>
      <c r="D85" s="12" t="s">
        <v>257</v>
      </c>
      <c r="E85" s="7"/>
      <c r="F85" s="7"/>
      <c r="G85" s="7"/>
      <c r="H85" s="10"/>
      <c r="I85" s="8"/>
      <c r="J85" s="8"/>
      <c r="K85" s="8"/>
      <c r="L85" s="8"/>
      <c r="M85" s="8"/>
      <c r="N85" s="8"/>
      <c r="O85" s="7"/>
      <c r="P85" s="9"/>
      <c r="Q85" s="9"/>
      <c r="R85" s="9"/>
      <c r="S85" s="9"/>
      <c r="T85" s="9"/>
      <c r="U85" s="9"/>
      <c r="V85" s="9"/>
      <c r="W85" s="9"/>
      <c r="X85" s="9"/>
      <c r="Y85" s="9"/>
      <c r="Z85" s="9"/>
    </row>
    <row r="86" spans="1:26" ht="15.75" customHeight="1" x14ac:dyDescent="0.2">
      <c r="A86" s="7" t="s">
        <v>258</v>
      </c>
      <c r="B86" s="7" t="s">
        <v>259</v>
      </c>
      <c r="C86" s="7" t="s">
        <v>16</v>
      </c>
      <c r="D86" s="7" t="s">
        <v>260</v>
      </c>
      <c r="E86" s="7" t="s">
        <v>261</v>
      </c>
      <c r="F86" s="7"/>
      <c r="G86" s="7"/>
      <c r="H86" s="10" t="s">
        <v>262</v>
      </c>
      <c r="I86" s="8"/>
      <c r="J86" s="8"/>
      <c r="K86" s="8"/>
      <c r="L86" s="8"/>
      <c r="M86" s="8"/>
      <c r="N86" s="8"/>
      <c r="O86" s="7"/>
      <c r="P86" s="9"/>
      <c r="Q86" s="9"/>
      <c r="R86" s="9"/>
      <c r="S86" s="9"/>
      <c r="T86" s="9"/>
      <c r="U86" s="9"/>
      <c r="V86" s="9"/>
      <c r="W86" s="9"/>
      <c r="X86" s="9"/>
      <c r="Y86" s="9"/>
      <c r="Z86" s="9"/>
    </row>
    <row r="87" spans="1:26" ht="37.5" customHeight="1" x14ac:dyDescent="0.2">
      <c r="A87" s="7" t="s">
        <v>263</v>
      </c>
      <c r="B87" s="7" t="s">
        <v>264</v>
      </c>
      <c r="C87" s="7" t="s">
        <v>158</v>
      </c>
      <c r="D87" s="12" t="s">
        <v>257</v>
      </c>
      <c r="E87" s="7"/>
      <c r="F87" s="7"/>
      <c r="G87" s="7"/>
      <c r="H87" s="10"/>
      <c r="I87" s="8"/>
      <c r="J87" s="8"/>
      <c r="K87" s="8"/>
      <c r="L87" s="8"/>
      <c r="M87" s="8"/>
      <c r="N87" s="8"/>
      <c r="O87" s="7"/>
      <c r="P87" s="9"/>
      <c r="Q87" s="9"/>
      <c r="R87" s="9"/>
      <c r="S87" s="9"/>
      <c r="T87" s="9"/>
      <c r="U87" s="9"/>
      <c r="V87" s="9"/>
      <c r="W87" s="9"/>
      <c r="X87" s="9"/>
      <c r="Y87" s="9"/>
      <c r="Z87" s="9"/>
    </row>
    <row r="88" spans="1:26" ht="48.75" customHeight="1" x14ac:dyDescent="0.2">
      <c r="A88" s="7" t="s">
        <v>265</v>
      </c>
      <c r="B88" s="7" t="s">
        <v>266</v>
      </c>
      <c r="C88" s="7" t="s">
        <v>267</v>
      </c>
      <c r="D88" s="12" t="s">
        <v>268</v>
      </c>
      <c r="E88" s="7" t="s">
        <v>269</v>
      </c>
      <c r="F88" s="7"/>
      <c r="G88" s="7"/>
      <c r="H88" s="10" t="s">
        <v>270</v>
      </c>
      <c r="I88" s="8">
        <v>100</v>
      </c>
      <c r="J88" s="8">
        <v>0</v>
      </c>
      <c r="K88" s="8">
        <v>0</v>
      </c>
      <c r="L88" s="8">
        <v>0</v>
      </c>
      <c r="M88" s="8"/>
      <c r="N88" s="8"/>
      <c r="O88" s="7"/>
      <c r="P88" s="9"/>
      <c r="Q88" s="9"/>
      <c r="R88" s="9"/>
      <c r="S88" s="9"/>
      <c r="T88" s="9"/>
      <c r="U88" s="9"/>
      <c r="V88" s="9"/>
      <c r="W88" s="9"/>
      <c r="X88" s="9"/>
      <c r="Y88" s="9"/>
      <c r="Z88" s="9"/>
    </row>
    <row r="89" spans="1:26" ht="57.75" customHeight="1" x14ac:dyDescent="0.2">
      <c r="A89" s="7" t="s">
        <v>271</v>
      </c>
      <c r="B89" s="7" t="s">
        <v>272</v>
      </c>
      <c r="C89" s="7" t="s">
        <v>273</v>
      </c>
      <c r="D89" s="12" t="s">
        <v>274</v>
      </c>
      <c r="E89" s="10" t="s">
        <v>275</v>
      </c>
      <c r="F89" s="10">
        <v>213</v>
      </c>
      <c r="G89" s="7"/>
      <c r="H89" s="10" t="s">
        <v>276</v>
      </c>
      <c r="I89" s="8"/>
      <c r="J89" s="8"/>
      <c r="K89" s="8">
        <v>100</v>
      </c>
      <c r="L89" s="8"/>
      <c r="M89" s="8"/>
      <c r="N89" s="8"/>
      <c r="O89" s="7"/>
      <c r="P89" s="9"/>
      <c r="Q89" s="9"/>
      <c r="R89" s="9"/>
      <c r="S89" s="9"/>
      <c r="T89" s="9"/>
      <c r="U89" s="9"/>
      <c r="V89" s="9"/>
      <c r="W89" s="9"/>
      <c r="X89" s="9"/>
      <c r="Y89" s="9"/>
      <c r="Z89" s="9"/>
    </row>
    <row r="90" spans="1:26" ht="76.5" customHeight="1" x14ac:dyDescent="0.2">
      <c r="A90" s="7" t="s">
        <v>277</v>
      </c>
      <c r="B90" s="7" t="s">
        <v>278</v>
      </c>
      <c r="C90" s="7" t="s">
        <v>279</v>
      </c>
      <c r="D90" s="12" t="s">
        <v>280</v>
      </c>
      <c r="E90" s="10" t="s">
        <v>281</v>
      </c>
      <c r="F90" s="10">
        <v>304.10000000000002</v>
      </c>
      <c r="G90" s="7"/>
      <c r="H90" s="10" t="s">
        <v>282</v>
      </c>
      <c r="I90" s="8"/>
      <c r="J90" s="8"/>
      <c r="K90" s="8"/>
      <c r="L90" s="8"/>
      <c r="M90" s="8"/>
      <c r="N90" s="8"/>
      <c r="O90" s="7"/>
      <c r="P90" s="9"/>
      <c r="Q90" s="9"/>
      <c r="R90" s="9"/>
      <c r="S90" s="9"/>
      <c r="T90" s="9"/>
      <c r="U90" s="9"/>
      <c r="V90" s="9"/>
      <c r="W90" s="9"/>
      <c r="X90" s="9"/>
      <c r="Y90" s="9"/>
      <c r="Z90" s="9"/>
    </row>
    <row r="91" spans="1:26" ht="76.5" customHeight="1" x14ac:dyDescent="0.2">
      <c r="A91" s="7" t="s">
        <v>283</v>
      </c>
      <c r="B91" s="7" t="s">
        <v>284</v>
      </c>
      <c r="C91" s="7" t="s">
        <v>285</v>
      </c>
      <c r="D91" s="13" t="s">
        <v>286</v>
      </c>
      <c r="E91" s="10" t="s">
        <v>287</v>
      </c>
      <c r="F91" s="10">
        <v>699.9</v>
      </c>
      <c r="G91" s="7"/>
      <c r="H91" s="10" t="s">
        <v>288</v>
      </c>
      <c r="I91" s="8">
        <v>70</v>
      </c>
      <c r="J91" s="8"/>
      <c r="K91" s="8">
        <v>30</v>
      </c>
      <c r="L91" s="8"/>
      <c r="M91" s="8"/>
      <c r="N91" s="8"/>
      <c r="O91" s="7"/>
      <c r="P91" s="9"/>
      <c r="Q91" s="9"/>
      <c r="R91" s="9"/>
      <c r="S91" s="9"/>
      <c r="T91" s="9"/>
      <c r="U91" s="9"/>
      <c r="V91" s="9"/>
      <c r="W91" s="9"/>
      <c r="X91" s="9"/>
      <c r="Y91" s="9"/>
      <c r="Z91" s="9"/>
    </row>
    <row r="92" spans="1:26" ht="76.5" customHeight="1" x14ac:dyDescent="0.2">
      <c r="A92" s="7" t="s">
        <v>289</v>
      </c>
      <c r="B92" s="7" t="s">
        <v>290</v>
      </c>
      <c r="C92" s="7" t="s">
        <v>291</v>
      </c>
      <c r="D92" s="7" t="s">
        <v>292</v>
      </c>
      <c r="E92" s="10" t="s">
        <v>293</v>
      </c>
      <c r="F92" s="10"/>
      <c r="G92" s="7"/>
      <c r="H92" s="10"/>
      <c r="I92" s="8"/>
      <c r="J92" s="8"/>
      <c r="K92" s="8"/>
      <c r="L92" s="8"/>
      <c r="M92" s="8"/>
      <c r="N92" s="8"/>
      <c r="O92" s="7"/>
      <c r="P92" s="9"/>
      <c r="Q92" s="9"/>
      <c r="R92" s="9"/>
      <c r="S92" s="9"/>
      <c r="T92" s="9"/>
      <c r="U92" s="9"/>
      <c r="V92" s="9"/>
      <c r="W92" s="9"/>
      <c r="X92" s="9"/>
      <c r="Y92" s="9"/>
      <c r="Z92" s="9"/>
    </row>
    <row r="93" spans="1:26" ht="76.5" customHeight="1" x14ac:dyDescent="0.2">
      <c r="A93" s="7" t="s">
        <v>294</v>
      </c>
      <c r="B93" s="7" t="s">
        <v>295</v>
      </c>
      <c r="C93" s="7" t="s">
        <v>279</v>
      </c>
      <c r="D93" s="7" t="s">
        <v>296</v>
      </c>
      <c r="E93" s="10" t="s">
        <v>297</v>
      </c>
      <c r="F93" s="10"/>
      <c r="G93" s="7"/>
      <c r="H93" s="10" t="s">
        <v>298</v>
      </c>
      <c r="I93" s="8"/>
      <c r="J93" s="8"/>
      <c r="K93" s="8">
        <v>100</v>
      </c>
      <c r="L93" s="8"/>
      <c r="M93" s="8"/>
      <c r="N93" s="8"/>
      <c r="O93" s="7"/>
      <c r="P93" s="9"/>
      <c r="Q93" s="9"/>
      <c r="R93" s="9"/>
      <c r="S93" s="9"/>
      <c r="T93" s="9"/>
      <c r="U93" s="9"/>
      <c r="V93" s="9"/>
      <c r="W93" s="9"/>
      <c r="X93" s="9"/>
      <c r="Y93" s="9"/>
      <c r="Z93" s="9"/>
    </row>
    <row r="94" spans="1:26" ht="76.5" customHeight="1" x14ac:dyDescent="0.2">
      <c r="A94" s="7" t="s">
        <v>299</v>
      </c>
      <c r="B94" s="7" t="s">
        <v>300</v>
      </c>
      <c r="C94" s="7" t="s">
        <v>279</v>
      </c>
      <c r="D94" s="7" t="s">
        <v>301</v>
      </c>
      <c r="E94" s="10" t="s">
        <v>297</v>
      </c>
      <c r="F94" s="10">
        <v>1510</v>
      </c>
      <c r="G94" s="7"/>
      <c r="H94" s="10" t="s">
        <v>302</v>
      </c>
      <c r="I94" s="8"/>
      <c r="J94" s="8"/>
      <c r="K94" s="8">
        <v>100</v>
      </c>
      <c r="L94" s="8"/>
      <c r="M94" s="8"/>
      <c r="N94" s="8"/>
      <c r="O94" s="7"/>
      <c r="P94" s="9"/>
      <c r="Q94" s="9"/>
      <c r="R94" s="9"/>
      <c r="S94" s="9"/>
      <c r="T94" s="9"/>
      <c r="U94" s="9"/>
      <c r="V94" s="9"/>
      <c r="W94" s="9"/>
      <c r="X94" s="9"/>
      <c r="Y94" s="9"/>
      <c r="Z94" s="9"/>
    </row>
    <row r="95" spans="1:26" ht="28.5" customHeight="1" x14ac:dyDescent="0.2">
      <c r="A95" s="7" t="s">
        <v>303</v>
      </c>
      <c r="B95" s="7" t="s">
        <v>304</v>
      </c>
      <c r="C95" s="7" t="s">
        <v>279</v>
      </c>
      <c r="D95" s="7" t="s">
        <v>296</v>
      </c>
      <c r="E95" s="10" t="s">
        <v>297</v>
      </c>
      <c r="F95" s="10">
        <v>1920</v>
      </c>
      <c r="G95" s="7"/>
      <c r="H95" s="10" t="s">
        <v>305</v>
      </c>
      <c r="I95" s="8"/>
      <c r="J95" s="8"/>
      <c r="K95" s="8">
        <v>100</v>
      </c>
      <c r="L95" s="8"/>
      <c r="M95" s="8"/>
      <c r="N95" s="8"/>
      <c r="O95" s="7"/>
      <c r="P95" s="9"/>
      <c r="Q95" s="9"/>
      <c r="R95" s="9"/>
      <c r="S95" s="9"/>
      <c r="T95" s="9"/>
      <c r="U95" s="9"/>
      <c r="V95" s="9"/>
      <c r="W95" s="9"/>
      <c r="X95" s="9"/>
      <c r="Y95" s="9"/>
      <c r="Z95" s="9"/>
    </row>
    <row r="96" spans="1:26" ht="28.5" customHeight="1" x14ac:dyDescent="0.2">
      <c r="A96" s="7" t="s">
        <v>306</v>
      </c>
      <c r="B96" s="7" t="s">
        <v>307</v>
      </c>
      <c r="C96" s="7" t="s">
        <v>308</v>
      </c>
      <c r="D96" s="7" t="s">
        <v>309</v>
      </c>
      <c r="E96" s="10" t="s">
        <v>310</v>
      </c>
      <c r="F96" s="10">
        <v>17</v>
      </c>
      <c r="G96" s="7"/>
      <c r="H96" s="10" t="s">
        <v>311</v>
      </c>
      <c r="I96" s="8"/>
      <c r="J96" s="8"/>
      <c r="K96" s="8"/>
      <c r="L96" s="8"/>
      <c r="M96" s="8"/>
      <c r="N96" s="8"/>
      <c r="O96" s="7"/>
      <c r="P96" s="9"/>
      <c r="Q96" s="9"/>
      <c r="R96" s="9"/>
      <c r="S96" s="9"/>
      <c r="T96" s="9"/>
      <c r="U96" s="9"/>
      <c r="V96" s="9"/>
      <c r="W96" s="9"/>
      <c r="X96" s="9"/>
      <c r="Y96" s="9"/>
      <c r="Z96" s="9"/>
    </row>
    <row r="97" spans="1:26" ht="30.75" customHeight="1" x14ac:dyDescent="0.2">
      <c r="A97" s="7" t="s">
        <v>312</v>
      </c>
      <c r="B97" s="7" t="s">
        <v>313</v>
      </c>
      <c r="C97" s="7" t="s">
        <v>308</v>
      </c>
      <c r="D97" s="7" t="s">
        <v>309</v>
      </c>
      <c r="E97" s="10" t="s">
        <v>310</v>
      </c>
      <c r="F97" s="10">
        <v>18.5</v>
      </c>
      <c r="G97" s="7"/>
      <c r="H97" s="10" t="s">
        <v>311</v>
      </c>
      <c r="I97" s="8"/>
      <c r="J97" s="8"/>
      <c r="K97" s="8"/>
      <c r="L97" s="8"/>
      <c r="M97" s="8"/>
      <c r="N97" s="8"/>
      <c r="O97" s="7"/>
      <c r="P97" s="9"/>
      <c r="Q97" s="9"/>
      <c r="R97" s="9"/>
      <c r="S97" s="9"/>
      <c r="T97" s="9"/>
      <c r="U97" s="9"/>
      <c r="V97" s="9"/>
      <c r="W97" s="9"/>
      <c r="X97" s="9"/>
      <c r="Y97" s="9"/>
      <c r="Z97" s="9"/>
    </row>
    <row r="98" spans="1:26" ht="30.75" customHeight="1" x14ac:dyDescent="0.2">
      <c r="A98" s="7" t="s">
        <v>314</v>
      </c>
      <c r="B98" s="7" t="s">
        <v>315</v>
      </c>
      <c r="C98" s="7" t="s">
        <v>308</v>
      </c>
      <c r="D98" s="7" t="s">
        <v>309</v>
      </c>
      <c r="E98" s="10" t="s">
        <v>310</v>
      </c>
      <c r="F98" s="10">
        <v>18.5</v>
      </c>
      <c r="G98" s="7"/>
      <c r="H98" s="10" t="s">
        <v>311</v>
      </c>
      <c r="I98" s="8"/>
      <c r="J98" s="8"/>
      <c r="K98" s="8"/>
      <c r="L98" s="8"/>
      <c r="M98" s="8"/>
      <c r="N98" s="8"/>
      <c r="O98" s="7"/>
      <c r="P98" s="9"/>
      <c r="Q98" s="9"/>
      <c r="R98" s="9"/>
      <c r="S98" s="9"/>
      <c r="T98" s="9"/>
      <c r="U98" s="9"/>
      <c r="V98" s="9"/>
      <c r="W98" s="9"/>
      <c r="X98" s="9"/>
      <c r="Y98" s="9"/>
      <c r="Z98" s="9"/>
    </row>
    <row r="99" spans="1:26" ht="30.75" customHeight="1" x14ac:dyDescent="0.2">
      <c r="A99" s="7" t="s">
        <v>316</v>
      </c>
      <c r="B99" s="7" t="s">
        <v>317</v>
      </c>
      <c r="C99" s="7" t="s">
        <v>184</v>
      </c>
      <c r="D99" s="10" t="s">
        <v>318</v>
      </c>
      <c r="E99" s="10" t="s">
        <v>310</v>
      </c>
      <c r="F99" s="10">
        <v>51</v>
      </c>
      <c r="G99" s="7"/>
      <c r="H99" s="10"/>
      <c r="I99" s="8"/>
      <c r="J99" s="8"/>
      <c r="K99" s="8"/>
      <c r="L99" s="8"/>
      <c r="M99" s="8"/>
      <c r="N99" s="8"/>
      <c r="O99" s="7"/>
      <c r="P99" s="15"/>
      <c r="Q99" s="15"/>
      <c r="R99" s="15"/>
      <c r="S99" s="15"/>
      <c r="T99" s="15"/>
      <c r="U99" s="15"/>
      <c r="V99" s="15"/>
      <c r="W99" s="15"/>
      <c r="X99" s="15"/>
      <c r="Y99" s="15"/>
      <c r="Z99" s="15"/>
    </row>
    <row r="100" spans="1:26" ht="30.75" customHeight="1" x14ac:dyDescent="0.2">
      <c r="A100" s="7" t="s">
        <v>319</v>
      </c>
      <c r="B100" s="7" t="s">
        <v>320</v>
      </c>
      <c r="C100" s="7" t="s">
        <v>95</v>
      </c>
      <c r="D100" s="10" t="s">
        <v>320</v>
      </c>
      <c r="E100" s="10" t="s">
        <v>261</v>
      </c>
      <c r="F100" s="10"/>
      <c r="G100" s="7"/>
      <c r="H100" s="10"/>
      <c r="I100" s="8"/>
      <c r="J100" s="8"/>
      <c r="K100" s="8"/>
      <c r="L100" s="8"/>
      <c r="M100" s="8"/>
      <c r="N100" s="8"/>
      <c r="O100" s="7"/>
      <c r="P100" s="9"/>
      <c r="Q100" s="9"/>
      <c r="R100" s="9"/>
      <c r="S100" s="9"/>
      <c r="T100" s="9"/>
      <c r="U100" s="9"/>
      <c r="V100" s="9"/>
      <c r="W100" s="9"/>
      <c r="X100" s="9"/>
      <c r="Y100" s="9"/>
      <c r="Z100" s="9"/>
    </row>
    <row r="101" spans="1:26" ht="30.75" customHeight="1" x14ac:dyDescent="0.2">
      <c r="A101" s="7" t="s">
        <v>321</v>
      </c>
      <c r="B101" s="7" t="s">
        <v>322</v>
      </c>
      <c r="C101" s="7" t="s">
        <v>323</v>
      </c>
      <c r="D101" s="10"/>
      <c r="E101" s="10" t="s">
        <v>131</v>
      </c>
      <c r="F101" s="10"/>
      <c r="G101" s="7"/>
      <c r="H101" s="10" t="s">
        <v>324</v>
      </c>
      <c r="I101" s="8"/>
      <c r="J101" s="8"/>
      <c r="K101" s="8"/>
      <c r="L101" s="8"/>
      <c r="M101" s="8"/>
      <c r="N101" s="8"/>
      <c r="O101" s="7"/>
      <c r="P101" s="9"/>
      <c r="Q101" s="9"/>
      <c r="R101" s="9"/>
      <c r="S101" s="9"/>
      <c r="T101" s="9"/>
      <c r="U101" s="9"/>
      <c r="V101" s="9"/>
      <c r="W101" s="9"/>
      <c r="X101" s="9"/>
      <c r="Y101" s="9"/>
      <c r="Z101" s="9"/>
    </row>
    <row r="102" spans="1:26" ht="30.75" customHeight="1" x14ac:dyDescent="0.2">
      <c r="A102" s="7" t="s">
        <v>325</v>
      </c>
      <c r="B102" s="7" t="s">
        <v>326</v>
      </c>
      <c r="C102" s="7" t="s">
        <v>53</v>
      </c>
      <c r="D102" s="10"/>
      <c r="E102" s="10" t="s">
        <v>131</v>
      </c>
      <c r="F102" s="10"/>
      <c r="G102" s="7"/>
      <c r="H102" s="10"/>
      <c r="I102" s="8"/>
      <c r="J102" s="8"/>
      <c r="K102" s="8"/>
      <c r="L102" s="8"/>
      <c r="M102" s="8"/>
      <c r="N102" s="8"/>
      <c r="O102" s="7"/>
      <c r="P102" s="9"/>
      <c r="Q102" s="9"/>
      <c r="R102" s="9"/>
      <c r="S102" s="9"/>
      <c r="T102" s="9"/>
      <c r="U102" s="9"/>
      <c r="V102" s="9"/>
      <c r="W102" s="9"/>
      <c r="X102" s="9"/>
      <c r="Y102" s="9"/>
      <c r="Z102" s="9"/>
    </row>
    <row r="103" spans="1:26" ht="30.75" customHeight="1" x14ac:dyDescent="0.2">
      <c r="A103" s="7" t="s">
        <v>327</v>
      </c>
      <c r="B103" s="7" t="s">
        <v>328</v>
      </c>
      <c r="C103" s="7" t="s">
        <v>329</v>
      </c>
      <c r="D103" s="10" t="s">
        <v>330</v>
      </c>
      <c r="E103" s="10" t="s">
        <v>331</v>
      </c>
      <c r="F103" s="10"/>
      <c r="G103" s="7"/>
      <c r="H103" s="10"/>
      <c r="I103" s="8"/>
      <c r="J103" s="8"/>
      <c r="K103" s="8"/>
      <c r="L103" s="8"/>
      <c r="M103" s="8"/>
      <c r="N103" s="8"/>
      <c r="O103" s="7"/>
      <c r="P103" s="9"/>
      <c r="Q103" s="9"/>
      <c r="R103" s="9"/>
      <c r="S103" s="9"/>
      <c r="T103" s="9"/>
      <c r="U103" s="9"/>
      <c r="V103" s="9"/>
      <c r="W103" s="9"/>
      <c r="X103" s="9"/>
      <c r="Y103" s="9"/>
      <c r="Z103" s="9"/>
    </row>
    <row r="104" spans="1:26" ht="15.75" customHeight="1" x14ac:dyDescent="0.2">
      <c r="A104" s="7" t="s">
        <v>332</v>
      </c>
      <c r="B104" s="7" t="s">
        <v>333</v>
      </c>
      <c r="C104" s="7" t="s">
        <v>334</v>
      </c>
      <c r="D104" s="10" t="s">
        <v>335</v>
      </c>
      <c r="E104" s="10" t="s">
        <v>261</v>
      </c>
      <c r="F104" s="10">
        <v>330</v>
      </c>
      <c r="G104" s="7"/>
      <c r="H104" s="10" t="s">
        <v>336</v>
      </c>
      <c r="I104" s="8"/>
      <c r="J104" s="8"/>
      <c r="K104" s="8"/>
      <c r="L104" s="8"/>
      <c r="M104" s="8"/>
      <c r="N104" s="8"/>
      <c r="O104" s="7"/>
      <c r="P104" s="9"/>
      <c r="Q104" s="9"/>
      <c r="R104" s="9"/>
      <c r="S104" s="9"/>
      <c r="T104" s="9"/>
      <c r="U104" s="9"/>
      <c r="V104" s="9"/>
      <c r="W104" s="9"/>
      <c r="X104" s="9"/>
      <c r="Y104" s="9"/>
      <c r="Z104" s="9"/>
    </row>
    <row r="105" spans="1:26" ht="15.75" customHeight="1" x14ac:dyDescent="0.2">
      <c r="A105" s="7" t="s">
        <v>337</v>
      </c>
      <c r="B105" s="7" t="s">
        <v>338</v>
      </c>
      <c r="C105" s="7" t="s">
        <v>184</v>
      </c>
      <c r="D105" s="10"/>
      <c r="E105" s="10"/>
      <c r="F105" s="10"/>
      <c r="G105" s="7"/>
      <c r="H105" s="10"/>
      <c r="I105" s="8"/>
      <c r="J105" s="8"/>
      <c r="K105" s="8"/>
      <c r="L105" s="8"/>
      <c r="M105" s="8"/>
      <c r="N105" s="8"/>
      <c r="O105" s="7"/>
      <c r="P105" s="9"/>
      <c r="Q105" s="9"/>
      <c r="R105" s="9"/>
      <c r="S105" s="9"/>
      <c r="T105" s="9"/>
      <c r="U105" s="9"/>
      <c r="V105" s="9"/>
      <c r="W105" s="9"/>
      <c r="X105" s="9"/>
      <c r="Y105" s="9"/>
      <c r="Z105" s="9"/>
    </row>
    <row r="106" spans="1:26" ht="15.75" customHeight="1" x14ac:dyDescent="0.2">
      <c r="A106" s="7" t="s">
        <v>339</v>
      </c>
      <c r="B106" s="7" t="s">
        <v>340</v>
      </c>
      <c r="C106" s="7" t="s">
        <v>184</v>
      </c>
      <c r="D106" s="10"/>
      <c r="E106" s="10"/>
      <c r="F106" s="10"/>
      <c r="G106" s="7"/>
      <c r="H106" s="10"/>
      <c r="I106" s="8"/>
      <c r="J106" s="8"/>
      <c r="K106" s="8"/>
      <c r="L106" s="8"/>
      <c r="M106" s="8"/>
      <c r="N106" s="8"/>
      <c r="O106" s="7"/>
      <c r="P106" s="9"/>
      <c r="Q106" s="9"/>
      <c r="R106" s="9"/>
      <c r="S106" s="9"/>
      <c r="T106" s="9"/>
      <c r="U106" s="9"/>
      <c r="V106" s="9"/>
      <c r="W106" s="9"/>
      <c r="X106" s="9"/>
      <c r="Y106" s="9"/>
      <c r="Z106" s="9"/>
    </row>
    <row r="107" spans="1:26" ht="15.75" customHeight="1" x14ac:dyDescent="0.2">
      <c r="A107" s="7" t="s">
        <v>341</v>
      </c>
      <c r="B107" s="7" t="s">
        <v>342</v>
      </c>
      <c r="C107" s="7" t="s">
        <v>184</v>
      </c>
      <c r="D107" s="10"/>
      <c r="E107" s="10"/>
      <c r="F107" s="10"/>
      <c r="G107" s="7"/>
      <c r="H107" s="10"/>
      <c r="I107" s="8"/>
      <c r="J107" s="8"/>
      <c r="K107" s="8"/>
      <c r="L107" s="8"/>
      <c r="M107" s="8"/>
      <c r="N107" s="8"/>
      <c r="O107" s="7"/>
      <c r="P107" s="9"/>
      <c r="Q107" s="9"/>
      <c r="R107" s="9"/>
      <c r="S107" s="9"/>
      <c r="T107" s="9"/>
      <c r="U107" s="9"/>
      <c r="V107" s="9"/>
      <c r="W107" s="9"/>
      <c r="X107" s="9"/>
      <c r="Y107" s="9"/>
      <c r="Z107" s="9"/>
    </row>
    <row r="108" spans="1:26" ht="15.75" customHeight="1" x14ac:dyDescent="0.2">
      <c r="A108" s="7" t="s">
        <v>343</v>
      </c>
      <c r="B108" s="7" t="s">
        <v>344</v>
      </c>
      <c r="C108" s="7" t="s">
        <v>184</v>
      </c>
      <c r="D108" s="10"/>
      <c r="E108" s="10"/>
      <c r="F108" s="10"/>
      <c r="G108" s="7"/>
      <c r="H108" s="10"/>
      <c r="I108" s="8"/>
      <c r="J108" s="8"/>
      <c r="K108" s="8"/>
      <c r="L108" s="8"/>
      <c r="M108" s="8"/>
      <c r="N108" s="8"/>
      <c r="O108" s="7"/>
      <c r="P108" s="9"/>
      <c r="Q108" s="9"/>
      <c r="R108" s="9"/>
      <c r="S108" s="9"/>
      <c r="T108" s="9"/>
      <c r="U108" s="9"/>
      <c r="V108" s="9"/>
      <c r="W108" s="9"/>
      <c r="X108" s="9"/>
      <c r="Y108" s="9"/>
      <c r="Z108" s="9"/>
    </row>
    <row r="109" spans="1:26" ht="120" customHeight="1" x14ac:dyDescent="0.2">
      <c r="A109" s="7" t="s">
        <v>345</v>
      </c>
      <c r="B109" s="7" t="s">
        <v>346</v>
      </c>
      <c r="C109" s="7" t="s">
        <v>347</v>
      </c>
      <c r="D109" s="10" t="s">
        <v>348</v>
      </c>
      <c r="E109" s="10" t="s">
        <v>29</v>
      </c>
      <c r="F109" s="10">
        <v>270</v>
      </c>
      <c r="G109" s="7"/>
      <c r="H109" s="16" t="s">
        <v>349</v>
      </c>
      <c r="I109" s="8"/>
      <c r="J109" s="8"/>
      <c r="K109" s="8"/>
      <c r="L109" s="8"/>
      <c r="M109" s="8"/>
      <c r="N109" s="8" t="s">
        <v>350</v>
      </c>
      <c r="O109" s="7"/>
      <c r="P109" s="9"/>
      <c r="Q109" s="9"/>
      <c r="R109" s="9"/>
      <c r="S109" s="9"/>
      <c r="T109" s="9"/>
      <c r="U109" s="9"/>
      <c r="V109" s="9"/>
      <c r="W109" s="9"/>
      <c r="X109" s="9"/>
      <c r="Y109" s="9"/>
      <c r="Z109" s="9"/>
    </row>
    <row r="110" spans="1:26" ht="15.75" customHeight="1" x14ac:dyDescent="0.2">
      <c r="A110" s="7" t="s">
        <v>351</v>
      </c>
      <c r="B110" s="7" t="s">
        <v>352</v>
      </c>
      <c r="C110" s="7" t="s">
        <v>353</v>
      </c>
      <c r="D110" s="10" t="s">
        <v>352</v>
      </c>
      <c r="E110" s="10" t="s">
        <v>123</v>
      </c>
      <c r="F110" s="10"/>
      <c r="G110" s="7"/>
      <c r="H110" s="10" t="s">
        <v>354</v>
      </c>
      <c r="I110" s="8"/>
      <c r="J110" s="8"/>
      <c r="K110" s="8"/>
      <c r="L110" s="8"/>
      <c r="M110" s="8"/>
      <c r="N110" s="8"/>
      <c r="O110" s="7"/>
      <c r="P110" s="9"/>
      <c r="Q110" s="9"/>
      <c r="R110" s="9"/>
      <c r="S110" s="9"/>
      <c r="T110" s="9"/>
      <c r="U110" s="9"/>
      <c r="V110" s="9"/>
      <c r="W110" s="9"/>
      <c r="X110" s="9"/>
      <c r="Y110" s="9"/>
      <c r="Z110" s="9"/>
    </row>
    <row r="111" spans="1:26" ht="15.75" customHeight="1" x14ac:dyDescent="0.2">
      <c r="A111" s="7" t="s">
        <v>355</v>
      </c>
      <c r="B111" s="7" t="s">
        <v>356</v>
      </c>
      <c r="C111" s="7" t="s">
        <v>357</v>
      </c>
      <c r="D111" s="10" t="s">
        <v>358</v>
      </c>
      <c r="E111" s="10" t="s">
        <v>310</v>
      </c>
      <c r="F111" s="10">
        <v>33</v>
      </c>
      <c r="G111" s="7"/>
      <c r="H111" s="10" t="s">
        <v>359</v>
      </c>
      <c r="I111" s="8">
        <v>100</v>
      </c>
      <c r="J111" s="8">
        <v>0</v>
      </c>
      <c r="K111" s="8">
        <v>0</v>
      </c>
      <c r="L111" s="8">
        <v>0</v>
      </c>
      <c r="M111" s="8" t="s">
        <v>360</v>
      </c>
      <c r="N111" s="8"/>
      <c r="O111" s="7"/>
      <c r="P111" s="9"/>
      <c r="Q111" s="9"/>
      <c r="R111" s="9"/>
      <c r="S111" s="9"/>
      <c r="T111" s="9"/>
      <c r="U111" s="9"/>
      <c r="V111" s="9"/>
      <c r="W111" s="9"/>
      <c r="X111" s="9"/>
      <c r="Y111" s="9"/>
      <c r="Z111" s="9"/>
    </row>
    <row r="112" spans="1:26" ht="15.75" customHeight="1" x14ac:dyDescent="0.2">
      <c r="A112" s="7" t="s">
        <v>361</v>
      </c>
      <c r="B112" s="7" t="s">
        <v>362</v>
      </c>
      <c r="C112" s="7" t="s">
        <v>363</v>
      </c>
      <c r="D112" s="10" t="s">
        <v>364</v>
      </c>
      <c r="E112" s="10" t="s">
        <v>297</v>
      </c>
      <c r="F112" s="10"/>
      <c r="G112" s="7"/>
      <c r="H112" s="10" t="s">
        <v>365</v>
      </c>
      <c r="I112" s="8">
        <v>0</v>
      </c>
      <c r="J112" s="8">
        <v>0</v>
      </c>
      <c r="K112" s="8">
        <v>100</v>
      </c>
      <c r="L112" s="8">
        <v>0</v>
      </c>
      <c r="M112" s="8" t="s">
        <v>366</v>
      </c>
      <c r="N112" s="8"/>
      <c r="O112" s="7"/>
      <c r="P112" s="9"/>
      <c r="Q112" s="9"/>
      <c r="R112" s="9"/>
      <c r="S112" s="9"/>
      <c r="T112" s="9"/>
      <c r="U112" s="9"/>
      <c r="V112" s="9"/>
      <c r="W112" s="9"/>
      <c r="X112" s="9"/>
      <c r="Y112" s="9"/>
      <c r="Z112" s="9"/>
    </row>
    <row r="113" spans="1:26" ht="15.75" customHeight="1" x14ac:dyDescent="0.2">
      <c r="A113" s="7" t="s">
        <v>367</v>
      </c>
      <c r="B113" s="7" t="s">
        <v>368</v>
      </c>
      <c r="C113" s="7" t="s">
        <v>369</v>
      </c>
      <c r="D113" s="10"/>
      <c r="E113" s="10" t="s">
        <v>29</v>
      </c>
      <c r="F113" s="10">
        <v>268</v>
      </c>
      <c r="G113" s="7"/>
      <c r="H113" s="10" t="s">
        <v>370</v>
      </c>
      <c r="I113" s="8"/>
      <c r="J113" s="8"/>
      <c r="K113" s="8"/>
      <c r="L113" s="8"/>
      <c r="M113" s="8"/>
      <c r="N113" s="8"/>
      <c r="O113" s="7"/>
      <c r="P113" s="9"/>
      <c r="Q113" s="9"/>
      <c r="R113" s="9"/>
      <c r="S113" s="9"/>
      <c r="T113" s="9"/>
      <c r="U113" s="9"/>
      <c r="V113" s="9"/>
      <c r="W113" s="9"/>
      <c r="X113" s="9"/>
      <c r="Y113" s="9"/>
      <c r="Z113" s="9"/>
    </row>
    <row r="114" spans="1:26" ht="15.75" customHeight="1" x14ac:dyDescent="0.2">
      <c r="A114" s="7" t="s">
        <v>371</v>
      </c>
      <c r="B114" s="7" t="s">
        <v>372</v>
      </c>
      <c r="C114" s="7" t="s">
        <v>184</v>
      </c>
      <c r="D114" s="10" t="s">
        <v>373</v>
      </c>
      <c r="E114" s="10" t="s">
        <v>29</v>
      </c>
      <c r="F114" s="10">
        <v>1638</v>
      </c>
      <c r="G114" s="7"/>
      <c r="H114" s="10" t="s">
        <v>374</v>
      </c>
      <c r="I114" s="8">
        <v>100</v>
      </c>
      <c r="J114" s="8">
        <v>0</v>
      </c>
      <c r="K114" s="8">
        <v>0</v>
      </c>
      <c r="L114" s="8">
        <v>0</v>
      </c>
      <c r="M114" s="8" t="s">
        <v>366</v>
      </c>
      <c r="N114" s="17" t="s">
        <v>375</v>
      </c>
      <c r="O114" s="7" t="s">
        <v>376</v>
      </c>
      <c r="P114" s="9"/>
      <c r="Q114" s="9"/>
      <c r="R114" s="9"/>
      <c r="S114" s="9"/>
      <c r="T114" s="9"/>
      <c r="U114" s="9"/>
      <c r="V114" s="9"/>
      <c r="W114" s="9"/>
      <c r="X114" s="9"/>
      <c r="Y114" s="9"/>
      <c r="Z114" s="9"/>
    </row>
    <row r="115" spans="1:26" ht="15.75" customHeight="1" x14ac:dyDescent="0.2">
      <c r="A115" s="7" t="s">
        <v>377</v>
      </c>
      <c r="B115" s="7" t="s">
        <v>378</v>
      </c>
      <c r="C115" s="7" t="s">
        <v>357</v>
      </c>
      <c r="D115" s="10" t="s">
        <v>379</v>
      </c>
      <c r="E115" s="10" t="s">
        <v>29</v>
      </c>
      <c r="F115" s="10">
        <v>215</v>
      </c>
      <c r="G115" s="7"/>
      <c r="H115" s="10" t="s">
        <v>380</v>
      </c>
      <c r="I115" s="8"/>
      <c r="J115" s="8"/>
      <c r="K115" s="8"/>
      <c r="L115" s="8"/>
      <c r="M115" s="8" t="s">
        <v>366</v>
      </c>
      <c r="N115" s="17"/>
      <c r="O115" s="7"/>
      <c r="P115" s="9"/>
      <c r="Q115" s="9"/>
      <c r="R115" s="9"/>
      <c r="S115" s="9"/>
      <c r="T115" s="9"/>
      <c r="U115" s="9"/>
      <c r="V115" s="9"/>
      <c r="W115" s="9"/>
      <c r="X115" s="9"/>
      <c r="Y115" s="9"/>
      <c r="Z115" s="9"/>
    </row>
    <row r="116" spans="1:26" ht="15.75" customHeight="1" x14ac:dyDescent="0.2">
      <c r="A116" s="7" t="s">
        <v>381</v>
      </c>
      <c r="B116" s="7" t="s">
        <v>382</v>
      </c>
      <c r="C116" s="7" t="s">
        <v>383</v>
      </c>
      <c r="D116" s="10" t="s">
        <v>384</v>
      </c>
      <c r="E116" s="10" t="s">
        <v>385</v>
      </c>
      <c r="F116" s="10">
        <v>35.1</v>
      </c>
      <c r="G116" s="7"/>
      <c r="H116" s="10" t="s">
        <v>386</v>
      </c>
      <c r="I116" s="8"/>
      <c r="J116" s="8"/>
      <c r="K116" s="8"/>
      <c r="L116" s="8"/>
      <c r="M116" s="8" t="s">
        <v>385</v>
      </c>
      <c r="N116" s="17" t="s">
        <v>387</v>
      </c>
      <c r="O116" s="7"/>
      <c r="P116" s="9"/>
      <c r="Q116" s="9"/>
      <c r="R116" s="9"/>
      <c r="S116" s="9"/>
      <c r="T116" s="9"/>
      <c r="U116" s="9"/>
      <c r="V116" s="9"/>
      <c r="W116" s="9"/>
      <c r="X116" s="9"/>
      <c r="Y116" s="9"/>
      <c r="Z116" s="9"/>
    </row>
    <row r="117" spans="1:26" ht="15.75" customHeight="1" x14ac:dyDescent="0.2">
      <c r="A117" s="7" t="s">
        <v>388</v>
      </c>
      <c r="B117" s="7" t="s">
        <v>389</v>
      </c>
      <c r="C117" s="7" t="s">
        <v>383</v>
      </c>
      <c r="D117" s="7" t="s">
        <v>390</v>
      </c>
      <c r="E117" s="10" t="s">
        <v>385</v>
      </c>
      <c r="F117" s="10">
        <v>35.56</v>
      </c>
      <c r="G117" s="7"/>
      <c r="H117" s="10" t="s">
        <v>386</v>
      </c>
      <c r="I117" s="8"/>
      <c r="J117" s="8"/>
      <c r="K117" s="8"/>
      <c r="L117" s="8"/>
      <c r="M117" s="8" t="s">
        <v>385</v>
      </c>
      <c r="N117" s="17" t="s">
        <v>391</v>
      </c>
      <c r="O117" s="7"/>
      <c r="P117" s="9"/>
      <c r="Q117" s="9"/>
      <c r="R117" s="9"/>
      <c r="S117" s="9"/>
      <c r="T117" s="9"/>
      <c r="U117" s="9"/>
      <c r="V117" s="9"/>
      <c r="W117" s="9"/>
      <c r="X117" s="9"/>
      <c r="Y117" s="9"/>
      <c r="Z117" s="9"/>
    </row>
    <row r="118" spans="1:26" ht="15.75" customHeight="1" x14ac:dyDescent="0.2">
      <c r="A118" s="7" t="s">
        <v>392</v>
      </c>
      <c r="B118" s="7" t="s">
        <v>393</v>
      </c>
      <c r="C118" s="7" t="s">
        <v>394</v>
      </c>
      <c r="D118" s="10" t="s">
        <v>395</v>
      </c>
      <c r="E118" s="10" t="s">
        <v>310</v>
      </c>
      <c r="F118" s="10">
        <v>42.43</v>
      </c>
      <c r="G118" s="7"/>
      <c r="H118" s="10" t="s">
        <v>396</v>
      </c>
      <c r="I118" s="8"/>
      <c r="J118" s="8"/>
      <c r="K118" s="8"/>
      <c r="L118" s="8"/>
      <c r="M118" s="8" t="s">
        <v>310</v>
      </c>
      <c r="N118" s="17"/>
      <c r="O118" s="7"/>
      <c r="P118" s="9"/>
      <c r="Q118" s="9"/>
      <c r="R118" s="9"/>
      <c r="S118" s="9"/>
      <c r="T118" s="9"/>
      <c r="U118" s="9"/>
      <c r="V118" s="9"/>
      <c r="W118" s="9"/>
      <c r="X118" s="9"/>
      <c r="Y118" s="9"/>
      <c r="Z118" s="9"/>
    </row>
    <row r="119" spans="1:26" ht="15.75" customHeight="1" x14ac:dyDescent="0.2">
      <c r="A119" s="7" t="s">
        <v>397</v>
      </c>
      <c r="B119" s="7" t="s">
        <v>398</v>
      </c>
      <c r="C119" s="7" t="s">
        <v>399</v>
      </c>
      <c r="D119" s="10" t="s">
        <v>400</v>
      </c>
      <c r="E119" s="10" t="s">
        <v>401</v>
      </c>
      <c r="F119" s="10">
        <v>19.05</v>
      </c>
      <c r="G119" s="7"/>
      <c r="H119" s="10" t="s">
        <v>402</v>
      </c>
      <c r="I119" s="8"/>
      <c r="J119" s="8"/>
      <c r="K119" s="8"/>
      <c r="L119" s="8"/>
      <c r="M119" s="8" t="s">
        <v>403</v>
      </c>
      <c r="N119" s="17" t="s">
        <v>404</v>
      </c>
      <c r="O119" s="7"/>
      <c r="P119" s="9"/>
      <c r="Q119" s="9"/>
      <c r="R119" s="9"/>
      <c r="S119" s="9"/>
      <c r="T119" s="9"/>
      <c r="U119" s="9"/>
      <c r="V119" s="9"/>
      <c r="W119" s="9"/>
      <c r="X119" s="9"/>
      <c r="Y119" s="9"/>
      <c r="Z119" s="9"/>
    </row>
    <row r="120" spans="1:26" ht="15.75" customHeight="1" x14ac:dyDescent="0.2">
      <c r="A120" s="7" t="s">
        <v>405</v>
      </c>
      <c r="B120" s="7" t="s">
        <v>406</v>
      </c>
      <c r="C120" s="7" t="s">
        <v>407</v>
      </c>
      <c r="D120" s="10" t="s">
        <v>408</v>
      </c>
      <c r="E120" s="10" t="s">
        <v>409</v>
      </c>
      <c r="F120" s="10"/>
      <c r="G120" s="7"/>
      <c r="H120" s="10" t="s">
        <v>410</v>
      </c>
      <c r="I120" s="8"/>
      <c r="J120" s="8"/>
      <c r="K120" s="8"/>
      <c r="L120" s="8"/>
      <c r="M120" s="8" t="s">
        <v>411</v>
      </c>
      <c r="N120" s="17" t="s">
        <v>412</v>
      </c>
      <c r="O120" s="7"/>
      <c r="P120" s="9"/>
      <c r="Q120" s="9"/>
      <c r="R120" s="9"/>
      <c r="S120" s="9"/>
      <c r="T120" s="9"/>
      <c r="U120" s="9"/>
      <c r="V120" s="9"/>
      <c r="W120" s="9"/>
      <c r="X120" s="9"/>
      <c r="Y120" s="9"/>
      <c r="Z120" s="9"/>
    </row>
    <row r="121" spans="1:26" ht="15.75" customHeight="1" x14ac:dyDescent="0.2">
      <c r="A121" s="7" t="s">
        <v>413</v>
      </c>
      <c r="B121" s="7" t="s">
        <v>414</v>
      </c>
      <c r="C121" s="7" t="s">
        <v>407</v>
      </c>
      <c r="D121" s="10" t="s">
        <v>415</v>
      </c>
      <c r="E121" s="10" t="s">
        <v>385</v>
      </c>
      <c r="F121" s="10"/>
      <c r="G121" s="7"/>
      <c r="H121" s="10"/>
      <c r="I121" s="8"/>
      <c r="J121" s="8"/>
      <c r="K121" s="8"/>
      <c r="L121" s="8"/>
      <c r="M121" s="8" t="s">
        <v>416</v>
      </c>
      <c r="N121" s="17" t="s">
        <v>417</v>
      </c>
      <c r="O121" s="7"/>
      <c r="P121" s="9"/>
      <c r="Q121" s="9"/>
      <c r="R121" s="9"/>
      <c r="S121" s="9"/>
      <c r="T121" s="9"/>
      <c r="U121" s="9"/>
      <c r="V121" s="9"/>
      <c r="W121" s="9"/>
      <c r="X121" s="9"/>
      <c r="Y121" s="9"/>
      <c r="Z121" s="9"/>
    </row>
    <row r="122" spans="1:26" ht="15.75" customHeight="1" x14ac:dyDescent="0.2">
      <c r="A122" s="7" t="s">
        <v>418</v>
      </c>
      <c r="B122" s="7" t="s">
        <v>419</v>
      </c>
      <c r="C122" s="7" t="s">
        <v>420</v>
      </c>
      <c r="D122" s="10" t="s">
        <v>421</v>
      </c>
      <c r="E122" s="10" t="s">
        <v>403</v>
      </c>
      <c r="F122" s="10"/>
      <c r="G122" s="7"/>
      <c r="H122" s="10" t="s">
        <v>422</v>
      </c>
      <c r="I122" s="8"/>
      <c r="J122" s="8"/>
      <c r="K122" s="8"/>
      <c r="L122" s="8"/>
      <c r="M122" s="8" t="s">
        <v>403</v>
      </c>
      <c r="N122" s="17" t="s">
        <v>423</v>
      </c>
      <c r="O122" s="7"/>
      <c r="P122" s="9"/>
      <c r="Q122" s="9"/>
      <c r="R122" s="9"/>
      <c r="S122" s="9"/>
      <c r="T122" s="9"/>
      <c r="U122" s="9"/>
      <c r="V122" s="9"/>
      <c r="W122" s="9"/>
      <c r="X122" s="9"/>
      <c r="Y122" s="9"/>
      <c r="Z122" s="9"/>
    </row>
    <row r="123" spans="1:26" ht="15.75" customHeight="1" x14ac:dyDescent="0.2">
      <c r="A123" s="7" t="s">
        <v>424</v>
      </c>
      <c r="B123" s="7" t="s">
        <v>425</v>
      </c>
      <c r="C123" s="7" t="s">
        <v>426</v>
      </c>
      <c r="D123" s="10" t="s">
        <v>427</v>
      </c>
      <c r="E123" s="10" t="s">
        <v>428</v>
      </c>
      <c r="F123" s="10">
        <v>1892.31</v>
      </c>
      <c r="G123" s="7"/>
      <c r="H123" s="10" t="s">
        <v>429</v>
      </c>
      <c r="I123" s="8"/>
      <c r="J123" s="8"/>
      <c r="K123" s="8"/>
      <c r="L123" s="8"/>
      <c r="M123" s="8" t="s">
        <v>411</v>
      </c>
      <c r="N123" s="17" t="s">
        <v>375</v>
      </c>
      <c r="O123" s="7"/>
      <c r="P123" s="9"/>
      <c r="Q123" s="9"/>
      <c r="R123" s="9"/>
      <c r="S123" s="9"/>
      <c r="T123" s="9"/>
      <c r="U123" s="9"/>
      <c r="V123" s="9"/>
      <c r="W123" s="9"/>
      <c r="X123" s="9"/>
      <c r="Y123" s="9"/>
      <c r="Z123" s="9"/>
    </row>
    <row r="124" spans="1:26" ht="15.75" customHeight="1" x14ac:dyDescent="0.2">
      <c r="A124" s="7" t="s">
        <v>430</v>
      </c>
      <c r="B124" s="7" t="s">
        <v>431</v>
      </c>
      <c r="C124" s="7" t="s">
        <v>347</v>
      </c>
      <c r="D124" s="10"/>
      <c r="E124" s="10"/>
      <c r="F124" s="10"/>
      <c r="G124" s="7"/>
      <c r="H124" s="10"/>
      <c r="I124" s="8"/>
      <c r="J124" s="8"/>
      <c r="K124" s="8"/>
      <c r="L124" s="8"/>
      <c r="M124" s="8"/>
      <c r="N124" s="17"/>
      <c r="O124" s="7"/>
      <c r="P124" s="9"/>
      <c r="Q124" s="9"/>
      <c r="R124" s="9"/>
      <c r="S124" s="9"/>
      <c r="T124" s="9"/>
      <c r="U124" s="9"/>
      <c r="V124" s="9"/>
      <c r="W124" s="9"/>
      <c r="X124" s="9"/>
      <c r="Y124" s="9"/>
      <c r="Z124" s="9"/>
    </row>
    <row r="125" spans="1:26" ht="15.75" customHeight="1" x14ac:dyDescent="0.2">
      <c r="A125" s="7" t="s">
        <v>432</v>
      </c>
      <c r="B125" s="7" t="s">
        <v>433</v>
      </c>
      <c r="C125" s="7" t="s">
        <v>158</v>
      </c>
      <c r="D125" s="10" t="s">
        <v>434</v>
      </c>
      <c r="E125" s="10" t="s">
        <v>435</v>
      </c>
      <c r="F125" s="10"/>
      <c r="G125" s="7"/>
      <c r="H125" s="10" t="s">
        <v>436</v>
      </c>
      <c r="I125" s="8"/>
      <c r="J125" s="8"/>
      <c r="K125" s="8"/>
      <c r="L125" s="8"/>
      <c r="M125" s="8" t="s">
        <v>297</v>
      </c>
      <c r="N125" s="17" t="s">
        <v>437</v>
      </c>
      <c r="O125" s="7"/>
      <c r="P125" s="9"/>
      <c r="Q125" s="9"/>
      <c r="R125" s="9"/>
      <c r="S125" s="9"/>
      <c r="T125" s="9"/>
      <c r="U125" s="9"/>
      <c r="V125" s="9"/>
      <c r="W125" s="9"/>
      <c r="X125" s="9"/>
      <c r="Y125" s="9"/>
      <c r="Z125" s="9"/>
    </row>
    <row r="126" spans="1:26" ht="15.75" customHeight="1" x14ac:dyDescent="0.2">
      <c r="A126" s="7" t="s">
        <v>438</v>
      </c>
      <c r="B126" s="7" t="s">
        <v>439</v>
      </c>
      <c r="C126" s="7" t="s">
        <v>440</v>
      </c>
      <c r="D126" s="10" t="s">
        <v>441</v>
      </c>
      <c r="E126" s="10" t="s">
        <v>442</v>
      </c>
      <c r="F126" s="10">
        <v>149.80000000000001</v>
      </c>
      <c r="G126" s="7"/>
      <c r="H126" s="10" t="s">
        <v>443</v>
      </c>
      <c r="I126" s="8">
        <v>0</v>
      </c>
      <c r="J126" s="8">
        <v>0</v>
      </c>
      <c r="K126" s="8">
        <v>100</v>
      </c>
      <c r="L126" s="8">
        <v>0</v>
      </c>
      <c r="M126" s="8" t="s">
        <v>297</v>
      </c>
      <c r="N126" s="17" t="s">
        <v>444</v>
      </c>
      <c r="O126" s="7"/>
      <c r="P126" s="9"/>
      <c r="Q126" s="9"/>
      <c r="R126" s="9"/>
      <c r="S126" s="9"/>
      <c r="T126" s="9"/>
      <c r="U126" s="9"/>
      <c r="V126" s="9"/>
      <c r="W126" s="9"/>
      <c r="X126" s="9"/>
      <c r="Y126" s="9"/>
      <c r="Z126" s="9"/>
    </row>
    <row r="127" spans="1:26" ht="15.75" customHeight="1" x14ac:dyDescent="0.2">
      <c r="A127" s="7" t="s">
        <v>445</v>
      </c>
      <c r="B127" s="7" t="s">
        <v>446</v>
      </c>
      <c r="C127" s="7" t="s">
        <v>121</v>
      </c>
      <c r="D127" s="10" t="s">
        <v>447</v>
      </c>
      <c r="E127" s="10" t="s">
        <v>448</v>
      </c>
      <c r="F127" s="10"/>
      <c r="G127" s="7"/>
      <c r="H127" s="10" t="s">
        <v>449</v>
      </c>
      <c r="I127" s="8"/>
      <c r="J127" s="8"/>
      <c r="K127" s="8"/>
      <c r="L127" s="8"/>
      <c r="M127" s="8"/>
      <c r="N127" s="17"/>
      <c r="O127" s="7"/>
      <c r="P127" s="9"/>
      <c r="Q127" s="9"/>
      <c r="R127" s="9"/>
      <c r="S127" s="9"/>
      <c r="T127" s="9"/>
      <c r="U127" s="9"/>
      <c r="V127" s="9"/>
      <c r="W127" s="9"/>
      <c r="X127" s="9"/>
      <c r="Y127" s="9"/>
      <c r="Z127" s="9"/>
    </row>
    <row r="128" spans="1:26" ht="15.75" customHeight="1" x14ac:dyDescent="0.2">
      <c r="A128" s="7" t="s">
        <v>450</v>
      </c>
      <c r="B128" s="7" t="s">
        <v>451</v>
      </c>
      <c r="C128" s="7" t="s">
        <v>184</v>
      </c>
      <c r="D128" s="10" t="s">
        <v>452</v>
      </c>
      <c r="E128" s="10" t="s">
        <v>310</v>
      </c>
      <c r="F128" s="10"/>
      <c r="G128" s="7"/>
      <c r="H128" s="10"/>
      <c r="I128" s="8"/>
      <c r="J128" s="8"/>
      <c r="K128" s="8"/>
      <c r="L128" s="8"/>
      <c r="M128" s="8"/>
      <c r="N128" s="17"/>
      <c r="O128" s="7"/>
      <c r="P128" s="9"/>
      <c r="Q128" s="9"/>
      <c r="R128" s="9"/>
      <c r="S128" s="9"/>
      <c r="T128" s="9"/>
      <c r="U128" s="9"/>
      <c r="V128" s="9"/>
      <c r="W128" s="9"/>
      <c r="X128" s="9"/>
      <c r="Y128" s="9"/>
      <c r="Z128" s="9"/>
    </row>
    <row r="129" spans="1:26" ht="15.75" customHeight="1" x14ac:dyDescent="0.2">
      <c r="A129" s="7" t="s">
        <v>453</v>
      </c>
      <c r="B129" s="7" t="s">
        <v>454</v>
      </c>
      <c r="C129" s="7" t="s">
        <v>334</v>
      </c>
      <c r="D129" s="10" t="s">
        <v>455</v>
      </c>
      <c r="E129" s="10" t="s">
        <v>456</v>
      </c>
      <c r="F129" s="10"/>
      <c r="G129" s="7"/>
      <c r="H129" s="10" t="s">
        <v>457</v>
      </c>
      <c r="I129" s="8"/>
      <c r="J129" s="8"/>
      <c r="K129" s="8"/>
      <c r="L129" s="8"/>
      <c r="M129" s="8"/>
      <c r="N129" s="17"/>
      <c r="O129" s="7"/>
      <c r="P129" s="9"/>
      <c r="Q129" s="9"/>
      <c r="R129" s="9"/>
      <c r="S129" s="9"/>
      <c r="T129" s="9"/>
      <c r="U129" s="9"/>
      <c r="V129" s="9"/>
      <c r="W129" s="9"/>
      <c r="X129" s="9"/>
      <c r="Y129" s="9"/>
      <c r="Z129" s="9"/>
    </row>
    <row r="130" spans="1:26" ht="15.75" customHeight="1" x14ac:dyDescent="0.2">
      <c r="A130" s="7" t="s">
        <v>458</v>
      </c>
      <c r="B130" s="7" t="s">
        <v>459</v>
      </c>
      <c r="C130" s="7" t="s">
        <v>460</v>
      </c>
      <c r="D130" s="10" t="s">
        <v>461</v>
      </c>
      <c r="E130" s="10" t="s">
        <v>462</v>
      </c>
      <c r="F130" s="10"/>
      <c r="G130" s="7"/>
      <c r="H130" s="10"/>
      <c r="I130" s="8">
        <v>0</v>
      </c>
      <c r="J130" s="8">
        <v>0</v>
      </c>
      <c r="K130" s="8">
        <v>0</v>
      </c>
      <c r="L130" s="8">
        <v>0</v>
      </c>
      <c r="M130" s="8" t="s">
        <v>463</v>
      </c>
      <c r="N130" s="17"/>
      <c r="O130" s="7"/>
      <c r="P130" s="9"/>
      <c r="Q130" s="9"/>
      <c r="R130" s="9"/>
      <c r="S130" s="9"/>
      <c r="T130" s="9"/>
      <c r="U130" s="9"/>
      <c r="V130" s="9"/>
      <c r="W130" s="9"/>
      <c r="X130" s="9"/>
      <c r="Y130" s="9"/>
      <c r="Z130" s="9"/>
    </row>
    <row r="131" spans="1:26" ht="15.75" customHeight="1" x14ac:dyDescent="0.2">
      <c r="A131" s="7" t="s">
        <v>464</v>
      </c>
      <c r="B131" s="7" t="s">
        <v>465</v>
      </c>
      <c r="C131" s="7" t="s">
        <v>214</v>
      </c>
      <c r="D131" s="10" t="s">
        <v>461</v>
      </c>
      <c r="E131" s="10" t="s">
        <v>462</v>
      </c>
      <c r="F131" s="10"/>
      <c r="G131" s="7"/>
      <c r="H131" s="10"/>
      <c r="I131" s="8">
        <v>0</v>
      </c>
      <c r="J131" s="8">
        <v>0</v>
      </c>
      <c r="K131" s="8">
        <v>0</v>
      </c>
      <c r="L131" s="8">
        <v>0</v>
      </c>
      <c r="M131" s="8" t="s">
        <v>463</v>
      </c>
      <c r="N131" s="17"/>
      <c r="O131" s="7"/>
      <c r="P131" s="9"/>
      <c r="Q131" s="9"/>
      <c r="R131" s="9"/>
      <c r="S131" s="9"/>
      <c r="T131" s="9"/>
      <c r="U131" s="9"/>
      <c r="V131" s="9"/>
      <c r="W131" s="9"/>
      <c r="X131" s="9"/>
      <c r="Y131" s="9"/>
      <c r="Z131" s="9"/>
    </row>
    <row r="132" spans="1:26" ht="15.75" customHeight="1" x14ac:dyDescent="0.2">
      <c r="A132" s="7" t="s">
        <v>466</v>
      </c>
      <c r="B132" s="7" t="s">
        <v>467</v>
      </c>
      <c r="C132" s="7" t="s">
        <v>468</v>
      </c>
      <c r="D132" s="10" t="s">
        <v>469</v>
      </c>
      <c r="E132" s="10" t="s">
        <v>470</v>
      </c>
      <c r="F132" s="10">
        <v>1998.93</v>
      </c>
      <c r="G132" s="7"/>
      <c r="H132" s="10"/>
      <c r="I132" s="8"/>
      <c r="J132" s="8"/>
      <c r="K132" s="8"/>
      <c r="L132" s="8"/>
      <c r="M132" s="8"/>
      <c r="N132" s="17"/>
      <c r="O132" s="7"/>
      <c r="P132" s="9"/>
      <c r="Q132" s="9"/>
      <c r="R132" s="9"/>
      <c r="S132" s="9"/>
      <c r="T132" s="9"/>
      <c r="U132" s="9"/>
      <c r="V132" s="9"/>
      <c r="W132" s="9"/>
      <c r="X132" s="9"/>
      <c r="Y132" s="9"/>
      <c r="Z132" s="9"/>
    </row>
    <row r="133" spans="1:26" ht="33" customHeight="1" x14ac:dyDescent="0.2">
      <c r="A133" s="7" t="s">
        <v>471</v>
      </c>
      <c r="B133" s="7" t="s">
        <v>192</v>
      </c>
      <c r="C133" s="7" t="s">
        <v>184</v>
      </c>
      <c r="D133" s="10" t="s">
        <v>193</v>
      </c>
      <c r="E133" s="10" t="s">
        <v>472</v>
      </c>
      <c r="F133" s="10">
        <v>17.309999999999999</v>
      </c>
      <c r="G133" s="7"/>
      <c r="H133" s="10" t="s">
        <v>473</v>
      </c>
      <c r="I133" s="8"/>
      <c r="J133" s="8"/>
      <c r="K133" s="8"/>
      <c r="L133" s="8"/>
      <c r="M133" s="8"/>
      <c r="N133" s="17"/>
      <c r="O133" s="7"/>
      <c r="P133" s="9"/>
      <c r="Q133" s="9"/>
      <c r="R133" s="9"/>
      <c r="S133" s="9"/>
      <c r="T133" s="9"/>
      <c r="U133" s="9"/>
      <c r="V133" s="9"/>
      <c r="W133" s="9"/>
      <c r="X133" s="9"/>
      <c r="Y133" s="9"/>
      <c r="Z133" s="9"/>
    </row>
    <row r="134" spans="1:26" ht="39" customHeight="1" x14ac:dyDescent="0.2">
      <c r="A134" s="7" t="s">
        <v>474</v>
      </c>
      <c r="B134" s="7" t="s">
        <v>475</v>
      </c>
      <c r="C134" s="7" t="s">
        <v>184</v>
      </c>
      <c r="D134" s="10" t="s">
        <v>476</v>
      </c>
      <c r="E134" s="10" t="s">
        <v>472</v>
      </c>
      <c r="F134" s="10">
        <v>69.790000000000006</v>
      </c>
      <c r="G134" s="7"/>
      <c r="H134" s="10" t="s">
        <v>477</v>
      </c>
      <c r="I134" s="8"/>
      <c r="J134" s="8"/>
      <c r="K134" s="8"/>
      <c r="L134" s="8"/>
      <c r="M134" s="8"/>
      <c r="N134" s="17"/>
      <c r="O134" s="7"/>
      <c r="P134" s="9"/>
      <c r="Q134" s="9"/>
      <c r="R134" s="9"/>
      <c r="S134" s="9"/>
      <c r="T134" s="9"/>
      <c r="U134" s="9"/>
      <c r="V134" s="9"/>
      <c r="W134" s="9"/>
      <c r="X134" s="9"/>
      <c r="Y134" s="9"/>
      <c r="Z134" s="9"/>
    </row>
    <row r="135" spans="1:26" ht="39" customHeight="1" x14ac:dyDescent="0.2">
      <c r="A135" s="7" t="s">
        <v>478</v>
      </c>
      <c r="B135" s="7" t="s">
        <v>479</v>
      </c>
      <c r="C135" s="7" t="s">
        <v>480</v>
      </c>
      <c r="D135" s="10" t="s">
        <v>481</v>
      </c>
      <c r="E135" s="10" t="s">
        <v>297</v>
      </c>
      <c r="F135" s="10">
        <v>6254.22</v>
      </c>
      <c r="G135" s="7"/>
      <c r="H135" s="10" t="s">
        <v>482</v>
      </c>
      <c r="I135" s="8"/>
      <c r="J135" s="8"/>
      <c r="K135" s="8"/>
      <c r="L135" s="8"/>
      <c r="M135" s="8"/>
      <c r="N135" s="17"/>
      <c r="O135" s="7"/>
      <c r="P135" s="9"/>
      <c r="Q135" s="9"/>
      <c r="R135" s="9"/>
      <c r="S135" s="9"/>
      <c r="T135" s="9"/>
      <c r="U135" s="9"/>
      <c r="V135" s="9"/>
      <c r="W135" s="9"/>
      <c r="X135" s="9"/>
      <c r="Y135" s="9"/>
      <c r="Z135" s="9"/>
    </row>
    <row r="136" spans="1:26" ht="39" customHeight="1" x14ac:dyDescent="0.2">
      <c r="A136" s="7" t="s">
        <v>483</v>
      </c>
      <c r="B136" s="7" t="s">
        <v>484</v>
      </c>
      <c r="C136" s="7" t="s">
        <v>121</v>
      </c>
      <c r="D136" s="10" t="s">
        <v>485</v>
      </c>
      <c r="E136" s="10" t="s">
        <v>293</v>
      </c>
      <c r="F136" s="10"/>
      <c r="G136" s="7" t="s">
        <v>486</v>
      </c>
      <c r="H136" s="10" t="s">
        <v>487</v>
      </c>
      <c r="I136" s="8"/>
      <c r="J136" s="8"/>
      <c r="K136" s="8"/>
      <c r="L136" s="8"/>
      <c r="M136" s="8"/>
      <c r="N136" s="17"/>
      <c r="O136" s="7"/>
      <c r="P136" s="9"/>
      <c r="Q136" s="9"/>
      <c r="R136" s="9"/>
      <c r="S136" s="9"/>
      <c r="T136" s="9"/>
      <c r="U136" s="9"/>
      <c r="V136" s="9"/>
      <c r="W136" s="9"/>
      <c r="X136" s="9"/>
      <c r="Y136" s="9"/>
      <c r="Z136" s="9"/>
    </row>
    <row r="137" spans="1:26" ht="39" customHeight="1" x14ac:dyDescent="0.2">
      <c r="A137" s="7" t="s">
        <v>488</v>
      </c>
      <c r="B137" s="7" t="s">
        <v>489</v>
      </c>
      <c r="C137" s="7" t="s">
        <v>121</v>
      </c>
      <c r="D137" s="10" t="s">
        <v>490</v>
      </c>
      <c r="E137" s="10" t="s">
        <v>293</v>
      </c>
      <c r="F137" s="10"/>
      <c r="G137" s="7" t="s">
        <v>486</v>
      </c>
      <c r="H137" s="10" t="s">
        <v>491</v>
      </c>
      <c r="I137" s="8"/>
      <c r="J137" s="8"/>
      <c r="K137" s="8"/>
      <c r="L137" s="8"/>
      <c r="M137" s="8"/>
      <c r="N137" s="17"/>
      <c r="O137" s="7"/>
      <c r="P137" s="9"/>
      <c r="Q137" s="9"/>
      <c r="R137" s="9"/>
      <c r="S137" s="9"/>
      <c r="T137" s="9"/>
      <c r="U137" s="9"/>
      <c r="V137" s="9"/>
      <c r="W137" s="9"/>
      <c r="X137" s="9"/>
      <c r="Y137" s="9"/>
      <c r="Z137" s="9"/>
    </row>
    <row r="138" spans="1:26" ht="39" customHeight="1" x14ac:dyDescent="0.2">
      <c r="A138" s="7" t="s">
        <v>492</v>
      </c>
      <c r="B138" s="7" t="s">
        <v>493</v>
      </c>
      <c r="C138" s="7" t="s">
        <v>121</v>
      </c>
      <c r="D138" s="10"/>
      <c r="E138" s="10"/>
      <c r="F138" s="10"/>
      <c r="G138" s="7"/>
      <c r="H138" s="10"/>
      <c r="I138" s="8"/>
      <c r="J138" s="8"/>
      <c r="K138" s="8"/>
      <c r="L138" s="8"/>
      <c r="M138" s="8"/>
      <c r="N138" s="17"/>
      <c r="O138" s="7"/>
      <c r="P138" s="9"/>
      <c r="Q138" s="9"/>
      <c r="R138" s="9"/>
      <c r="S138" s="9"/>
      <c r="T138" s="9"/>
      <c r="U138" s="9"/>
      <c r="V138" s="9"/>
      <c r="W138" s="9"/>
      <c r="X138" s="9"/>
      <c r="Y138" s="9"/>
      <c r="Z138" s="9"/>
    </row>
    <row r="139" spans="1:26" ht="39" customHeight="1" x14ac:dyDescent="0.2">
      <c r="A139" s="7" t="s">
        <v>494</v>
      </c>
      <c r="B139" s="7" t="s">
        <v>495</v>
      </c>
      <c r="C139" s="7" t="s">
        <v>279</v>
      </c>
      <c r="D139" s="10" t="s">
        <v>496</v>
      </c>
      <c r="E139" s="10" t="s">
        <v>456</v>
      </c>
      <c r="F139" s="10"/>
      <c r="G139" s="7"/>
      <c r="H139" s="10" t="s">
        <v>497</v>
      </c>
      <c r="I139" s="8"/>
      <c r="J139" s="8"/>
      <c r="K139" s="8"/>
      <c r="L139" s="8"/>
      <c r="M139" s="8"/>
      <c r="N139" s="17"/>
      <c r="O139" s="7"/>
      <c r="P139" s="9"/>
      <c r="Q139" s="9"/>
      <c r="R139" s="9"/>
      <c r="S139" s="9"/>
      <c r="T139" s="9"/>
      <c r="U139" s="9"/>
      <c r="V139" s="9"/>
      <c r="W139" s="9"/>
      <c r="X139" s="9"/>
      <c r="Y139" s="9"/>
      <c r="Z139" s="9"/>
    </row>
    <row r="140" spans="1:26" ht="39" customHeight="1" x14ac:dyDescent="0.2">
      <c r="A140" s="7" t="s">
        <v>498</v>
      </c>
      <c r="B140" s="7" t="s">
        <v>499</v>
      </c>
      <c r="C140" s="7" t="s">
        <v>279</v>
      </c>
      <c r="D140" s="10"/>
      <c r="E140" s="10" t="s">
        <v>456</v>
      </c>
      <c r="F140" s="10"/>
      <c r="G140" s="7"/>
      <c r="H140" s="10" t="s">
        <v>500</v>
      </c>
      <c r="I140" s="8"/>
      <c r="J140" s="8"/>
      <c r="K140" s="8"/>
      <c r="L140" s="8"/>
      <c r="M140" s="8"/>
      <c r="N140" s="17"/>
      <c r="O140" s="7"/>
      <c r="P140" s="9"/>
      <c r="Q140" s="9"/>
      <c r="R140" s="9"/>
      <c r="S140" s="9"/>
      <c r="T140" s="9"/>
      <c r="U140" s="9"/>
      <c r="V140" s="9"/>
      <c r="W140" s="9"/>
      <c r="X140" s="9"/>
      <c r="Y140" s="9"/>
      <c r="Z140" s="9"/>
    </row>
    <row r="141" spans="1:26" ht="39" customHeight="1" x14ac:dyDescent="0.2">
      <c r="A141" s="7" t="s">
        <v>501</v>
      </c>
      <c r="B141" s="7" t="s">
        <v>502</v>
      </c>
      <c r="C141" s="7" t="s">
        <v>279</v>
      </c>
      <c r="D141" s="10" t="s">
        <v>503</v>
      </c>
      <c r="E141" s="10" t="s">
        <v>456</v>
      </c>
      <c r="F141" s="10"/>
      <c r="G141" s="7"/>
      <c r="H141" s="10" t="s">
        <v>504</v>
      </c>
      <c r="I141" s="8"/>
      <c r="J141" s="8"/>
      <c r="K141" s="8"/>
      <c r="L141" s="8"/>
      <c r="M141" s="8"/>
      <c r="N141" s="17"/>
      <c r="O141" s="7"/>
      <c r="P141" s="9"/>
      <c r="Q141" s="9"/>
      <c r="R141" s="9"/>
      <c r="S141" s="9"/>
      <c r="T141" s="9"/>
      <c r="U141" s="9"/>
      <c r="V141" s="9"/>
      <c r="W141" s="9"/>
      <c r="X141" s="9"/>
      <c r="Y141" s="9"/>
      <c r="Z141" s="9"/>
    </row>
    <row r="142" spans="1:26" ht="39" customHeight="1" x14ac:dyDescent="0.2">
      <c r="A142" s="7" t="s">
        <v>505</v>
      </c>
      <c r="B142" s="7" t="s">
        <v>506</v>
      </c>
      <c r="C142" s="7" t="s">
        <v>507</v>
      </c>
      <c r="D142" s="10" t="s">
        <v>508</v>
      </c>
      <c r="E142" s="10" t="s">
        <v>310</v>
      </c>
      <c r="F142" s="10">
        <v>8.89</v>
      </c>
      <c r="G142" s="7"/>
      <c r="H142" s="18" t="s">
        <v>509</v>
      </c>
      <c r="I142" s="8">
        <v>100</v>
      </c>
      <c r="J142" s="8">
        <v>100</v>
      </c>
      <c r="K142" s="8">
        <v>0</v>
      </c>
      <c r="L142" s="8">
        <v>0</v>
      </c>
      <c r="M142" s="8" t="s">
        <v>510</v>
      </c>
      <c r="N142" s="17" t="s">
        <v>511</v>
      </c>
      <c r="O142" s="8" t="s">
        <v>512</v>
      </c>
      <c r="P142" s="9"/>
      <c r="Q142" s="9"/>
      <c r="R142" s="9"/>
      <c r="S142" s="9"/>
      <c r="T142" s="9"/>
      <c r="U142" s="9"/>
      <c r="V142" s="9"/>
      <c r="W142" s="9"/>
      <c r="X142" s="9"/>
      <c r="Y142" s="9"/>
      <c r="Z142" s="9"/>
    </row>
    <row r="143" spans="1:26" ht="39" customHeight="1" x14ac:dyDescent="0.2">
      <c r="A143" s="7" t="s">
        <v>513</v>
      </c>
      <c r="B143" s="7" t="s">
        <v>514</v>
      </c>
      <c r="C143" s="7" t="s">
        <v>420</v>
      </c>
      <c r="D143" s="10" t="s">
        <v>515</v>
      </c>
      <c r="E143" s="10" t="s">
        <v>516</v>
      </c>
      <c r="F143" s="10">
        <v>33</v>
      </c>
      <c r="G143" s="7"/>
      <c r="H143" s="18" t="s">
        <v>517</v>
      </c>
      <c r="I143" s="8"/>
      <c r="J143" s="8"/>
      <c r="K143" s="8"/>
      <c r="L143" s="8"/>
      <c r="M143" s="8"/>
      <c r="N143" s="17"/>
      <c r="O143" s="8"/>
      <c r="P143" s="9"/>
      <c r="Q143" s="9"/>
      <c r="R143" s="9"/>
      <c r="S143" s="9"/>
      <c r="T143" s="9"/>
      <c r="U143" s="9"/>
      <c r="V143" s="9"/>
      <c r="W143" s="9"/>
      <c r="X143" s="9"/>
      <c r="Y143" s="9"/>
      <c r="Z143" s="9"/>
    </row>
    <row r="144" spans="1:26" ht="90.75" customHeight="1" x14ac:dyDescent="0.2">
      <c r="A144" s="7" t="s">
        <v>518</v>
      </c>
      <c r="B144" s="7" t="s">
        <v>519</v>
      </c>
      <c r="C144" s="7" t="s">
        <v>520</v>
      </c>
      <c r="D144" s="10" t="s">
        <v>521</v>
      </c>
      <c r="E144" s="10" t="s">
        <v>522</v>
      </c>
      <c r="F144" s="10">
        <v>65.33</v>
      </c>
      <c r="G144" s="7"/>
      <c r="H144" s="18" t="s">
        <v>523</v>
      </c>
      <c r="I144" s="8"/>
      <c r="J144" s="8"/>
      <c r="K144" s="8"/>
      <c r="L144" s="8"/>
      <c r="M144" s="8"/>
      <c r="N144" s="17"/>
      <c r="O144" s="8"/>
      <c r="P144" s="9"/>
      <c r="Q144" s="9"/>
      <c r="R144" s="9"/>
      <c r="S144" s="9"/>
      <c r="T144" s="9"/>
      <c r="U144" s="9"/>
      <c r="V144" s="9"/>
      <c r="W144" s="9"/>
      <c r="X144" s="9"/>
      <c r="Y144" s="9"/>
      <c r="Z144" s="9"/>
    </row>
    <row r="145" spans="1:26" ht="55.5" customHeight="1" x14ac:dyDescent="0.2">
      <c r="A145" s="7" t="s">
        <v>524</v>
      </c>
      <c r="B145" s="7" t="s">
        <v>525</v>
      </c>
      <c r="C145" s="7" t="s">
        <v>526</v>
      </c>
      <c r="D145" s="10"/>
      <c r="E145" s="10" t="s">
        <v>527</v>
      </c>
      <c r="F145" s="10">
        <v>5</v>
      </c>
      <c r="G145" s="7"/>
      <c r="H145" s="18" t="s">
        <v>528</v>
      </c>
      <c r="I145" s="8">
        <v>100</v>
      </c>
      <c r="J145" s="8">
        <v>100</v>
      </c>
      <c r="K145" s="8">
        <v>0</v>
      </c>
      <c r="L145" s="8">
        <v>0</v>
      </c>
      <c r="M145" s="8" t="s">
        <v>310</v>
      </c>
      <c r="N145" s="17"/>
      <c r="O145" s="8"/>
      <c r="P145" s="9"/>
      <c r="Q145" s="9"/>
      <c r="R145" s="9"/>
      <c r="S145" s="9"/>
      <c r="T145" s="9"/>
      <c r="U145" s="9"/>
      <c r="V145" s="9"/>
      <c r="W145" s="9"/>
      <c r="X145" s="9"/>
      <c r="Y145" s="9"/>
      <c r="Z145" s="9"/>
    </row>
    <row r="146" spans="1:26" ht="55.5" customHeight="1" x14ac:dyDescent="0.2">
      <c r="A146" s="7" t="s">
        <v>529</v>
      </c>
      <c r="B146" s="7" t="s">
        <v>530</v>
      </c>
      <c r="C146" s="7" t="s">
        <v>420</v>
      </c>
      <c r="D146" s="10" t="s">
        <v>531</v>
      </c>
      <c r="E146" s="10" t="s">
        <v>532</v>
      </c>
      <c r="F146" s="10">
        <v>1080</v>
      </c>
      <c r="G146" s="7"/>
      <c r="H146" s="18" t="s">
        <v>533</v>
      </c>
      <c r="I146" s="8"/>
      <c r="J146" s="8"/>
      <c r="K146" s="8"/>
      <c r="L146" s="8"/>
      <c r="M146" s="8"/>
      <c r="N146" s="17"/>
      <c r="O146" s="8"/>
      <c r="P146" s="9"/>
      <c r="Q146" s="9"/>
      <c r="R146" s="9"/>
      <c r="S146" s="9"/>
      <c r="T146" s="9"/>
      <c r="U146" s="9"/>
      <c r="V146" s="9"/>
      <c r="W146" s="9"/>
      <c r="X146" s="9"/>
      <c r="Y146" s="9"/>
      <c r="Z146" s="9"/>
    </row>
    <row r="147" spans="1:26" ht="236.25" customHeight="1" x14ac:dyDescent="0.2">
      <c r="A147" s="7" t="s">
        <v>534</v>
      </c>
      <c r="B147" s="7" t="s">
        <v>4080</v>
      </c>
      <c r="C147" s="7" t="s">
        <v>420</v>
      </c>
      <c r="D147" s="10" t="s">
        <v>535</v>
      </c>
      <c r="E147" s="10" t="s">
        <v>442</v>
      </c>
      <c r="F147" s="10"/>
      <c r="G147" s="7"/>
      <c r="H147" s="18" t="s">
        <v>536</v>
      </c>
      <c r="I147" s="8"/>
      <c r="J147" s="8"/>
      <c r="K147" s="8"/>
      <c r="L147" s="8"/>
      <c r="M147" s="8"/>
      <c r="N147" s="17"/>
      <c r="O147" s="8"/>
      <c r="P147" s="9"/>
      <c r="Q147" s="9"/>
      <c r="R147" s="9"/>
      <c r="S147" s="9"/>
      <c r="T147" s="9"/>
      <c r="U147" s="9"/>
      <c r="V147" s="9"/>
      <c r="W147" s="9"/>
      <c r="X147" s="9"/>
      <c r="Y147" s="9"/>
      <c r="Z147" s="9"/>
    </row>
    <row r="148" spans="1:26" ht="55.5" customHeight="1" x14ac:dyDescent="0.2">
      <c r="A148" s="7" t="s">
        <v>537</v>
      </c>
      <c r="B148" s="7" t="s">
        <v>538</v>
      </c>
      <c r="C148" s="7" t="s">
        <v>539</v>
      </c>
      <c r="D148" s="10" t="s">
        <v>540</v>
      </c>
      <c r="E148" s="10" t="s">
        <v>541</v>
      </c>
      <c r="F148" s="10">
        <v>326</v>
      </c>
      <c r="G148" s="7"/>
      <c r="H148" s="18" t="s">
        <v>542</v>
      </c>
      <c r="I148" s="8"/>
      <c r="J148" s="8"/>
      <c r="K148" s="8"/>
      <c r="L148" s="8"/>
      <c r="M148" s="8"/>
      <c r="N148" s="17"/>
      <c r="O148" s="8"/>
      <c r="P148" s="9"/>
      <c r="Q148" s="9"/>
      <c r="R148" s="9"/>
      <c r="S148" s="9"/>
      <c r="T148" s="9"/>
      <c r="U148" s="9"/>
      <c r="V148" s="9"/>
      <c r="W148" s="9"/>
      <c r="X148" s="9"/>
      <c r="Y148" s="9"/>
      <c r="Z148" s="9"/>
    </row>
    <row r="149" spans="1:26" ht="204" x14ac:dyDescent="0.2">
      <c r="A149" s="7" t="s">
        <v>543</v>
      </c>
      <c r="B149" s="7" t="s">
        <v>544</v>
      </c>
      <c r="C149" s="7" t="s">
        <v>420</v>
      </c>
      <c r="D149" s="10" t="s">
        <v>545</v>
      </c>
      <c r="E149" s="10" t="s">
        <v>448</v>
      </c>
      <c r="F149" s="10">
        <v>36.6</v>
      </c>
      <c r="G149" s="7"/>
      <c r="H149" s="18" t="s">
        <v>546</v>
      </c>
      <c r="I149" s="8"/>
      <c r="J149" s="8"/>
      <c r="K149" s="8"/>
      <c r="L149" s="8"/>
      <c r="M149" s="8" t="s">
        <v>448</v>
      </c>
      <c r="N149" s="17"/>
      <c r="O149" s="8"/>
      <c r="P149" s="9"/>
      <c r="Q149" s="9"/>
      <c r="R149" s="9"/>
      <c r="S149" s="9"/>
      <c r="T149" s="9"/>
      <c r="U149" s="9"/>
      <c r="V149" s="9"/>
      <c r="W149" s="9"/>
      <c r="X149" s="9"/>
      <c r="Y149" s="9"/>
      <c r="Z149" s="9"/>
    </row>
    <row r="150" spans="1:26" ht="119" x14ac:dyDescent="0.2">
      <c r="A150" s="7" t="s">
        <v>547</v>
      </c>
      <c r="B150" s="7" t="s">
        <v>548</v>
      </c>
      <c r="C150" s="7" t="s">
        <v>420</v>
      </c>
      <c r="D150" s="10" t="s">
        <v>549</v>
      </c>
      <c r="E150" s="10" t="s">
        <v>448</v>
      </c>
      <c r="F150" s="10">
        <v>51.8</v>
      </c>
      <c r="G150" s="7"/>
      <c r="H150" s="18" t="s">
        <v>550</v>
      </c>
      <c r="I150" s="8"/>
      <c r="J150" s="8"/>
      <c r="K150" s="8"/>
      <c r="L150" s="8"/>
      <c r="M150" s="8" t="s">
        <v>448</v>
      </c>
      <c r="N150" s="17"/>
      <c r="O150" s="8"/>
      <c r="P150" s="9"/>
      <c r="Q150" s="9"/>
      <c r="R150" s="9"/>
      <c r="S150" s="9"/>
      <c r="T150" s="9"/>
      <c r="U150" s="9"/>
      <c r="V150" s="9"/>
      <c r="W150" s="9"/>
      <c r="X150" s="9"/>
      <c r="Y150" s="9"/>
      <c r="Z150" s="9"/>
    </row>
    <row r="151" spans="1:26" ht="162" customHeight="1" x14ac:dyDescent="0.2">
      <c r="A151" s="7" t="s">
        <v>551</v>
      </c>
      <c r="B151" s="7" t="s">
        <v>552</v>
      </c>
      <c r="C151" s="7" t="s">
        <v>420</v>
      </c>
      <c r="D151" s="10" t="s">
        <v>515</v>
      </c>
      <c r="E151" s="10" t="s">
        <v>448</v>
      </c>
      <c r="F151" s="10">
        <v>36.6</v>
      </c>
      <c r="G151" s="7"/>
      <c r="H151" s="18" t="s">
        <v>553</v>
      </c>
      <c r="I151" s="8"/>
      <c r="J151" s="8"/>
      <c r="K151" s="8"/>
      <c r="L151" s="8"/>
      <c r="M151" s="8"/>
      <c r="N151" s="17"/>
      <c r="O151" s="8"/>
      <c r="P151" s="9"/>
      <c r="Q151" s="9"/>
      <c r="R151" s="9"/>
      <c r="S151" s="9"/>
      <c r="T151" s="9"/>
      <c r="U151" s="9"/>
      <c r="V151" s="9"/>
      <c r="W151" s="9"/>
      <c r="X151" s="9"/>
      <c r="Y151" s="9"/>
      <c r="Z151" s="9"/>
    </row>
    <row r="152" spans="1:26" ht="17" x14ac:dyDescent="0.2">
      <c r="A152" s="7" t="s">
        <v>554</v>
      </c>
      <c r="B152" s="7" t="s">
        <v>555</v>
      </c>
      <c r="C152" s="7" t="s">
        <v>214</v>
      </c>
      <c r="D152" s="10" t="s">
        <v>556</v>
      </c>
      <c r="E152" s="10" t="s">
        <v>557</v>
      </c>
      <c r="F152" s="10">
        <v>57.3</v>
      </c>
      <c r="G152" s="7" t="s">
        <v>486</v>
      </c>
      <c r="H152" s="18" t="s">
        <v>558</v>
      </c>
      <c r="I152" s="8"/>
      <c r="J152" s="8"/>
      <c r="K152" s="8"/>
      <c r="L152" s="8"/>
      <c r="M152" s="8"/>
      <c r="N152" s="17"/>
      <c r="O152" s="8"/>
      <c r="P152" s="9"/>
      <c r="Q152" s="9"/>
      <c r="R152" s="9"/>
      <c r="S152" s="9"/>
      <c r="T152" s="9"/>
      <c r="U152" s="9"/>
      <c r="V152" s="9"/>
      <c r="W152" s="9"/>
      <c r="X152" s="9"/>
      <c r="Y152" s="9"/>
      <c r="Z152" s="9"/>
    </row>
    <row r="153" spans="1:26" ht="17" x14ac:dyDescent="0.2">
      <c r="A153" s="7" t="s">
        <v>559</v>
      </c>
      <c r="B153" s="7" t="s">
        <v>560</v>
      </c>
      <c r="C153" s="7" t="s">
        <v>214</v>
      </c>
      <c r="D153" s="10" t="s">
        <v>556</v>
      </c>
      <c r="E153" s="10" t="s">
        <v>557</v>
      </c>
      <c r="F153" s="10">
        <v>128.47999999999999</v>
      </c>
      <c r="G153" s="7" t="s">
        <v>486</v>
      </c>
      <c r="H153" s="18" t="s">
        <v>558</v>
      </c>
      <c r="I153" s="8"/>
      <c r="J153" s="8"/>
      <c r="K153" s="8"/>
      <c r="L153" s="8"/>
      <c r="M153" s="8"/>
      <c r="N153" s="17"/>
      <c r="O153" s="8"/>
      <c r="P153" s="9"/>
      <c r="Q153" s="9"/>
      <c r="R153" s="9"/>
      <c r="S153" s="9"/>
      <c r="T153" s="9"/>
      <c r="U153" s="9"/>
      <c r="V153" s="9"/>
      <c r="W153" s="9"/>
      <c r="X153" s="9"/>
      <c r="Y153" s="9"/>
      <c r="Z153" s="9"/>
    </row>
    <row r="154" spans="1:26" ht="17" x14ac:dyDescent="0.2">
      <c r="A154" s="7" t="s">
        <v>561</v>
      </c>
      <c r="B154" s="7" t="s">
        <v>562</v>
      </c>
      <c r="C154" s="7" t="s">
        <v>214</v>
      </c>
      <c r="D154" s="10" t="s">
        <v>556</v>
      </c>
      <c r="E154" s="10" t="s">
        <v>557</v>
      </c>
      <c r="F154" s="10">
        <v>101.2</v>
      </c>
      <c r="G154" s="7" t="s">
        <v>486</v>
      </c>
      <c r="H154" s="18" t="s">
        <v>558</v>
      </c>
      <c r="I154" s="8"/>
      <c r="J154" s="8"/>
      <c r="K154" s="8"/>
      <c r="L154" s="8"/>
      <c r="M154" s="8"/>
      <c r="N154" s="17"/>
      <c r="O154" s="8"/>
      <c r="P154" s="9"/>
      <c r="Q154" s="9"/>
      <c r="R154" s="9"/>
      <c r="S154" s="9"/>
      <c r="T154" s="9"/>
      <c r="U154" s="9"/>
      <c r="V154" s="9"/>
      <c r="W154" s="9"/>
      <c r="X154" s="9"/>
      <c r="Y154" s="9"/>
      <c r="Z154" s="9"/>
    </row>
    <row r="155" spans="1:26" ht="170" x14ac:dyDescent="0.2">
      <c r="A155" s="7" t="s">
        <v>563</v>
      </c>
      <c r="B155" s="7" t="s">
        <v>564</v>
      </c>
      <c r="C155" s="7" t="s">
        <v>420</v>
      </c>
      <c r="D155" s="10" t="s">
        <v>254</v>
      </c>
      <c r="E155" s="10" t="s">
        <v>565</v>
      </c>
      <c r="F155" s="10">
        <v>28.5</v>
      </c>
      <c r="G155" s="7"/>
      <c r="H155" s="18" t="s">
        <v>566</v>
      </c>
      <c r="I155" s="8"/>
      <c r="J155" s="8"/>
      <c r="K155" s="8"/>
      <c r="L155" s="8"/>
      <c r="M155" s="8" t="s">
        <v>567</v>
      </c>
      <c r="N155" s="17" t="s">
        <v>568</v>
      </c>
      <c r="O155" s="8"/>
      <c r="P155" s="9"/>
      <c r="Q155" s="9"/>
      <c r="R155" s="9"/>
      <c r="S155" s="9"/>
      <c r="T155" s="9"/>
      <c r="U155" s="9"/>
      <c r="V155" s="9"/>
      <c r="W155" s="9"/>
      <c r="X155" s="9"/>
      <c r="Y155" s="9"/>
      <c r="Z155" s="9"/>
    </row>
    <row r="156" spans="1:26" ht="34" x14ac:dyDescent="0.2">
      <c r="A156" s="7" t="s">
        <v>569</v>
      </c>
      <c r="B156" s="7" t="s">
        <v>570</v>
      </c>
      <c r="C156" s="7" t="s">
        <v>571</v>
      </c>
      <c r="D156" s="10" t="s">
        <v>335</v>
      </c>
      <c r="E156" s="10" t="s">
        <v>310</v>
      </c>
      <c r="F156" s="10">
        <v>235</v>
      </c>
      <c r="G156" s="7"/>
      <c r="H156" s="18" t="s">
        <v>572</v>
      </c>
      <c r="I156" s="8">
        <v>0</v>
      </c>
      <c r="J156" s="8">
        <v>0</v>
      </c>
      <c r="K156" s="8">
        <v>100</v>
      </c>
      <c r="L156" s="8">
        <v>0</v>
      </c>
      <c r="M156" s="8" t="s">
        <v>573</v>
      </c>
      <c r="N156" s="17" t="s">
        <v>574</v>
      </c>
      <c r="O156" s="8"/>
      <c r="P156" s="9"/>
      <c r="Q156" s="9"/>
      <c r="R156" s="9"/>
      <c r="S156" s="9"/>
      <c r="T156" s="9"/>
      <c r="U156" s="9"/>
      <c r="V156" s="9"/>
      <c r="W156" s="9"/>
      <c r="X156" s="9"/>
      <c r="Y156" s="9"/>
      <c r="Z156" s="9"/>
    </row>
    <row r="157" spans="1:26" ht="16" x14ac:dyDescent="0.2">
      <c r="A157" s="4" t="s">
        <v>575</v>
      </c>
      <c r="B157" s="4" t="s">
        <v>576</v>
      </c>
      <c r="C157" s="4" t="s">
        <v>16</v>
      </c>
      <c r="D157" s="4"/>
      <c r="E157" s="4" t="s">
        <v>17</v>
      </c>
      <c r="F157" s="4"/>
      <c r="G157" s="4"/>
      <c r="H157" s="4" t="s">
        <v>577</v>
      </c>
      <c r="I157" s="5"/>
      <c r="J157" s="5"/>
      <c r="K157" s="5"/>
      <c r="L157" s="5"/>
      <c r="M157" s="5"/>
      <c r="N157" s="5"/>
      <c r="O157" s="4"/>
      <c r="P157" s="9"/>
      <c r="Q157" s="9"/>
      <c r="R157" s="9"/>
      <c r="S157" s="9"/>
      <c r="T157" s="9"/>
      <c r="U157" s="9"/>
      <c r="V157" s="9"/>
      <c r="W157" s="9"/>
      <c r="X157" s="9"/>
      <c r="Y157" s="9"/>
      <c r="Z157" s="9"/>
    </row>
    <row r="158" spans="1:26" ht="15.75" customHeight="1" x14ac:dyDescent="0.2">
      <c r="A158" s="4" t="s">
        <v>578</v>
      </c>
      <c r="B158" s="4" t="s">
        <v>579</v>
      </c>
      <c r="C158" s="4" t="s">
        <v>20</v>
      </c>
      <c r="D158" s="4" t="s">
        <v>580</v>
      </c>
      <c r="E158" s="4" t="s">
        <v>21</v>
      </c>
      <c r="F158" s="4"/>
      <c r="G158" s="4"/>
      <c r="H158" s="4"/>
      <c r="I158" s="5"/>
      <c r="J158" s="5"/>
      <c r="K158" s="5"/>
      <c r="L158" s="5"/>
      <c r="M158" s="5"/>
      <c r="N158" s="5"/>
      <c r="O158" s="4"/>
      <c r="P158" s="15"/>
      <c r="Q158" s="15"/>
      <c r="R158" s="15"/>
      <c r="S158" s="15"/>
      <c r="T158" s="15"/>
      <c r="U158" s="15"/>
      <c r="V158" s="15"/>
      <c r="W158" s="15"/>
      <c r="X158" s="15"/>
      <c r="Y158" s="15"/>
      <c r="Z158" s="15"/>
    </row>
    <row r="159" spans="1:26" ht="45" customHeight="1" x14ac:dyDescent="0.2">
      <c r="A159" s="4" t="s">
        <v>581</v>
      </c>
      <c r="B159" s="4" t="s">
        <v>582</v>
      </c>
      <c r="C159" s="4" t="s">
        <v>163</v>
      </c>
      <c r="D159" s="4" t="s">
        <v>583</v>
      </c>
      <c r="E159" s="4"/>
      <c r="F159" s="4"/>
      <c r="G159" s="4"/>
      <c r="H159" s="4"/>
      <c r="I159" s="5"/>
      <c r="J159" s="5"/>
      <c r="K159" s="5"/>
      <c r="L159" s="5"/>
      <c r="M159" s="5"/>
      <c r="N159" s="5"/>
      <c r="O159" s="4"/>
      <c r="P159" s="9"/>
      <c r="Q159" s="9"/>
      <c r="R159" s="9"/>
      <c r="S159" s="9"/>
      <c r="T159" s="9"/>
      <c r="U159" s="9"/>
      <c r="V159" s="9"/>
      <c r="W159" s="9"/>
      <c r="X159" s="9"/>
      <c r="Y159" s="9"/>
      <c r="Z159" s="9"/>
    </row>
    <row r="160" spans="1:26" ht="15.75" customHeight="1" x14ac:dyDescent="0.2">
      <c r="A160" s="4" t="s">
        <v>584</v>
      </c>
      <c r="B160" s="4" t="s">
        <v>585</v>
      </c>
      <c r="C160" s="4" t="s">
        <v>163</v>
      </c>
      <c r="D160" s="4" t="s">
        <v>586</v>
      </c>
      <c r="E160" s="4" t="s">
        <v>21</v>
      </c>
      <c r="F160" s="4"/>
      <c r="G160" s="4"/>
      <c r="H160" s="4"/>
      <c r="I160" s="5"/>
      <c r="J160" s="5"/>
      <c r="K160" s="5"/>
      <c r="L160" s="5"/>
      <c r="M160" s="5"/>
      <c r="N160" s="5"/>
      <c r="O160" s="4"/>
      <c r="P160" s="6"/>
      <c r="Q160" s="6"/>
      <c r="R160" s="6"/>
      <c r="S160" s="6"/>
      <c r="T160" s="6"/>
      <c r="U160" s="6"/>
      <c r="V160" s="6"/>
      <c r="W160" s="6"/>
      <c r="X160" s="6"/>
      <c r="Y160" s="6"/>
      <c r="Z160" s="6"/>
    </row>
    <row r="161" spans="1:26" ht="15.75" customHeight="1" x14ac:dyDescent="0.2">
      <c r="A161" s="4" t="s">
        <v>587</v>
      </c>
      <c r="B161" s="4" t="s">
        <v>588</v>
      </c>
      <c r="C161" s="4"/>
      <c r="D161" s="4"/>
      <c r="E161" s="4"/>
      <c r="F161" s="4"/>
      <c r="G161" s="4"/>
      <c r="H161" s="4"/>
      <c r="I161" s="5"/>
      <c r="J161" s="5"/>
      <c r="K161" s="5"/>
      <c r="L161" s="5"/>
      <c r="M161" s="5"/>
      <c r="N161" s="5"/>
      <c r="O161" s="4"/>
      <c r="P161" s="6"/>
      <c r="Q161" s="6"/>
      <c r="R161" s="6"/>
      <c r="S161" s="6"/>
      <c r="T161" s="6"/>
      <c r="U161" s="6"/>
      <c r="V161" s="6"/>
      <c r="W161" s="6"/>
      <c r="X161" s="6"/>
      <c r="Y161" s="6"/>
      <c r="Z161" s="6"/>
    </row>
    <row r="162" spans="1:26" ht="15.75" customHeight="1" x14ac:dyDescent="0.2">
      <c r="A162" s="4" t="s">
        <v>589</v>
      </c>
      <c r="B162" s="4" t="s">
        <v>590</v>
      </c>
      <c r="C162" s="4" t="s">
        <v>591</v>
      </c>
      <c r="D162" s="4"/>
      <c r="E162" s="4" t="s">
        <v>21</v>
      </c>
      <c r="F162" s="4"/>
      <c r="G162" s="4"/>
      <c r="H162" s="4"/>
      <c r="I162" s="5"/>
      <c r="J162" s="5"/>
      <c r="K162" s="5"/>
      <c r="L162" s="5"/>
      <c r="M162" s="5"/>
      <c r="N162" s="5"/>
      <c r="O162" s="4"/>
      <c r="P162" s="6"/>
      <c r="Q162" s="6"/>
      <c r="R162" s="6"/>
      <c r="S162" s="6"/>
      <c r="T162" s="6"/>
      <c r="U162" s="6"/>
      <c r="V162" s="6"/>
      <c r="W162" s="6"/>
      <c r="X162" s="6"/>
      <c r="Y162" s="6"/>
      <c r="Z162" s="6"/>
    </row>
    <row r="163" spans="1:26" ht="15.75" customHeight="1" x14ac:dyDescent="0.2">
      <c r="A163" s="4" t="s">
        <v>592</v>
      </c>
      <c r="B163" s="4" t="s">
        <v>593</v>
      </c>
      <c r="C163" s="4" t="s">
        <v>594</v>
      </c>
      <c r="D163" s="4"/>
      <c r="E163" s="4"/>
      <c r="F163" s="4"/>
      <c r="G163" s="4"/>
      <c r="H163" s="4"/>
      <c r="I163" s="5"/>
      <c r="J163" s="5"/>
      <c r="K163" s="5"/>
      <c r="L163" s="5"/>
      <c r="M163" s="5"/>
      <c r="N163" s="5"/>
      <c r="O163" s="4"/>
      <c r="P163" s="6"/>
      <c r="Q163" s="6"/>
      <c r="R163" s="6"/>
      <c r="S163" s="6"/>
      <c r="T163" s="6"/>
      <c r="U163" s="6"/>
      <c r="V163" s="6"/>
      <c r="W163" s="6"/>
      <c r="X163" s="6"/>
      <c r="Y163" s="6"/>
      <c r="Z163" s="6"/>
    </row>
    <row r="164" spans="1:26" ht="15.75" customHeight="1" x14ac:dyDescent="0.2">
      <c r="A164" s="4" t="s">
        <v>595</v>
      </c>
      <c r="B164" s="4" t="s">
        <v>596</v>
      </c>
      <c r="C164" s="4" t="s">
        <v>597</v>
      </c>
      <c r="D164" s="4"/>
      <c r="E164" s="4" t="s">
        <v>598</v>
      </c>
      <c r="F164" s="4"/>
      <c r="G164" s="4"/>
      <c r="H164" s="4"/>
      <c r="I164" s="5"/>
      <c r="J164" s="5"/>
      <c r="K164" s="5"/>
      <c r="L164" s="5"/>
      <c r="M164" s="5"/>
      <c r="N164" s="5"/>
      <c r="O164" s="4"/>
      <c r="P164" s="6"/>
      <c r="Q164" s="6"/>
      <c r="R164" s="6"/>
      <c r="S164" s="6"/>
      <c r="T164" s="6"/>
      <c r="U164" s="6"/>
      <c r="V164" s="6"/>
      <c r="W164" s="6"/>
      <c r="X164" s="6"/>
      <c r="Y164" s="6"/>
      <c r="Z164" s="6"/>
    </row>
    <row r="165" spans="1:26" ht="15.75" customHeight="1" x14ac:dyDescent="0.2">
      <c r="A165" s="4" t="s">
        <v>599</v>
      </c>
      <c r="B165" s="4" t="s">
        <v>600</v>
      </c>
      <c r="C165" s="4" t="s">
        <v>26</v>
      </c>
      <c r="D165" s="4"/>
      <c r="E165" s="4"/>
      <c r="F165" s="4"/>
      <c r="G165" s="4"/>
      <c r="H165" s="4"/>
      <c r="I165" s="5"/>
      <c r="J165" s="5"/>
      <c r="K165" s="5"/>
      <c r="L165" s="5"/>
      <c r="M165" s="5"/>
      <c r="N165" s="5"/>
      <c r="O165" s="4"/>
      <c r="P165" s="6"/>
      <c r="Q165" s="6"/>
      <c r="R165" s="6"/>
      <c r="S165" s="6"/>
      <c r="T165" s="6"/>
      <c r="U165" s="6"/>
      <c r="V165" s="6"/>
      <c r="W165" s="6"/>
      <c r="X165" s="6"/>
      <c r="Y165" s="6"/>
      <c r="Z165" s="6"/>
    </row>
    <row r="166" spans="1:26" ht="15.75" customHeight="1" x14ac:dyDescent="0.2">
      <c r="A166" s="4" t="s">
        <v>601</v>
      </c>
      <c r="B166" s="4" t="s">
        <v>602</v>
      </c>
      <c r="C166" s="4" t="s">
        <v>26</v>
      </c>
      <c r="D166" s="4"/>
      <c r="E166" s="4"/>
      <c r="F166" s="4"/>
      <c r="G166" s="4"/>
      <c r="H166" s="4"/>
      <c r="I166" s="5"/>
      <c r="J166" s="5"/>
      <c r="K166" s="5"/>
      <c r="L166" s="5"/>
      <c r="M166" s="5"/>
      <c r="N166" s="5"/>
      <c r="O166" s="4"/>
      <c r="P166" s="6"/>
      <c r="Q166" s="6"/>
      <c r="R166" s="6"/>
      <c r="S166" s="6"/>
      <c r="T166" s="6"/>
      <c r="U166" s="6"/>
      <c r="V166" s="6"/>
      <c r="W166" s="6"/>
      <c r="X166" s="6"/>
      <c r="Y166" s="6"/>
      <c r="Z166" s="6"/>
    </row>
    <row r="167" spans="1:26" ht="15.75" customHeight="1" x14ac:dyDescent="0.2">
      <c r="A167" s="4" t="s">
        <v>603</v>
      </c>
      <c r="B167" s="4" t="s">
        <v>604</v>
      </c>
      <c r="C167" s="4" t="s">
        <v>20</v>
      </c>
      <c r="D167" s="4"/>
      <c r="E167" s="4"/>
      <c r="F167" s="4"/>
      <c r="G167" s="4"/>
      <c r="H167" s="4"/>
      <c r="I167" s="5"/>
      <c r="J167" s="5"/>
      <c r="K167" s="5"/>
      <c r="L167" s="5"/>
      <c r="M167" s="5"/>
      <c r="N167" s="5"/>
      <c r="O167" s="4"/>
      <c r="P167" s="6"/>
      <c r="Q167" s="6"/>
      <c r="R167" s="6"/>
      <c r="S167" s="6"/>
      <c r="T167" s="6"/>
      <c r="U167" s="6"/>
      <c r="V167" s="6"/>
      <c r="W167" s="6"/>
      <c r="X167" s="6"/>
      <c r="Y167" s="6"/>
      <c r="Z167" s="6"/>
    </row>
    <row r="168" spans="1:26" ht="15.75" customHeight="1" x14ac:dyDescent="0.2">
      <c r="A168" s="4" t="s">
        <v>605</v>
      </c>
      <c r="B168" s="4" t="s">
        <v>606</v>
      </c>
      <c r="C168" s="4" t="s">
        <v>607</v>
      </c>
      <c r="D168" s="4"/>
      <c r="E168" s="4" t="s">
        <v>21</v>
      </c>
      <c r="F168" s="4"/>
      <c r="G168" s="4"/>
      <c r="H168" s="4"/>
      <c r="I168" s="5"/>
      <c r="J168" s="5"/>
      <c r="K168" s="5"/>
      <c r="L168" s="5"/>
      <c r="M168" s="5"/>
      <c r="N168" s="5"/>
      <c r="O168" s="4"/>
      <c r="P168" s="6"/>
      <c r="Q168" s="6"/>
      <c r="R168" s="6"/>
      <c r="S168" s="6"/>
      <c r="T168" s="6"/>
      <c r="U168" s="6"/>
      <c r="V168" s="6"/>
      <c r="W168" s="6"/>
      <c r="X168" s="6"/>
      <c r="Y168" s="6"/>
      <c r="Z168" s="6"/>
    </row>
    <row r="169" spans="1:26" ht="15.75" customHeight="1" x14ac:dyDescent="0.2">
      <c r="A169" s="4" t="s">
        <v>608</v>
      </c>
      <c r="B169" s="4" t="s">
        <v>609</v>
      </c>
      <c r="C169" s="4" t="s">
        <v>610</v>
      </c>
      <c r="D169" s="4"/>
      <c r="E169" s="4"/>
      <c r="F169" s="4"/>
      <c r="G169" s="4"/>
      <c r="H169" s="4"/>
      <c r="I169" s="5"/>
      <c r="J169" s="5"/>
      <c r="K169" s="5"/>
      <c r="L169" s="5"/>
      <c r="M169" s="5"/>
      <c r="N169" s="5"/>
      <c r="O169" s="4"/>
      <c r="P169" s="6"/>
      <c r="Q169" s="6"/>
      <c r="R169" s="6"/>
      <c r="S169" s="6"/>
      <c r="T169" s="6"/>
      <c r="U169" s="6"/>
      <c r="V169" s="6"/>
      <c r="W169" s="6"/>
      <c r="X169" s="6"/>
      <c r="Y169" s="6"/>
      <c r="Z169" s="6"/>
    </row>
    <row r="170" spans="1:26" ht="15.75" customHeight="1" x14ac:dyDescent="0.2">
      <c r="A170" s="4" t="s">
        <v>611</v>
      </c>
      <c r="B170" s="4" t="s">
        <v>612</v>
      </c>
      <c r="C170" s="4" t="s">
        <v>610</v>
      </c>
      <c r="D170" s="4"/>
      <c r="E170" s="4"/>
      <c r="F170" s="4"/>
      <c r="G170" s="4"/>
      <c r="H170" s="4"/>
      <c r="I170" s="5"/>
      <c r="J170" s="5"/>
      <c r="K170" s="5"/>
      <c r="L170" s="5"/>
      <c r="M170" s="5"/>
      <c r="N170" s="5"/>
      <c r="O170" s="4"/>
      <c r="P170" s="6"/>
      <c r="Q170" s="6"/>
      <c r="R170" s="6"/>
      <c r="S170" s="6"/>
      <c r="T170" s="6"/>
      <c r="U170" s="6"/>
      <c r="V170" s="6"/>
      <c r="W170" s="6"/>
      <c r="X170" s="6"/>
      <c r="Y170" s="6"/>
      <c r="Z170" s="6"/>
    </row>
    <row r="171" spans="1:26" ht="15.75" customHeight="1" x14ac:dyDescent="0.2">
      <c r="A171" s="4" t="s">
        <v>613</v>
      </c>
      <c r="B171" s="4" t="s">
        <v>614</v>
      </c>
      <c r="C171" s="4" t="s">
        <v>329</v>
      </c>
      <c r="D171" s="4" t="s">
        <v>615</v>
      </c>
      <c r="E171" s="4" t="s">
        <v>17</v>
      </c>
      <c r="F171" s="4"/>
      <c r="G171" s="4"/>
      <c r="H171" s="4"/>
      <c r="I171" s="5"/>
      <c r="J171" s="5"/>
      <c r="K171" s="5"/>
      <c r="L171" s="5"/>
      <c r="M171" s="5"/>
      <c r="N171" s="5"/>
      <c r="O171" s="4"/>
      <c r="P171" s="6"/>
      <c r="Q171" s="6"/>
      <c r="R171" s="6"/>
      <c r="S171" s="6"/>
      <c r="T171" s="6"/>
      <c r="U171" s="6"/>
      <c r="V171" s="6"/>
      <c r="W171" s="6"/>
      <c r="X171" s="6"/>
      <c r="Y171" s="6"/>
      <c r="Z171" s="6"/>
    </row>
    <row r="172" spans="1:26" ht="15.75" customHeight="1" x14ac:dyDescent="0.2">
      <c r="A172" s="4" t="s">
        <v>616</v>
      </c>
      <c r="B172" s="4" t="s">
        <v>617</v>
      </c>
      <c r="C172" s="4" t="s">
        <v>20</v>
      </c>
      <c r="D172" s="4" t="s">
        <v>618</v>
      </c>
      <c r="E172" s="4" t="s">
        <v>21</v>
      </c>
      <c r="F172" s="4"/>
      <c r="G172" s="4"/>
      <c r="H172" s="4" t="s">
        <v>577</v>
      </c>
      <c r="I172" s="5"/>
      <c r="J172" s="5"/>
      <c r="K172" s="5"/>
      <c r="L172" s="5"/>
      <c r="M172" s="5"/>
      <c r="N172" s="5"/>
      <c r="O172" s="4"/>
      <c r="P172" s="6"/>
      <c r="Q172" s="6"/>
      <c r="R172" s="6"/>
      <c r="S172" s="6"/>
      <c r="T172" s="6"/>
      <c r="U172" s="6"/>
      <c r="V172" s="6"/>
      <c r="W172" s="6"/>
      <c r="X172" s="6"/>
      <c r="Y172" s="6"/>
      <c r="Z172" s="6"/>
    </row>
    <row r="173" spans="1:26" ht="15.75" customHeight="1" x14ac:dyDescent="0.2">
      <c r="A173" s="4" t="s">
        <v>619</v>
      </c>
      <c r="B173" s="4" t="s">
        <v>620</v>
      </c>
      <c r="C173" s="4" t="s">
        <v>621</v>
      </c>
      <c r="D173" s="4" t="s">
        <v>622</v>
      </c>
      <c r="E173" s="4" t="s">
        <v>17</v>
      </c>
      <c r="F173" s="4">
        <v>320</v>
      </c>
      <c r="G173" s="4"/>
      <c r="H173" s="4"/>
      <c r="I173" s="5"/>
      <c r="J173" s="5"/>
      <c r="K173" s="5"/>
      <c r="L173" s="5"/>
      <c r="M173" s="5"/>
      <c r="N173" s="5"/>
      <c r="O173" s="4"/>
      <c r="P173" s="6"/>
      <c r="Q173" s="6"/>
      <c r="R173" s="6"/>
      <c r="S173" s="6"/>
      <c r="T173" s="6"/>
      <c r="U173" s="6"/>
      <c r="V173" s="6"/>
      <c r="W173" s="6"/>
      <c r="X173" s="6"/>
      <c r="Y173" s="6"/>
      <c r="Z173" s="6"/>
    </row>
    <row r="174" spans="1:26" ht="15.75" customHeight="1" x14ac:dyDescent="0.2">
      <c r="A174" s="4" t="s">
        <v>623</v>
      </c>
      <c r="B174" s="4" t="s">
        <v>624</v>
      </c>
      <c r="C174" s="4" t="s">
        <v>625</v>
      </c>
      <c r="D174" s="4" t="s">
        <v>626</v>
      </c>
      <c r="E174" s="4" t="s">
        <v>21</v>
      </c>
      <c r="F174" s="4">
        <v>1990</v>
      </c>
      <c r="G174" s="4"/>
      <c r="H174" s="4"/>
      <c r="I174" s="5"/>
      <c r="J174" s="5"/>
      <c r="K174" s="5"/>
      <c r="L174" s="5"/>
      <c r="M174" s="5"/>
      <c r="N174" s="5"/>
      <c r="O174" s="4"/>
      <c r="P174" s="6"/>
      <c r="Q174" s="6"/>
      <c r="R174" s="6"/>
      <c r="S174" s="6"/>
      <c r="T174" s="6"/>
      <c r="U174" s="6"/>
      <c r="V174" s="6"/>
      <c r="W174" s="6"/>
      <c r="X174" s="6"/>
      <c r="Y174" s="6"/>
      <c r="Z174" s="6"/>
    </row>
    <row r="175" spans="1:26" ht="15.75" customHeight="1" x14ac:dyDescent="0.2">
      <c r="A175" s="4" t="s">
        <v>627</v>
      </c>
      <c r="B175" s="4" t="s">
        <v>628</v>
      </c>
      <c r="C175" s="4" t="s">
        <v>629</v>
      </c>
      <c r="D175" s="4"/>
      <c r="E175" s="4" t="s">
        <v>21</v>
      </c>
      <c r="F175" s="4">
        <v>700</v>
      </c>
      <c r="G175" s="4"/>
      <c r="H175" s="4"/>
      <c r="I175" s="5"/>
      <c r="J175" s="5"/>
      <c r="K175" s="5"/>
      <c r="L175" s="5"/>
      <c r="M175" s="5"/>
      <c r="N175" s="5"/>
      <c r="O175" s="4"/>
      <c r="P175" s="15"/>
      <c r="Q175" s="15"/>
      <c r="R175" s="15"/>
      <c r="S175" s="15"/>
      <c r="T175" s="15"/>
      <c r="U175" s="15"/>
      <c r="V175" s="15"/>
      <c r="W175" s="15"/>
      <c r="X175" s="15"/>
      <c r="Y175" s="15"/>
      <c r="Z175" s="15"/>
    </row>
    <row r="176" spans="1:26" ht="15.75" customHeight="1" x14ac:dyDescent="0.2">
      <c r="A176" s="4" t="s">
        <v>630</v>
      </c>
      <c r="B176" s="4" t="s">
        <v>631</v>
      </c>
      <c r="C176" s="4" t="s">
        <v>629</v>
      </c>
      <c r="D176" s="4"/>
      <c r="E176" s="4" t="s">
        <v>21</v>
      </c>
      <c r="F176" s="4">
        <v>1500</v>
      </c>
      <c r="G176" s="4"/>
      <c r="H176" s="4"/>
      <c r="I176" s="5"/>
      <c r="J176" s="5"/>
      <c r="K176" s="5"/>
      <c r="L176" s="5"/>
      <c r="M176" s="5"/>
      <c r="N176" s="5"/>
      <c r="O176" s="4"/>
      <c r="P176" s="6"/>
      <c r="Q176" s="6"/>
      <c r="R176" s="6"/>
      <c r="S176" s="6"/>
      <c r="T176" s="6"/>
      <c r="U176" s="6"/>
      <c r="V176" s="6"/>
      <c r="W176" s="6"/>
      <c r="X176" s="6"/>
      <c r="Y176" s="6"/>
      <c r="Z176" s="6"/>
    </row>
    <row r="177" spans="1:26" ht="15.75" customHeight="1" x14ac:dyDescent="0.2">
      <c r="A177" s="4" t="s">
        <v>632</v>
      </c>
      <c r="B177" s="4" t="s">
        <v>633</v>
      </c>
      <c r="C177" s="4" t="s">
        <v>629</v>
      </c>
      <c r="D177" s="4"/>
      <c r="E177" s="4" t="s">
        <v>21</v>
      </c>
      <c r="F177" s="4">
        <v>920</v>
      </c>
      <c r="G177" s="4"/>
      <c r="H177" s="4"/>
      <c r="I177" s="5"/>
      <c r="J177" s="5"/>
      <c r="K177" s="5"/>
      <c r="L177" s="5"/>
      <c r="M177" s="5"/>
      <c r="N177" s="5"/>
      <c r="O177" s="4"/>
      <c r="P177" s="6"/>
      <c r="Q177" s="6"/>
      <c r="R177" s="6"/>
      <c r="S177" s="6"/>
      <c r="T177" s="6"/>
      <c r="U177" s="6"/>
      <c r="V177" s="6"/>
      <c r="W177" s="6"/>
      <c r="X177" s="6"/>
      <c r="Y177" s="6"/>
      <c r="Z177" s="6"/>
    </row>
    <row r="178" spans="1:26" ht="15.75" customHeight="1" x14ac:dyDescent="0.2">
      <c r="A178" s="4" t="s">
        <v>634</v>
      </c>
      <c r="B178" s="4" t="s">
        <v>635</v>
      </c>
      <c r="C178" s="4" t="s">
        <v>621</v>
      </c>
      <c r="D178" s="4"/>
      <c r="E178" s="4" t="s">
        <v>17</v>
      </c>
      <c r="F178" s="4">
        <v>360</v>
      </c>
      <c r="G178" s="4"/>
      <c r="H178" s="4"/>
      <c r="I178" s="5"/>
      <c r="J178" s="5"/>
      <c r="K178" s="5"/>
      <c r="L178" s="5"/>
      <c r="M178" s="5"/>
      <c r="N178" s="5"/>
      <c r="O178" s="4"/>
      <c r="P178" s="6"/>
      <c r="Q178" s="6"/>
      <c r="R178" s="6"/>
      <c r="S178" s="6"/>
      <c r="T178" s="6"/>
      <c r="U178" s="6"/>
      <c r="V178" s="6"/>
      <c r="W178" s="6"/>
      <c r="X178" s="6"/>
      <c r="Y178" s="6"/>
      <c r="Z178" s="6"/>
    </row>
    <row r="179" spans="1:26" ht="15.75" customHeight="1" x14ac:dyDescent="0.2">
      <c r="A179" s="4" t="s">
        <v>636</v>
      </c>
      <c r="B179" s="4" t="s">
        <v>637</v>
      </c>
      <c r="C179" s="4" t="s">
        <v>16</v>
      </c>
      <c r="D179" s="4" t="s">
        <v>626</v>
      </c>
      <c r="E179" s="4" t="s">
        <v>21</v>
      </c>
      <c r="F179" s="4">
        <v>3750</v>
      </c>
      <c r="G179" s="4"/>
      <c r="H179" s="19" t="s">
        <v>638</v>
      </c>
      <c r="I179" s="5"/>
      <c r="J179" s="5"/>
      <c r="K179" s="5"/>
      <c r="L179" s="5"/>
      <c r="M179" s="5"/>
      <c r="N179" s="5"/>
      <c r="O179" s="4"/>
      <c r="P179" s="6"/>
      <c r="Q179" s="6"/>
      <c r="R179" s="6"/>
      <c r="S179" s="6"/>
      <c r="T179" s="6"/>
      <c r="U179" s="6"/>
      <c r="V179" s="6"/>
      <c r="W179" s="6"/>
      <c r="X179" s="6"/>
      <c r="Y179" s="6"/>
      <c r="Z179" s="6"/>
    </row>
    <row r="180" spans="1:26" ht="15.75" customHeight="1" x14ac:dyDescent="0.2">
      <c r="A180" s="4" t="s">
        <v>639</v>
      </c>
      <c r="B180" s="4" t="s">
        <v>628</v>
      </c>
      <c r="C180" s="4" t="s">
        <v>16</v>
      </c>
      <c r="D180" s="19" t="s">
        <v>640</v>
      </c>
      <c r="E180" s="4"/>
      <c r="F180" s="4"/>
      <c r="G180" s="4"/>
      <c r="H180" s="4"/>
      <c r="I180" s="5"/>
      <c r="J180" s="5"/>
      <c r="K180" s="5"/>
      <c r="L180" s="5"/>
      <c r="M180" s="5"/>
      <c r="N180" s="5"/>
      <c r="O180" s="4"/>
      <c r="P180" s="15"/>
      <c r="Q180" s="15"/>
      <c r="R180" s="15"/>
      <c r="S180" s="15"/>
      <c r="T180" s="15"/>
      <c r="U180" s="15"/>
      <c r="V180" s="15"/>
      <c r="W180" s="15"/>
      <c r="X180" s="15"/>
      <c r="Y180" s="15"/>
      <c r="Z180" s="15"/>
    </row>
    <row r="181" spans="1:26" ht="15.75" customHeight="1" x14ac:dyDescent="0.2">
      <c r="A181" s="4" t="s">
        <v>641</v>
      </c>
      <c r="B181" s="4" t="s">
        <v>642</v>
      </c>
      <c r="C181" s="4" t="s">
        <v>20</v>
      </c>
      <c r="D181" s="4"/>
      <c r="E181" s="4" t="s">
        <v>21</v>
      </c>
      <c r="F181" s="4">
        <v>120</v>
      </c>
      <c r="G181" s="4"/>
      <c r="H181" s="4"/>
      <c r="I181" s="5"/>
      <c r="J181" s="5"/>
      <c r="K181" s="5"/>
      <c r="L181" s="5"/>
      <c r="M181" s="5"/>
      <c r="N181" s="5"/>
      <c r="O181" s="4"/>
      <c r="P181" s="6"/>
      <c r="Q181" s="6"/>
      <c r="R181" s="6"/>
      <c r="S181" s="6"/>
      <c r="T181" s="6"/>
      <c r="U181" s="6"/>
      <c r="V181" s="6"/>
      <c r="W181" s="6"/>
      <c r="X181" s="6"/>
      <c r="Y181" s="6"/>
      <c r="Z181" s="6"/>
    </row>
    <row r="182" spans="1:26" ht="15.75" customHeight="1" x14ac:dyDescent="0.2">
      <c r="A182" s="4" t="s">
        <v>643</v>
      </c>
      <c r="B182" s="4" t="s">
        <v>644</v>
      </c>
      <c r="C182" s="4"/>
      <c r="D182" s="4"/>
      <c r="E182" s="4"/>
      <c r="F182" s="4"/>
      <c r="G182" s="4"/>
      <c r="H182" s="4"/>
      <c r="I182" s="5"/>
      <c r="J182" s="5"/>
      <c r="K182" s="5"/>
      <c r="L182" s="5"/>
      <c r="M182" s="5"/>
      <c r="N182" s="5"/>
      <c r="O182" s="4"/>
      <c r="P182" s="6"/>
      <c r="Q182" s="6"/>
      <c r="R182" s="6"/>
      <c r="S182" s="6"/>
      <c r="T182" s="6"/>
      <c r="U182" s="6"/>
      <c r="V182" s="6"/>
      <c r="W182" s="6"/>
      <c r="X182" s="6"/>
      <c r="Y182" s="6"/>
      <c r="Z182" s="6"/>
    </row>
    <row r="183" spans="1:26" ht="15.75" customHeight="1" x14ac:dyDescent="0.2">
      <c r="A183" s="4" t="s">
        <v>645</v>
      </c>
      <c r="B183" s="4" t="s">
        <v>646</v>
      </c>
      <c r="C183" s="4" t="s">
        <v>26</v>
      </c>
      <c r="D183" s="4"/>
      <c r="E183" s="4"/>
      <c r="F183" s="4"/>
      <c r="G183" s="4"/>
      <c r="H183" s="4"/>
      <c r="I183" s="5"/>
      <c r="J183" s="5"/>
      <c r="K183" s="5"/>
      <c r="L183" s="5"/>
      <c r="M183" s="5"/>
      <c r="N183" s="5"/>
      <c r="O183" s="4"/>
      <c r="P183" s="6"/>
      <c r="Q183" s="6"/>
      <c r="R183" s="6"/>
      <c r="S183" s="6"/>
      <c r="T183" s="6"/>
      <c r="U183" s="6"/>
      <c r="V183" s="6"/>
      <c r="W183" s="6"/>
      <c r="X183" s="6"/>
      <c r="Y183" s="6"/>
      <c r="Z183" s="6"/>
    </row>
    <row r="184" spans="1:26" ht="15.75" customHeight="1" x14ac:dyDescent="0.2">
      <c r="A184" s="4" t="s">
        <v>647</v>
      </c>
      <c r="B184" s="4" t="s">
        <v>648</v>
      </c>
      <c r="C184" s="4" t="s">
        <v>20</v>
      </c>
      <c r="D184" s="4"/>
      <c r="E184" s="4" t="s">
        <v>21</v>
      </c>
      <c r="F184" s="4"/>
      <c r="G184" s="4"/>
      <c r="H184" s="4"/>
      <c r="I184" s="5"/>
      <c r="J184" s="5"/>
      <c r="K184" s="5"/>
      <c r="L184" s="5"/>
      <c r="M184" s="5"/>
      <c r="N184" s="5"/>
      <c r="O184" s="4"/>
      <c r="P184" s="6"/>
      <c r="Q184" s="6"/>
      <c r="R184" s="6"/>
      <c r="S184" s="6"/>
      <c r="T184" s="6"/>
      <c r="U184" s="6"/>
      <c r="V184" s="6"/>
      <c r="W184" s="6"/>
      <c r="X184" s="6"/>
      <c r="Y184" s="6"/>
      <c r="Z184" s="6"/>
    </row>
    <row r="185" spans="1:26" ht="15.75" customHeight="1" x14ac:dyDescent="0.2">
      <c r="A185" s="4" t="s">
        <v>649</v>
      </c>
      <c r="B185" s="4" t="s">
        <v>650</v>
      </c>
      <c r="C185" s="4" t="s">
        <v>16</v>
      </c>
      <c r="D185" s="4"/>
      <c r="E185" s="4" t="s">
        <v>21</v>
      </c>
      <c r="F185" s="4"/>
      <c r="G185" s="4"/>
      <c r="H185" s="4"/>
      <c r="I185" s="5"/>
      <c r="J185" s="5"/>
      <c r="K185" s="5"/>
      <c r="L185" s="5"/>
      <c r="M185" s="5"/>
      <c r="N185" s="5"/>
      <c r="O185" s="4"/>
      <c r="P185" s="6"/>
      <c r="Q185" s="6"/>
      <c r="R185" s="6"/>
      <c r="S185" s="6"/>
      <c r="T185" s="6"/>
      <c r="U185" s="6"/>
      <c r="V185" s="6"/>
      <c r="W185" s="6"/>
      <c r="X185" s="6"/>
      <c r="Y185" s="6"/>
      <c r="Z185" s="6"/>
    </row>
    <row r="186" spans="1:26" ht="15.75" customHeight="1" x14ac:dyDescent="0.2">
      <c r="A186" s="4" t="s">
        <v>651</v>
      </c>
      <c r="B186" s="4" t="s">
        <v>648</v>
      </c>
      <c r="C186" s="4" t="s">
        <v>16</v>
      </c>
      <c r="D186" s="4"/>
      <c r="E186" s="4" t="s">
        <v>21</v>
      </c>
      <c r="F186" s="4"/>
      <c r="G186" s="4"/>
      <c r="H186" s="4"/>
      <c r="I186" s="5"/>
      <c r="J186" s="5"/>
      <c r="K186" s="5"/>
      <c r="L186" s="5"/>
      <c r="M186" s="5"/>
      <c r="N186" s="5"/>
      <c r="O186" s="4"/>
      <c r="P186" s="6"/>
      <c r="Q186" s="6"/>
      <c r="R186" s="6"/>
      <c r="S186" s="6"/>
      <c r="T186" s="6"/>
      <c r="U186" s="6"/>
      <c r="V186" s="6"/>
      <c r="W186" s="6"/>
      <c r="X186" s="6"/>
      <c r="Y186" s="6"/>
      <c r="Z186" s="6"/>
    </row>
    <row r="187" spans="1:26" ht="15.75" customHeight="1" x14ac:dyDescent="0.2">
      <c r="A187" s="4" t="s">
        <v>652</v>
      </c>
      <c r="B187" s="4" t="s">
        <v>648</v>
      </c>
      <c r="C187" s="4" t="s">
        <v>653</v>
      </c>
      <c r="D187" s="4" t="s">
        <v>577</v>
      </c>
      <c r="E187" s="4" t="s">
        <v>21</v>
      </c>
      <c r="F187" s="4"/>
      <c r="G187" s="4"/>
      <c r="H187" s="4"/>
      <c r="I187" s="5"/>
      <c r="J187" s="5"/>
      <c r="K187" s="5"/>
      <c r="L187" s="5"/>
      <c r="M187" s="5"/>
      <c r="N187" s="5"/>
      <c r="O187" s="4"/>
      <c r="P187" s="6"/>
      <c r="Q187" s="6"/>
      <c r="R187" s="6"/>
      <c r="S187" s="6"/>
      <c r="T187" s="6"/>
      <c r="U187" s="6"/>
      <c r="V187" s="6"/>
      <c r="W187" s="6"/>
      <c r="X187" s="6"/>
      <c r="Y187" s="6"/>
      <c r="Z187" s="6"/>
    </row>
    <row r="188" spans="1:26" ht="15.75" customHeight="1" x14ac:dyDescent="0.2">
      <c r="A188" s="4" t="s">
        <v>654</v>
      </c>
      <c r="B188" s="4" t="s">
        <v>655</v>
      </c>
      <c r="C188" s="4" t="s">
        <v>656</v>
      </c>
      <c r="D188" s="4"/>
      <c r="E188" s="4"/>
      <c r="F188" s="4"/>
      <c r="G188" s="4"/>
      <c r="H188" s="4"/>
      <c r="I188" s="5"/>
      <c r="J188" s="5"/>
      <c r="K188" s="5"/>
      <c r="L188" s="5"/>
      <c r="M188" s="5"/>
      <c r="N188" s="5"/>
      <c r="O188" s="4"/>
      <c r="P188" s="6"/>
      <c r="Q188" s="6"/>
      <c r="R188" s="6"/>
      <c r="S188" s="6"/>
      <c r="T188" s="6"/>
      <c r="U188" s="6"/>
      <c r="V188" s="6"/>
      <c r="W188" s="6"/>
      <c r="X188" s="6"/>
      <c r="Y188" s="6"/>
      <c r="Z188" s="6"/>
    </row>
    <row r="189" spans="1:26" ht="15.75" customHeight="1" x14ac:dyDescent="0.2">
      <c r="A189" s="4" t="s">
        <v>657</v>
      </c>
      <c r="B189" s="4" t="s">
        <v>658</v>
      </c>
      <c r="C189" s="4" t="s">
        <v>158</v>
      </c>
      <c r="D189" s="20" t="s">
        <v>659</v>
      </c>
      <c r="E189" s="4" t="s">
        <v>660</v>
      </c>
      <c r="F189" s="19" t="s">
        <v>661</v>
      </c>
      <c r="G189" s="4"/>
      <c r="H189" s="19" t="s">
        <v>662</v>
      </c>
      <c r="I189" s="5"/>
      <c r="J189" s="5"/>
      <c r="K189" s="5"/>
      <c r="L189" s="5"/>
      <c r="M189" s="5"/>
      <c r="N189" s="5"/>
      <c r="O189" s="4"/>
      <c r="P189" s="6"/>
      <c r="Q189" s="6"/>
      <c r="R189" s="6"/>
      <c r="S189" s="6"/>
      <c r="T189" s="6"/>
      <c r="U189" s="6"/>
      <c r="V189" s="6"/>
      <c r="W189" s="6"/>
      <c r="X189" s="6"/>
      <c r="Y189" s="6"/>
      <c r="Z189" s="6"/>
    </row>
    <row r="190" spans="1:26" ht="15.75" customHeight="1" x14ac:dyDescent="0.2">
      <c r="A190" s="4" t="s">
        <v>663</v>
      </c>
      <c r="B190" s="4" t="s">
        <v>664</v>
      </c>
      <c r="C190" s="4" t="s">
        <v>656</v>
      </c>
      <c r="D190" s="4"/>
      <c r="E190" s="4"/>
      <c r="F190" s="4"/>
      <c r="G190" s="4"/>
      <c r="H190" s="4"/>
      <c r="I190" s="5"/>
      <c r="J190" s="5"/>
      <c r="K190" s="5"/>
      <c r="L190" s="5"/>
      <c r="M190" s="5"/>
      <c r="N190" s="5"/>
      <c r="O190" s="4"/>
      <c r="P190" s="6"/>
      <c r="Q190" s="6"/>
      <c r="R190" s="6"/>
      <c r="S190" s="6"/>
      <c r="T190" s="6"/>
      <c r="U190" s="6"/>
      <c r="V190" s="6"/>
      <c r="W190" s="6"/>
      <c r="X190" s="6"/>
      <c r="Y190" s="6"/>
      <c r="Z190" s="6"/>
    </row>
    <row r="191" spans="1:26" ht="15.75" customHeight="1" x14ac:dyDescent="0.2">
      <c r="A191" s="4" t="s">
        <v>665</v>
      </c>
      <c r="B191" s="4" t="s">
        <v>666</v>
      </c>
      <c r="C191" s="4" t="s">
        <v>656</v>
      </c>
      <c r="D191" s="4"/>
      <c r="E191" s="4"/>
      <c r="F191" s="4"/>
      <c r="G191" s="4"/>
      <c r="H191" s="4"/>
      <c r="I191" s="5"/>
      <c r="J191" s="5"/>
      <c r="K191" s="5"/>
      <c r="L191" s="5"/>
      <c r="M191" s="5"/>
      <c r="N191" s="5"/>
      <c r="O191" s="4"/>
      <c r="P191" s="6"/>
      <c r="Q191" s="6"/>
      <c r="R191" s="6"/>
      <c r="S191" s="6"/>
      <c r="T191" s="6"/>
      <c r="U191" s="6"/>
      <c r="V191" s="6"/>
      <c r="W191" s="6"/>
      <c r="X191" s="6"/>
      <c r="Y191" s="6"/>
      <c r="Z191" s="6"/>
    </row>
    <row r="192" spans="1:26" ht="15.75" customHeight="1" x14ac:dyDescent="0.2">
      <c r="A192" s="4" t="s">
        <v>667</v>
      </c>
      <c r="B192" s="4" t="s">
        <v>668</v>
      </c>
      <c r="C192" s="4" t="s">
        <v>669</v>
      </c>
      <c r="D192" s="4"/>
      <c r="E192" s="4"/>
      <c r="F192" s="4"/>
      <c r="G192" s="4"/>
      <c r="H192" s="4"/>
      <c r="I192" s="5"/>
      <c r="J192" s="5"/>
      <c r="K192" s="5"/>
      <c r="L192" s="5"/>
      <c r="M192" s="5"/>
      <c r="N192" s="5"/>
      <c r="O192" s="4"/>
      <c r="P192" s="6"/>
      <c r="Q192" s="6"/>
      <c r="R192" s="6"/>
      <c r="S192" s="6"/>
      <c r="T192" s="6"/>
      <c r="U192" s="6"/>
      <c r="V192" s="6"/>
      <c r="W192" s="6"/>
      <c r="X192" s="6"/>
      <c r="Y192" s="6"/>
      <c r="Z192" s="6"/>
    </row>
    <row r="193" spans="1:26" ht="15.75" customHeight="1" x14ac:dyDescent="0.2">
      <c r="A193" s="4" t="s">
        <v>670</v>
      </c>
      <c r="B193" s="4" t="s">
        <v>671</v>
      </c>
      <c r="C193" s="4" t="s">
        <v>610</v>
      </c>
      <c r="D193" s="4"/>
      <c r="E193" s="4"/>
      <c r="F193" s="4"/>
      <c r="G193" s="4"/>
      <c r="H193" s="4"/>
      <c r="I193" s="5"/>
      <c r="J193" s="5"/>
      <c r="K193" s="5"/>
      <c r="L193" s="5"/>
      <c r="M193" s="5"/>
      <c r="N193" s="5"/>
      <c r="O193" s="4"/>
      <c r="P193" s="6"/>
      <c r="Q193" s="6"/>
      <c r="R193" s="6"/>
      <c r="S193" s="6"/>
      <c r="T193" s="6"/>
      <c r="U193" s="6"/>
      <c r="V193" s="6"/>
      <c r="W193" s="6"/>
      <c r="X193" s="6"/>
      <c r="Y193" s="6"/>
      <c r="Z193" s="6"/>
    </row>
    <row r="194" spans="1:26" ht="15.75" customHeight="1" x14ac:dyDescent="0.2">
      <c r="A194" s="4" t="s">
        <v>672</v>
      </c>
      <c r="B194" s="4" t="s">
        <v>673</v>
      </c>
      <c r="C194" s="4" t="s">
        <v>625</v>
      </c>
      <c r="D194" s="4" t="s">
        <v>674</v>
      </c>
      <c r="E194" s="4" t="s">
        <v>21</v>
      </c>
      <c r="F194" s="4">
        <v>820</v>
      </c>
      <c r="G194" s="4"/>
      <c r="H194" s="4"/>
      <c r="I194" s="5">
        <v>100</v>
      </c>
      <c r="J194" s="5">
        <v>100</v>
      </c>
      <c r="K194" s="5">
        <v>0</v>
      </c>
      <c r="L194" s="5">
        <v>0</v>
      </c>
      <c r="M194" s="5"/>
      <c r="N194" s="5"/>
      <c r="O194" s="4"/>
      <c r="P194" s="6"/>
      <c r="Q194" s="6"/>
      <c r="R194" s="6"/>
      <c r="S194" s="6"/>
      <c r="T194" s="6"/>
      <c r="U194" s="6"/>
      <c r="V194" s="6"/>
      <c r="W194" s="6"/>
      <c r="X194" s="6"/>
      <c r="Y194" s="6"/>
      <c r="Z194" s="6"/>
    </row>
    <row r="195" spans="1:26" ht="15.75" customHeight="1" x14ac:dyDescent="0.2">
      <c r="A195" s="4" t="s">
        <v>675</v>
      </c>
      <c r="B195" s="4" t="s">
        <v>676</v>
      </c>
      <c r="C195" s="4" t="s">
        <v>629</v>
      </c>
      <c r="D195" s="4"/>
      <c r="E195" s="4" t="s">
        <v>21</v>
      </c>
      <c r="F195" s="4">
        <v>870</v>
      </c>
      <c r="G195" s="4"/>
      <c r="H195" s="4"/>
      <c r="I195" s="5"/>
      <c r="J195" s="5"/>
      <c r="K195" s="5"/>
      <c r="L195" s="5"/>
      <c r="M195" s="5"/>
      <c r="N195" s="5"/>
      <c r="O195" s="4"/>
      <c r="P195" s="6"/>
      <c r="Q195" s="6"/>
      <c r="R195" s="6"/>
      <c r="S195" s="6"/>
      <c r="T195" s="6"/>
      <c r="U195" s="6"/>
      <c r="V195" s="6"/>
      <c r="W195" s="6"/>
      <c r="X195" s="6"/>
      <c r="Y195" s="6"/>
      <c r="Z195" s="6"/>
    </row>
    <row r="196" spans="1:26" ht="15.75" customHeight="1" x14ac:dyDescent="0.2">
      <c r="A196" s="4" t="s">
        <v>677</v>
      </c>
      <c r="B196" s="4" t="s">
        <v>678</v>
      </c>
      <c r="C196" s="4" t="s">
        <v>656</v>
      </c>
      <c r="D196" s="4"/>
      <c r="E196" s="4"/>
      <c r="F196" s="4"/>
      <c r="G196" s="4"/>
      <c r="H196" s="4"/>
      <c r="I196" s="5"/>
      <c r="J196" s="5"/>
      <c r="K196" s="5"/>
      <c r="L196" s="5"/>
      <c r="M196" s="5"/>
      <c r="N196" s="5"/>
      <c r="O196" s="4"/>
      <c r="P196" s="6"/>
      <c r="Q196" s="6"/>
      <c r="R196" s="6"/>
      <c r="S196" s="6"/>
      <c r="T196" s="6"/>
      <c r="U196" s="6"/>
      <c r="V196" s="6"/>
      <c r="W196" s="6"/>
      <c r="X196" s="6"/>
      <c r="Y196" s="6"/>
      <c r="Z196" s="6"/>
    </row>
    <row r="197" spans="1:26" ht="15.75" customHeight="1" x14ac:dyDescent="0.2">
      <c r="A197" s="4" t="s">
        <v>679</v>
      </c>
      <c r="B197" s="4" t="s">
        <v>680</v>
      </c>
      <c r="C197" s="4"/>
      <c r="D197" s="4"/>
      <c r="E197" s="4"/>
      <c r="F197" s="4"/>
      <c r="G197" s="4"/>
      <c r="H197" s="4"/>
      <c r="I197" s="5"/>
      <c r="J197" s="5"/>
      <c r="K197" s="5"/>
      <c r="L197" s="5"/>
      <c r="M197" s="5"/>
      <c r="N197" s="5"/>
      <c r="O197" s="4"/>
      <c r="P197" s="6"/>
      <c r="Q197" s="6"/>
      <c r="R197" s="6"/>
      <c r="S197" s="6"/>
      <c r="T197" s="6"/>
      <c r="U197" s="6"/>
      <c r="V197" s="6"/>
      <c r="W197" s="6"/>
      <c r="X197" s="6"/>
      <c r="Y197" s="6"/>
      <c r="Z197" s="6"/>
    </row>
    <row r="198" spans="1:26" ht="15.75" customHeight="1" x14ac:dyDescent="0.2">
      <c r="A198" s="4" t="s">
        <v>681</v>
      </c>
      <c r="B198" s="4" t="s">
        <v>682</v>
      </c>
      <c r="C198" s="4" t="s">
        <v>683</v>
      </c>
      <c r="D198" s="4"/>
      <c r="E198" s="4" t="s">
        <v>21</v>
      </c>
      <c r="F198" s="4"/>
      <c r="G198" s="4"/>
      <c r="H198" s="4"/>
      <c r="I198" s="5"/>
      <c r="J198" s="5"/>
      <c r="K198" s="5"/>
      <c r="L198" s="5"/>
      <c r="M198" s="5"/>
      <c r="N198" s="5"/>
      <c r="O198" s="4"/>
      <c r="P198" s="6"/>
      <c r="Q198" s="6"/>
      <c r="R198" s="6"/>
      <c r="S198" s="6"/>
      <c r="T198" s="6"/>
      <c r="U198" s="6"/>
      <c r="V198" s="6"/>
      <c r="W198" s="6"/>
      <c r="X198" s="6"/>
      <c r="Y198" s="6"/>
      <c r="Z198" s="6"/>
    </row>
    <row r="199" spans="1:26" ht="15.75" customHeight="1" x14ac:dyDescent="0.2">
      <c r="A199" s="4" t="s">
        <v>684</v>
      </c>
      <c r="B199" s="4" t="s">
        <v>685</v>
      </c>
      <c r="C199" s="4" t="s">
        <v>329</v>
      </c>
      <c r="D199" s="21" t="s">
        <v>686</v>
      </c>
      <c r="E199" s="4" t="s">
        <v>17</v>
      </c>
      <c r="F199" s="4">
        <v>300</v>
      </c>
      <c r="G199" s="4"/>
      <c r="H199" s="19" t="s">
        <v>687</v>
      </c>
      <c r="I199" s="5"/>
      <c r="J199" s="5"/>
      <c r="K199" s="5"/>
      <c r="L199" s="5"/>
      <c r="M199" s="5"/>
      <c r="N199" s="5"/>
      <c r="O199" s="4"/>
      <c r="P199" s="6"/>
      <c r="Q199" s="6"/>
      <c r="R199" s="6"/>
      <c r="S199" s="6"/>
      <c r="T199" s="6"/>
      <c r="U199" s="6"/>
      <c r="V199" s="6"/>
      <c r="W199" s="6"/>
      <c r="X199" s="6"/>
      <c r="Y199" s="6"/>
      <c r="Z199" s="6"/>
    </row>
    <row r="200" spans="1:26" ht="15.75" customHeight="1" x14ac:dyDescent="0.2">
      <c r="A200" s="22" t="s">
        <v>688</v>
      </c>
      <c r="B200" s="22" t="s">
        <v>689</v>
      </c>
      <c r="C200" s="22" t="s">
        <v>56</v>
      </c>
      <c r="D200" s="22"/>
      <c r="E200" s="22"/>
      <c r="F200" s="22"/>
      <c r="G200" s="22" t="s">
        <v>42</v>
      </c>
      <c r="H200" s="22"/>
      <c r="I200" s="23"/>
      <c r="J200" s="23"/>
      <c r="K200" s="23"/>
      <c r="L200" s="23"/>
      <c r="M200" s="23"/>
      <c r="N200" s="23"/>
      <c r="O200" s="4"/>
      <c r="P200" s="6"/>
      <c r="Q200" s="6"/>
      <c r="R200" s="6"/>
      <c r="S200" s="6"/>
      <c r="T200" s="6"/>
      <c r="U200" s="6"/>
      <c r="V200" s="6"/>
      <c r="W200" s="6"/>
      <c r="X200" s="6"/>
      <c r="Y200" s="6"/>
      <c r="Z200" s="6"/>
    </row>
    <row r="201" spans="1:26" ht="15.75" customHeight="1" x14ac:dyDescent="0.2">
      <c r="A201" s="22" t="s">
        <v>690</v>
      </c>
      <c r="B201" s="22" t="s">
        <v>691</v>
      </c>
      <c r="C201" s="22" t="s">
        <v>16</v>
      </c>
      <c r="D201" s="22"/>
      <c r="E201" s="22"/>
      <c r="F201" s="22"/>
      <c r="G201" s="22"/>
      <c r="H201" s="22"/>
      <c r="I201" s="23"/>
      <c r="J201" s="23"/>
      <c r="K201" s="23"/>
      <c r="L201" s="23"/>
      <c r="M201" s="23"/>
      <c r="N201" s="23"/>
      <c r="O201" s="22"/>
      <c r="P201" s="6"/>
      <c r="Q201" s="6"/>
      <c r="R201" s="6"/>
      <c r="S201" s="6"/>
      <c r="T201" s="6"/>
      <c r="U201" s="6"/>
      <c r="V201" s="6"/>
      <c r="W201" s="6"/>
      <c r="X201" s="6"/>
      <c r="Y201" s="6"/>
      <c r="Z201" s="6"/>
    </row>
    <row r="202" spans="1:26" ht="15.75" customHeight="1" x14ac:dyDescent="0.2">
      <c r="A202" s="22" t="s">
        <v>692</v>
      </c>
      <c r="B202" s="22" t="s">
        <v>693</v>
      </c>
      <c r="C202" s="22" t="s">
        <v>48</v>
      </c>
      <c r="D202" s="22"/>
      <c r="E202" s="22"/>
      <c r="F202" s="22"/>
      <c r="G202" s="22"/>
      <c r="H202" s="22"/>
      <c r="I202" s="23"/>
      <c r="J202" s="23"/>
      <c r="K202" s="23"/>
      <c r="L202" s="23"/>
      <c r="M202" s="23"/>
      <c r="N202" s="23"/>
      <c r="O202" s="22"/>
      <c r="P202" s="6"/>
      <c r="Q202" s="6"/>
      <c r="R202" s="6"/>
      <c r="S202" s="6"/>
      <c r="T202" s="6"/>
      <c r="U202" s="6"/>
      <c r="V202" s="6"/>
      <c r="W202" s="6"/>
      <c r="X202" s="6"/>
      <c r="Y202" s="6"/>
      <c r="Z202" s="6"/>
    </row>
    <row r="203" spans="1:26" ht="15.75" customHeight="1" x14ac:dyDescent="0.2">
      <c r="A203" s="22" t="s">
        <v>694</v>
      </c>
      <c r="B203" s="22" t="s">
        <v>695</v>
      </c>
      <c r="C203" s="22" t="s">
        <v>696</v>
      </c>
      <c r="D203" s="22" t="s">
        <v>697</v>
      </c>
      <c r="E203" s="22"/>
      <c r="F203" s="22">
        <v>205</v>
      </c>
      <c r="G203" s="22" t="s">
        <v>42</v>
      </c>
      <c r="H203" s="24" t="s">
        <v>698</v>
      </c>
      <c r="I203" s="23"/>
      <c r="J203" s="23"/>
      <c r="K203" s="23"/>
      <c r="L203" s="23"/>
      <c r="M203" s="23"/>
      <c r="N203" s="23"/>
      <c r="O203" s="22"/>
      <c r="P203" s="6"/>
      <c r="Q203" s="6"/>
      <c r="R203" s="6"/>
      <c r="S203" s="6"/>
      <c r="T203" s="6"/>
      <c r="U203" s="6"/>
      <c r="V203" s="6"/>
      <c r="W203" s="6"/>
      <c r="X203" s="6"/>
      <c r="Y203" s="6"/>
      <c r="Z203" s="6"/>
    </row>
    <row r="204" spans="1:26" ht="15.75" customHeight="1" x14ac:dyDescent="0.2">
      <c r="A204" s="22" t="s">
        <v>699</v>
      </c>
      <c r="B204" s="22" t="s">
        <v>700</v>
      </c>
      <c r="C204" s="22" t="s">
        <v>701</v>
      </c>
      <c r="D204" s="25" t="s">
        <v>702</v>
      </c>
      <c r="E204" s="22"/>
      <c r="F204" s="22"/>
      <c r="G204" s="22" t="s">
        <v>42</v>
      </c>
      <c r="H204" s="24"/>
      <c r="I204" s="23"/>
      <c r="J204" s="23"/>
      <c r="K204" s="23"/>
      <c r="L204" s="23"/>
      <c r="M204" s="23"/>
      <c r="N204" s="23"/>
      <c r="O204" s="22"/>
      <c r="P204" s="6"/>
      <c r="Q204" s="6"/>
      <c r="R204" s="6"/>
      <c r="S204" s="6"/>
      <c r="T204" s="6"/>
      <c r="U204" s="6"/>
      <c r="V204" s="6"/>
      <c r="W204" s="6"/>
      <c r="X204" s="6"/>
      <c r="Y204" s="6"/>
      <c r="Z204" s="6"/>
    </row>
    <row r="205" spans="1:26" ht="15.75" customHeight="1" x14ac:dyDescent="0.2">
      <c r="A205" s="22" t="s">
        <v>703</v>
      </c>
      <c r="B205" s="22" t="s">
        <v>704</v>
      </c>
      <c r="C205" s="22" t="s">
        <v>102</v>
      </c>
      <c r="D205" s="24" t="s">
        <v>705</v>
      </c>
      <c r="E205" s="22" t="s">
        <v>261</v>
      </c>
      <c r="F205" s="22">
        <v>330</v>
      </c>
      <c r="G205" s="22"/>
      <c r="H205" s="24" t="s">
        <v>706</v>
      </c>
      <c r="I205" s="23"/>
      <c r="J205" s="23"/>
      <c r="K205" s="23"/>
      <c r="L205" s="23"/>
      <c r="M205" s="23" t="s">
        <v>707</v>
      </c>
      <c r="N205" s="23"/>
      <c r="O205" s="22"/>
      <c r="P205" s="26"/>
      <c r="Q205" s="26"/>
      <c r="R205" s="26"/>
      <c r="S205" s="26"/>
      <c r="T205" s="26"/>
      <c r="U205" s="26"/>
      <c r="V205" s="26"/>
      <c r="W205" s="26"/>
      <c r="X205" s="26"/>
      <c r="Y205" s="26"/>
      <c r="Z205" s="26"/>
    </row>
    <row r="206" spans="1:26" ht="15.75" customHeight="1" x14ac:dyDescent="0.2">
      <c r="A206" s="22" t="s">
        <v>708</v>
      </c>
      <c r="B206" s="22" t="s">
        <v>709</v>
      </c>
      <c r="C206" s="22" t="s">
        <v>407</v>
      </c>
      <c r="D206" s="27" t="s">
        <v>710</v>
      </c>
      <c r="E206" s="24" t="s">
        <v>711</v>
      </c>
      <c r="F206" s="24">
        <v>564.29</v>
      </c>
      <c r="G206" s="22"/>
      <c r="H206" s="24" t="s">
        <v>712</v>
      </c>
      <c r="I206" s="23"/>
      <c r="J206" s="23"/>
      <c r="K206" s="23"/>
      <c r="L206" s="23"/>
      <c r="M206" s="23"/>
      <c r="N206" s="23"/>
      <c r="O206" s="22"/>
      <c r="P206" s="26"/>
      <c r="Q206" s="26"/>
      <c r="R206" s="26"/>
      <c r="S206" s="26"/>
      <c r="T206" s="26"/>
      <c r="U206" s="26"/>
      <c r="V206" s="26"/>
      <c r="W206" s="26"/>
      <c r="X206" s="26"/>
      <c r="Y206" s="26"/>
      <c r="Z206" s="26"/>
    </row>
    <row r="207" spans="1:26" ht="15.75" customHeight="1" x14ac:dyDescent="0.2">
      <c r="A207" s="22" t="s">
        <v>713</v>
      </c>
      <c r="B207" s="22" t="s">
        <v>714</v>
      </c>
      <c r="C207" s="22" t="s">
        <v>426</v>
      </c>
      <c r="D207" s="28" t="s">
        <v>715</v>
      </c>
      <c r="E207" s="22"/>
      <c r="F207" s="22"/>
      <c r="G207" s="22"/>
      <c r="H207" s="24"/>
      <c r="I207" s="23"/>
      <c r="J207" s="23"/>
      <c r="K207" s="23"/>
      <c r="L207" s="23"/>
      <c r="M207" s="23"/>
      <c r="N207" s="23"/>
      <c r="O207" s="22"/>
      <c r="P207" s="26"/>
      <c r="Q207" s="26"/>
      <c r="R207" s="26"/>
      <c r="S207" s="26"/>
      <c r="T207" s="26"/>
      <c r="U207" s="26"/>
      <c r="V207" s="26"/>
      <c r="W207" s="26"/>
      <c r="X207" s="26"/>
      <c r="Y207" s="26"/>
      <c r="Z207" s="26"/>
    </row>
    <row r="208" spans="1:26" ht="48" customHeight="1" x14ac:dyDescent="0.2">
      <c r="A208" s="22" t="s">
        <v>716</v>
      </c>
      <c r="B208" s="22" t="s">
        <v>717</v>
      </c>
      <c r="C208" s="22" t="s">
        <v>241</v>
      </c>
      <c r="D208" s="29" t="s">
        <v>718</v>
      </c>
      <c r="E208" s="22" t="s">
        <v>719</v>
      </c>
      <c r="F208" s="22">
        <v>250.21</v>
      </c>
      <c r="G208" s="22" t="s">
        <v>42</v>
      </c>
      <c r="H208" s="24" t="s">
        <v>720</v>
      </c>
      <c r="I208" s="23">
        <v>100</v>
      </c>
      <c r="J208" s="23">
        <v>0</v>
      </c>
      <c r="K208" s="23">
        <v>0</v>
      </c>
      <c r="L208" s="23">
        <v>0</v>
      </c>
      <c r="M208" s="23" t="s">
        <v>721</v>
      </c>
      <c r="N208" s="23"/>
      <c r="O208" s="22"/>
      <c r="P208" s="26"/>
      <c r="Q208" s="26"/>
      <c r="R208" s="26"/>
      <c r="S208" s="26"/>
      <c r="T208" s="26"/>
      <c r="U208" s="26"/>
      <c r="V208" s="26"/>
      <c r="W208" s="26"/>
      <c r="X208" s="26"/>
      <c r="Y208" s="26"/>
      <c r="Z208" s="26"/>
    </row>
    <row r="209" spans="1:26" ht="15.75" customHeight="1" x14ac:dyDescent="0.2">
      <c r="A209" s="22" t="s">
        <v>722</v>
      </c>
      <c r="B209" s="30" t="s">
        <v>723</v>
      </c>
      <c r="C209" s="30" t="s">
        <v>407</v>
      </c>
      <c r="D209" s="31" t="s">
        <v>724</v>
      </c>
      <c r="E209" s="31" t="s">
        <v>719</v>
      </c>
      <c r="F209" s="32"/>
      <c r="G209" s="30"/>
      <c r="H209" s="31" t="s">
        <v>725</v>
      </c>
      <c r="I209" s="23"/>
      <c r="J209" s="23"/>
      <c r="K209" s="23"/>
      <c r="L209" s="23"/>
      <c r="M209" s="23" t="s">
        <v>721</v>
      </c>
      <c r="N209" s="33" t="s">
        <v>726</v>
      </c>
      <c r="O209" s="22"/>
      <c r="P209" s="26"/>
      <c r="Q209" s="26"/>
      <c r="R209" s="26"/>
      <c r="S209" s="26"/>
      <c r="T209" s="26"/>
      <c r="U209" s="26"/>
      <c r="V209" s="26"/>
      <c r="W209" s="26"/>
      <c r="X209" s="26"/>
      <c r="Y209" s="26"/>
      <c r="Z209" s="26"/>
    </row>
    <row r="210" spans="1:26" ht="15.75" customHeight="1" x14ac:dyDescent="0.2">
      <c r="A210" s="22" t="s">
        <v>727</v>
      </c>
      <c r="B210" s="30" t="s">
        <v>728</v>
      </c>
      <c r="C210" s="30" t="s">
        <v>696</v>
      </c>
      <c r="D210" s="31" t="s">
        <v>729</v>
      </c>
      <c r="E210" s="31" t="s">
        <v>730</v>
      </c>
      <c r="F210" s="32"/>
      <c r="G210" s="30"/>
      <c r="H210" s="31" t="s">
        <v>731</v>
      </c>
      <c r="I210" s="23"/>
      <c r="J210" s="23"/>
      <c r="K210" s="23"/>
      <c r="L210" s="23"/>
      <c r="M210" s="23" t="s">
        <v>732</v>
      </c>
      <c r="N210" s="33"/>
      <c r="O210" s="22"/>
      <c r="P210" s="26"/>
      <c r="Q210" s="26"/>
      <c r="R210" s="26"/>
      <c r="S210" s="26"/>
      <c r="T210" s="26"/>
      <c r="U210" s="26"/>
      <c r="V210" s="26"/>
      <c r="W210" s="26"/>
      <c r="X210" s="26"/>
      <c r="Y210" s="26"/>
      <c r="Z210" s="26"/>
    </row>
    <row r="211" spans="1:26" ht="15.75" customHeight="1" x14ac:dyDescent="0.2">
      <c r="A211" s="22" t="s">
        <v>733</v>
      </c>
      <c r="B211" s="30" t="s">
        <v>734</v>
      </c>
      <c r="C211" s="30" t="s">
        <v>407</v>
      </c>
      <c r="D211" s="31" t="s">
        <v>735</v>
      </c>
      <c r="E211" s="31" t="s">
        <v>736</v>
      </c>
      <c r="F211" s="32">
        <v>12</v>
      </c>
      <c r="G211" s="30"/>
      <c r="H211" s="31" t="s">
        <v>737</v>
      </c>
      <c r="I211" s="23"/>
      <c r="J211" s="23"/>
      <c r="K211" s="23"/>
      <c r="L211" s="23"/>
      <c r="M211" s="23"/>
      <c r="N211" s="33"/>
      <c r="O211" s="22"/>
      <c r="P211" s="26"/>
      <c r="Q211" s="26"/>
      <c r="R211" s="26"/>
      <c r="S211" s="26"/>
      <c r="T211" s="26"/>
      <c r="U211" s="26"/>
      <c r="V211" s="26"/>
      <c r="W211" s="26"/>
      <c r="X211" s="26"/>
      <c r="Y211" s="26"/>
      <c r="Z211" s="26"/>
    </row>
    <row r="212" spans="1:26" ht="15.75" customHeight="1" x14ac:dyDescent="0.2">
      <c r="A212" s="22" t="s">
        <v>738</v>
      </c>
      <c r="B212" s="30" t="s">
        <v>739</v>
      </c>
      <c r="C212" s="30" t="s">
        <v>407</v>
      </c>
      <c r="D212" s="31" t="s">
        <v>740</v>
      </c>
      <c r="E212" s="31" t="s">
        <v>741</v>
      </c>
      <c r="F212" s="32"/>
      <c r="G212" s="30"/>
      <c r="H212" s="31" t="s">
        <v>742</v>
      </c>
      <c r="I212" s="23"/>
      <c r="J212" s="23"/>
      <c r="K212" s="23"/>
      <c r="L212" s="23"/>
      <c r="M212" s="23"/>
      <c r="N212" s="33"/>
      <c r="O212" s="22"/>
      <c r="P212" s="26"/>
      <c r="Q212" s="26"/>
      <c r="R212" s="26"/>
      <c r="S212" s="26"/>
      <c r="T212" s="26"/>
      <c r="U212" s="26"/>
      <c r="V212" s="26"/>
      <c r="W212" s="26"/>
      <c r="X212" s="26"/>
      <c r="Y212" s="26"/>
      <c r="Z212" s="26"/>
    </row>
    <row r="213" spans="1:26" ht="15.75" customHeight="1" x14ac:dyDescent="0.2">
      <c r="A213" s="22" t="s">
        <v>743</v>
      </c>
      <c r="B213" s="30" t="s">
        <v>744</v>
      </c>
      <c r="C213" s="30" t="s">
        <v>407</v>
      </c>
      <c r="D213" s="31" t="s">
        <v>745</v>
      </c>
      <c r="E213" s="31" t="s">
        <v>746</v>
      </c>
      <c r="F213" s="32">
        <v>33.89</v>
      </c>
      <c r="G213" s="30" t="s">
        <v>486</v>
      </c>
      <c r="H213" s="31" t="s">
        <v>747</v>
      </c>
      <c r="I213" s="23"/>
      <c r="J213" s="23"/>
      <c r="K213" s="23"/>
      <c r="L213" s="23"/>
      <c r="M213" s="23"/>
      <c r="N213" s="33"/>
      <c r="O213" s="22"/>
      <c r="P213" s="26"/>
      <c r="Q213" s="26"/>
      <c r="R213" s="26"/>
      <c r="S213" s="26"/>
      <c r="T213" s="26"/>
      <c r="U213" s="26"/>
      <c r="V213" s="26"/>
      <c r="W213" s="26"/>
      <c r="X213" s="26"/>
      <c r="Y213" s="26"/>
      <c r="Z213" s="26"/>
    </row>
    <row r="214" spans="1:26" ht="15.75" customHeight="1" x14ac:dyDescent="0.2">
      <c r="A214" s="4" t="s">
        <v>748</v>
      </c>
      <c r="B214" s="4" t="s">
        <v>749</v>
      </c>
      <c r="C214" s="4" t="s">
        <v>597</v>
      </c>
      <c r="D214" s="4"/>
      <c r="E214" s="4" t="s">
        <v>21</v>
      </c>
      <c r="F214" s="4"/>
      <c r="G214" s="4"/>
      <c r="H214" s="19"/>
      <c r="I214" s="5"/>
      <c r="J214" s="5"/>
      <c r="K214" s="5"/>
      <c r="L214" s="5"/>
      <c r="M214" s="5"/>
      <c r="N214" s="5"/>
      <c r="O214" s="4"/>
      <c r="P214" s="26"/>
      <c r="Q214" s="26"/>
      <c r="R214" s="26"/>
      <c r="S214" s="26"/>
      <c r="T214" s="26"/>
      <c r="U214" s="26"/>
      <c r="V214" s="26"/>
      <c r="W214" s="26"/>
      <c r="X214" s="26"/>
      <c r="Y214" s="26"/>
      <c r="Z214" s="26"/>
    </row>
    <row r="215" spans="1:26" ht="15.75" customHeight="1" x14ac:dyDescent="0.2">
      <c r="A215" s="4" t="s">
        <v>750</v>
      </c>
      <c r="B215" s="4" t="s">
        <v>751</v>
      </c>
      <c r="C215" s="4" t="s">
        <v>607</v>
      </c>
      <c r="D215" s="4"/>
      <c r="E215" s="4" t="s">
        <v>752</v>
      </c>
      <c r="F215" s="4"/>
      <c r="G215" s="4"/>
      <c r="H215" s="19"/>
      <c r="I215" s="5"/>
      <c r="J215" s="5"/>
      <c r="K215" s="5"/>
      <c r="L215" s="5"/>
      <c r="M215" s="5"/>
      <c r="N215" s="5"/>
      <c r="O215" s="4"/>
      <c r="P215" s="26"/>
      <c r="Q215" s="26"/>
      <c r="R215" s="26"/>
      <c r="S215" s="26"/>
      <c r="T215" s="26"/>
      <c r="U215" s="26"/>
      <c r="V215" s="26"/>
      <c r="W215" s="26"/>
      <c r="X215" s="26"/>
      <c r="Y215" s="26"/>
      <c r="Z215" s="26"/>
    </row>
    <row r="216" spans="1:26" ht="15.75" customHeight="1" x14ac:dyDescent="0.2">
      <c r="A216" s="4" t="s">
        <v>753</v>
      </c>
      <c r="B216" s="4" t="s">
        <v>754</v>
      </c>
      <c r="C216" s="4" t="s">
        <v>20</v>
      </c>
      <c r="D216" s="34"/>
      <c r="E216" s="4" t="s">
        <v>755</v>
      </c>
      <c r="F216" s="4">
        <v>450</v>
      </c>
      <c r="G216" s="4"/>
      <c r="H216" s="19" t="s">
        <v>756</v>
      </c>
      <c r="I216" s="4"/>
      <c r="J216" s="4"/>
      <c r="K216" s="4"/>
      <c r="L216" s="4"/>
      <c r="M216" s="4"/>
      <c r="N216" s="4"/>
      <c r="O216" s="4"/>
      <c r="P216" s="26"/>
      <c r="Q216" s="26"/>
      <c r="R216" s="26"/>
      <c r="S216" s="26"/>
      <c r="T216" s="26"/>
      <c r="U216" s="26"/>
      <c r="V216" s="26"/>
      <c r="W216" s="26"/>
      <c r="X216" s="26"/>
      <c r="Y216" s="26"/>
      <c r="Z216" s="26"/>
    </row>
    <row r="217" spans="1:26" ht="15.75" customHeight="1" x14ac:dyDescent="0.2">
      <c r="A217" s="4" t="s">
        <v>757</v>
      </c>
      <c r="B217" s="4" t="s">
        <v>758</v>
      </c>
      <c r="C217" s="4" t="s">
        <v>26</v>
      </c>
      <c r="D217" s="4"/>
      <c r="E217" s="4"/>
      <c r="F217" s="4"/>
      <c r="G217" s="4"/>
      <c r="H217" s="4"/>
      <c r="I217" s="5"/>
      <c r="J217" s="5"/>
      <c r="K217" s="5"/>
      <c r="L217" s="5"/>
      <c r="M217" s="5"/>
      <c r="N217" s="5"/>
      <c r="O217" s="4"/>
      <c r="P217" s="26"/>
      <c r="Q217" s="26"/>
      <c r="R217" s="26"/>
      <c r="S217" s="26"/>
      <c r="T217" s="26"/>
      <c r="U217" s="26"/>
      <c r="V217" s="26"/>
      <c r="W217" s="26"/>
      <c r="X217" s="26"/>
      <c r="Y217" s="26"/>
      <c r="Z217" s="26"/>
    </row>
    <row r="218" spans="1:26" ht="204" customHeight="1" x14ac:dyDescent="0.2">
      <c r="A218" s="4" t="s">
        <v>759</v>
      </c>
      <c r="B218" s="4" t="s">
        <v>760</v>
      </c>
      <c r="C218" s="4" t="s">
        <v>20</v>
      </c>
      <c r="D218" s="4"/>
      <c r="E218" s="4" t="s">
        <v>21</v>
      </c>
      <c r="F218" s="4">
        <v>1500</v>
      </c>
      <c r="G218" s="4"/>
      <c r="H218" s="4"/>
      <c r="I218" s="5"/>
      <c r="J218" s="5"/>
      <c r="K218" s="5"/>
      <c r="L218" s="5"/>
      <c r="M218" s="5"/>
      <c r="N218" s="5"/>
      <c r="O218" s="4"/>
      <c r="P218" s="26"/>
      <c r="Q218" s="26"/>
      <c r="R218" s="26"/>
      <c r="S218" s="26"/>
      <c r="T218" s="26"/>
      <c r="U218" s="26"/>
      <c r="V218" s="26"/>
      <c r="W218" s="26"/>
      <c r="X218" s="26"/>
      <c r="Y218" s="26"/>
      <c r="Z218" s="26"/>
    </row>
    <row r="219" spans="1:26" ht="15.75" customHeight="1" x14ac:dyDescent="0.2">
      <c r="A219" s="4" t="s">
        <v>761</v>
      </c>
      <c r="B219" s="4" t="s">
        <v>762</v>
      </c>
      <c r="C219" s="4" t="s">
        <v>26</v>
      </c>
      <c r="D219" s="4"/>
      <c r="E219" s="4"/>
      <c r="F219" s="4"/>
      <c r="G219" s="4"/>
      <c r="H219" s="4"/>
      <c r="I219" s="5"/>
      <c r="J219" s="5"/>
      <c r="K219" s="5"/>
      <c r="L219" s="5"/>
      <c r="M219" s="5"/>
      <c r="N219" s="5"/>
      <c r="O219" s="4"/>
      <c r="P219" s="26"/>
      <c r="Q219" s="26"/>
      <c r="R219" s="26"/>
      <c r="S219" s="26"/>
      <c r="T219" s="26"/>
      <c r="U219" s="26"/>
      <c r="V219" s="26"/>
      <c r="W219" s="26"/>
      <c r="X219" s="26"/>
      <c r="Y219" s="26"/>
      <c r="Z219" s="26"/>
    </row>
    <row r="220" spans="1:26" ht="15.75" customHeight="1" x14ac:dyDescent="0.2">
      <c r="A220" s="4" t="s">
        <v>763</v>
      </c>
      <c r="B220" s="4" t="s">
        <v>764</v>
      </c>
      <c r="C220" s="4" t="s">
        <v>765</v>
      </c>
      <c r="D220" s="4"/>
      <c r="E220" s="4"/>
      <c r="F220" s="4"/>
      <c r="G220" s="4"/>
      <c r="H220" s="4"/>
      <c r="I220" s="5"/>
      <c r="J220" s="5"/>
      <c r="K220" s="5"/>
      <c r="L220" s="5"/>
      <c r="M220" s="5"/>
      <c r="N220" s="5"/>
      <c r="O220" s="4"/>
      <c r="P220" s="26"/>
      <c r="Q220" s="26"/>
      <c r="R220" s="26"/>
      <c r="S220" s="26"/>
      <c r="T220" s="26"/>
      <c r="U220" s="26"/>
      <c r="V220" s="26"/>
      <c r="W220" s="26"/>
      <c r="X220" s="26"/>
      <c r="Y220" s="26"/>
      <c r="Z220" s="26"/>
    </row>
    <row r="221" spans="1:26" ht="15.75" customHeight="1" x14ac:dyDescent="0.2">
      <c r="A221" s="4" t="s">
        <v>766</v>
      </c>
      <c r="B221" s="4" t="s">
        <v>767</v>
      </c>
      <c r="C221" s="4" t="s">
        <v>765</v>
      </c>
      <c r="D221" s="4"/>
      <c r="E221" s="4"/>
      <c r="F221" s="4"/>
      <c r="G221" s="4" t="s">
        <v>42</v>
      </c>
      <c r="H221" s="4"/>
      <c r="I221" s="5"/>
      <c r="J221" s="5"/>
      <c r="K221" s="5"/>
      <c r="L221" s="5"/>
      <c r="M221" s="5"/>
      <c r="N221" s="5"/>
      <c r="O221" s="4"/>
      <c r="P221" s="6"/>
      <c r="Q221" s="6"/>
      <c r="R221" s="6"/>
      <c r="S221" s="6"/>
      <c r="T221" s="6"/>
      <c r="U221" s="6"/>
      <c r="V221" s="6"/>
      <c r="W221" s="6"/>
      <c r="X221" s="6"/>
      <c r="Y221" s="6"/>
      <c r="Z221" s="6"/>
    </row>
    <row r="222" spans="1:26" ht="15.75" customHeight="1" x14ac:dyDescent="0.2">
      <c r="A222" s="4" t="s">
        <v>768</v>
      </c>
      <c r="B222" s="4" t="s">
        <v>769</v>
      </c>
      <c r="C222" s="4" t="s">
        <v>594</v>
      </c>
      <c r="D222" s="4"/>
      <c r="E222" s="4"/>
      <c r="F222" s="4"/>
      <c r="G222" s="4"/>
      <c r="H222" s="4"/>
      <c r="I222" s="5"/>
      <c r="J222" s="5"/>
      <c r="K222" s="5"/>
      <c r="L222" s="5"/>
      <c r="M222" s="5"/>
      <c r="N222" s="5"/>
      <c r="O222" s="4"/>
      <c r="P222" s="6"/>
      <c r="Q222" s="6"/>
      <c r="R222" s="6"/>
      <c r="S222" s="6"/>
      <c r="T222" s="6"/>
      <c r="U222" s="6"/>
      <c r="V222" s="6"/>
      <c r="W222" s="6"/>
      <c r="X222" s="6"/>
      <c r="Y222" s="6"/>
      <c r="Z222" s="6"/>
    </row>
    <row r="223" spans="1:26" ht="15.75" customHeight="1" x14ac:dyDescent="0.2">
      <c r="A223" s="4" t="s">
        <v>770</v>
      </c>
      <c r="B223" s="4" t="s">
        <v>771</v>
      </c>
      <c r="C223" s="4" t="s">
        <v>20</v>
      </c>
      <c r="D223" s="4" t="s">
        <v>772</v>
      </c>
      <c r="E223" s="4" t="s">
        <v>21</v>
      </c>
      <c r="F223" s="4">
        <v>128</v>
      </c>
      <c r="G223" s="4"/>
      <c r="H223" s="4"/>
      <c r="I223" s="5">
        <v>100</v>
      </c>
      <c r="J223" s="5">
        <v>100</v>
      </c>
      <c r="K223" s="5">
        <v>0</v>
      </c>
      <c r="L223" s="5">
        <v>0</v>
      </c>
      <c r="M223" s="5"/>
      <c r="N223" s="5"/>
      <c r="O223" s="4"/>
      <c r="P223" s="6"/>
      <c r="Q223" s="6"/>
      <c r="R223" s="6"/>
      <c r="S223" s="6"/>
      <c r="T223" s="6"/>
      <c r="U223" s="6"/>
      <c r="V223" s="6"/>
      <c r="W223" s="6"/>
      <c r="X223" s="6"/>
      <c r="Y223" s="6"/>
      <c r="Z223" s="6"/>
    </row>
    <row r="224" spans="1:26" ht="15.75" customHeight="1" x14ac:dyDescent="0.2">
      <c r="A224" s="4" t="s">
        <v>773</v>
      </c>
      <c r="B224" s="4" t="s">
        <v>771</v>
      </c>
      <c r="C224" s="4" t="s">
        <v>16</v>
      </c>
      <c r="D224" s="4" t="s">
        <v>772</v>
      </c>
      <c r="E224" s="4" t="s">
        <v>21</v>
      </c>
      <c r="F224" s="4"/>
      <c r="G224" s="4"/>
      <c r="H224" s="4"/>
      <c r="I224" s="5"/>
      <c r="J224" s="5"/>
      <c r="K224" s="5"/>
      <c r="L224" s="5"/>
      <c r="M224" s="5"/>
      <c r="N224" s="5"/>
      <c r="O224" s="4"/>
      <c r="P224" s="6"/>
      <c r="Q224" s="6"/>
      <c r="R224" s="6"/>
      <c r="S224" s="6"/>
      <c r="T224" s="6"/>
      <c r="U224" s="6"/>
      <c r="V224" s="6"/>
      <c r="W224" s="6"/>
      <c r="X224" s="6"/>
      <c r="Y224" s="6"/>
      <c r="Z224" s="6"/>
    </row>
    <row r="225" spans="1:26" ht="15.75" customHeight="1" x14ac:dyDescent="0.2">
      <c r="A225" s="4" t="s">
        <v>774</v>
      </c>
      <c r="B225" s="4" t="s">
        <v>775</v>
      </c>
      <c r="C225" s="4"/>
      <c r="D225" s="4"/>
      <c r="E225" s="4" t="s">
        <v>21</v>
      </c>
      <c r="F225" s="4"/>
      <c r="G225" s="4"/>
      <c r="H225" s="4"/>
      <c r="I225" s="5"/>
      <c r="J225" s="5"/>
      <c r="K225" s="5"/>
      <c r="L225" s="5"/>
      <c r="M225" s="5"/>
      <c r="N225" s="5"/>
      <c r="O225" s="4"/>
      <c r="P225" s="6"/>
      <c r="Q225" s="6"/>
      <c r="R225" s="6"/>
      <c r="S225" s="6"/>
      <c r="T225" s="6"/>
      <c r="U225" s="6"/>
      <c r="V225" s="6"/>
      <c r="W225" s="6"/>
      <c r="X225" s="6"/>
      <c r="Y225" s="6"/>
      <c r="Z225" s="6"/>
    </row>
    <row r="226" spans="1:26" ht="15.75" customHeight="1" x14ac:dyDescent="0.2">
      <c r="A226" s="4" t="s">
        <v>776</v>
      </c>
      <c r="B226" s="4" t="s">
        <v>777</v>
      </c>
      <c r="C226" s="4" t="s">
        <v>629</v>
      </c>
      <c r="D226" s="4"/>
      <c r="E226" s="4" t="s">
        <v>21</v>
      </c>
      <c r="F226" s="4">
        <v>420</v>
      </c>
      <c r="G226" s="4"/>
      <c r="H226" s="4"/>
      <c r="I226" s="5"/>
      <c r="J226" s="5"/>
      <c r="K226" s="5"/>
      <c r="L226" s="5"/>
      <c r="M226" s="5"/>
      <c r="N226" s="5"/>
      <c r="O226" s="4"/>
      <c r="P226" s="6"/>
      <c r="Q226" s="6"/>
      <c r="R226" s="6"/>
      <c r="S226" s="6"/>
      <c r="T226" s="6"/>
      <c r="U226" s="6"/>
      <c r="V226" s="6"/>
      <c r="W226" s="6"/>
      <c r="X226" s="6"/>
      <c r="Y226" s="6"/>
      <c r="Z226" s="6"/>
    </row>
    <row r="227" spans="1:26" ht="15.75" customHeight="1" x14ac:dyDescent="0.2">
      <c r="A227" s="4" t="s">
        <v>778</v>
      </c>
      <c r="B227" s="4" t="s">
        <v>779</v>
      </c>
      <c r="C227" s="4" t="s">
        <v>16</v>
      </c>
      <c r="D227" s="4" t="s">
        <v>780</v>
      </c>
      <c r="E227" s="4" t="s">
        <v>21</v>
      </c>
      <c r="F227" s="4"/>
      <c r="G227" s="4"/>
      <c r="H227" s="4"/>
      <c r="I227" s="5"/>
      <c r="J227" s="5"/>
      <c r="K227" s="5"/>
      <c r="L227" s="5"/>
      <c r="M227" s="5"/>
      <c r="N227" s="5"/>
      <c r="O227" s="4"/>
      <c r="P227" s="6"/>
      <c r="Q227" s="6"/>
      <c r="R227" s="6"/>
      <c r="S227" s="6"/>
      <c r="T227" s="6"/>
      <c r="U227" s="6"/>
      <c r="V227" s="6"/>
      <c r="W227" s="6"/>
      <c r="X227" s="6"/>
      <c r="Y227" s="6"/>
      <c r="Z227" s="6"/>
    </row>
    <row r="228" spans="1:26" ht="15.75" customHeight="1" x14ac:dyDescent="0.2">
      <c r="A228" s="4" t="s">
        <v>781</v>
      </c>
      <c r="B228" s="4" t="s">
        <v>782</v>
      </c>
      <c r="C228" s="4"/>
      <c r="D228" s="4"/>
      <c r="E228" s="4" t="s">
        <v>21</v>
      </c>
      <c r="F228" s="4"/>
      <c r="G228" s="4"/>
      <c r="H228" s="4"/>
      <c r="I228" s="5"/>
      <c r="J228" s="5"/>
      <c r="K228" s="5"/>
      <c r="L228" s="5"/>
      <c r="M228" s="5"/>
      <c r="N228" s="5"/>
      <c r="O228" s="4"/>
      <c r="P228" s="6"/>
      <c r="Q228" s="6"/>
      <c r="R228" s="6"/>
      <c r="S228" s="6"/>
      <c r="T228" s="6"/>
      <c r="U228" s="6"/>
      <c r="V228" s="6"/>
      <c r="W228" s="6"/>
      <c r="X228" s="6"/>
      <c r="Y228" s="6"/>
      <c r="Z228" s="6"/>
    </row>
    <row r="229" spans="1:26" ht="15.75" customHeight="1" x14ac:dyDescent="0.2">
      <c r="A229" s="4" t="s">
        <v>783</v>
      </c>
      <c r="B229" s="4" t="s">
        <v>784</v>
      </c>
      <c r="C229" s="4" t="s">
        <v>16</v>
      </c>
      <c r="D229" s="4" t="s">
        <v>785</v>
      </c>
      <c r="E229" s="4" t="s">
        <v>21</v>
      </c>
      <c r="F229" s="4"/>
      <c r="G229" s="4"/>
      <c r="H229" s="4"/>
      <c r="I229" s="5"/>
      <c r="J229" s="5"/>
      <c r="K229" s="5"/>
      <c r="L229" s="5"/>
      <c r="M229" s="5"/>
      <c r="N229" s="5"/>
      <c r="O229" s="4"/>
      <c r="P229" s="6"/>
      <c r="Q229" s="6"/>
      <c r="R229" s="6"/>
      <c r="S229" s="6"/>
      <c r="T229" s="6"/>
      <c r="U229" s="6"/>
      <c r="V229" s="6"/>
      <c r="W229" s="6"/>
      <c r="X229" s="6"/>
      <c r="Y229" s="6"/>
      <c r="Z229" s="6"/>
    </row>
    <row r="230" spans="1:26" ht="15.75" customHeight="1" x14ac:dyDescent="0.2">
      <c r="A230" s="4" t="s">
        <v>786</v>
      </c>
      <c r="B230" s="4" t="s">
        <v>787</v>
      </c>
      <c r="C230" s="4" t="s">
        <v>16</v>
      </c>
      <c r="D230" s="4" t="s">
        <v>788</v>
      </c>
      <c r="E230" s="4" t="s">
        <v>21</v>
      </c>
      <c r="F230" s="4"/>
      <c r="G230" s="4"/>
      <c r="H230" s="4"/>
      <c r="I230" s="5"/>
      <c r="J230" s="5"/>
      <c r="K230" s="5"/>
      <c r="L230" s="5"/>
      <c r="M230" s="5"/>
      <c r="N230" s="5"/>
      <c r="O230" s="4"/>
      <c r="P230" s="6"/>
      <c r="Q230" s="6"/>
      <c r="R230" s="6"/>
      <c r="S230" s="6"/>
      <c r="T230" s="6"/>
      <c r="U230" s="6"/>
      <c r="V230" s="6"/>
      <c r="W230" s="6"/>
      <c r="X230" s="6"/>
      <c r="Y230" s="6"/>
      <c r="Z230" s="6"/>
    </row>
    <row r="231" spans="1:26" ht="15.75" customHeight="1" x14ac:dyDescent="0.2">
      <c r="A231" s="4" t="s">
        <v>789</v>
      </c>
      <c r="B231" s="4" t="s">
        <v>790</v>
      </c>
      <c r="C231" s="4" t="s">
        <v>20</v>
      </c>
      <c r="D231" s="4"/>
      <c r="E231" s="4" t="s">
        <v>21</v>
      </c>
      <c r="F231" s="4">
        <v>230</v>
      </c>
      <c r="G231" s="4"/>
      <c r="H231" s="4"/>
      <c r="I231" s="5"/>
      <c r="J231" s="5"/>
      <c r="K231" s="5"/>
      <c r="L231" s="5"/>
      <c r="M231" s="5"/>
      <c r="N231" s="5"/>
      <c r="O231" s="4"/>
      <c r="P231" s="6"/>
      <c r="Q231" s="6"/>
      <c r="R231" s="6"/>
      <c r="S231" s="6"/>
      <c r="T231" s="6"/>
      <c r="U231" s="6"/>
      <c r="V231" s="6"/>
      <c r="W231" s="6"/>
      <c r="X231" s="6"/>
      <c r="Y231" s="6"/>
      <c r="Z231" s="6"/>
    </row>
    <row r="232" spans="1:26" ht="15.75" customHeight="1" x14ac:dyDescent="0.2">
      <c r="A232" s="4" t="s">
        <v>791</v>
      </c>
      <c r="B232" s="4" t="s">
        <v>792</v>
      </c>
      <c r="C232" s="4" t="s">
        <v>20</v>
      </c>
      <c r="D232" s="4"/>
      <c r="E232" s="4" t="s">
        <v>21</v>
      </c>
      <c r="F232" s="4">
        <v>150</v>
      </c>
      <c r="G232" s="4"/>
      <c r="H232" s="4"/>
      <c r="I232" s="5"/>
      <c r="J232" s="5"/>
      <c r="K232" s="5"/>
      <c r="L232" s="5"/>
      <c r="M232" s="5"/>
      <c r="N232" s="5"/>
      <c r="O232" s="4"/>
      <c r="P232" s="6"/>
      <c r="Q232" s="6"/>
      <c r="R232" s="6"/>
      <c r="S232" s="6"/>
      <c r="T232" s="6"/>
      <c r="U232" s="6"/>
      <c r="V232" s="6"/>
      <c r="W232" s="6"/>
      <c r="X232" s="6"/>
      <c r="Y232" s="6"/>
      <c r="Z232" s="6"/>
    </row>
    <row r="233" spans="1:26" ht="15.75" customHeight="1" x14ac:dyDescent="0.2">
      <c r="A233" s="4" t="s">
        <v>791</v>
      </c>
      <c r="B233" s="4" t="s">
        <v>793</v>
      </c>
      <c r="C233" s="4" t="s">
        <v>794</v>
      </c>
      <c r="D233" s="4"/>
      <c r="E233" s="4" t="s">
        <v>21</v>
      </c>
      <c r="F233" s="4"/>
      <c r="G233" s="4"/>
      <c r="H233" s="4"/>
      <c r="I233" s="5"/>
      <c r="J233" s="5"/>
      <c r="K233" s="5"/>
      <c r="L233" s="5"/>
      <c r="M233" s="5"/>
      <c r="N233" s="5"/>
      <c r="O233" s="4"/>
      <c r="P233" s="6"/>
      <c r="Q233" s="6"/>
      <c r="R233" s="6"/>
      <c r="S233" s="6"/>
      <c r="T233" s="6"/>
      <c r="U233" s="6"/>
      <c r="V233" s="6"/>
      <c r="W233" s="6"/>
      <c r="X233" s="6"/>
      <c r="Y233" s="6"/>
      <c r="Z233" s="6"/>
    </row>
    <row r="234" spans="1:26" ht="15.75" customHeight="1" x14ac:dyDescent="0.2">
      <c r="A234" s="4" t="s">
        <v>795</v>
      </c>
      <c r="B234" s="4" t="s">
        <v>796</v>
      </c>
      <c r="C234" s="4" t="s">
        <v>653</v>
      </c>
      <c r="D234" s="4"/>
      <c r="E234" s="4"/>
      <c r="F234" s="4"/>
      <c r="G234" s="4"/>
      <c r="H234" s="4"/>
      <c r="I234" s="5"/>
      <c r="J234" s="5"/>
      <c r="K234" s="5"/>
      <c r="L234" s="5"/>
      <c r="M234" s="5"/>
      <c r="N234" s="5"/>
      <c r="O234" s="4"/>
      <c r="P234" s="6"/>
      <c r="Q234" s="6"/>
      <c r="R234" s="6"/>
      <c r="S234" s="6"/>
      <c r="T234" s="6"/>
      <c r="U234" s="6"/>
      <c r="V234" s="6"/>
      <c r="W234" s="6"/>
      <c r="X234" s="6"/>
      <c r="Y234" s="6"/>
      <c r="Z234" s="6"/>
    </row>
    <row r="235" spans="1:26" ht="15.75" customHeight="1" x14ac:dyDescent="0.2">
      <c r="A235" s="4" t="s">
        <v>797</v>
      </c>
      <c r="B235" s="4" t="s">
        <v>798</v>
      </c>
      <c r="C235" s="4" t="s">
        <v>20</v>
      </c>
      <c r="D235" s="4"/>
      <c r="E235" s="4" t="s">
        <v>21</v>
      </c>
      <c r="F235" s="4"/>
      <c r="G235" s="4"/>
      <c r="H235" s="4"/>
      <c r="I235" s="5"/>
      <c r="J235" s="5"/>
      <c r="K235" s="5"/>
      <c r="L235" s="5"/>
      <c r="M235" s="5"/>
      <c r="N235" s="5"/>
      <c r="O235" s="4"/>
      <c r="P235" s="6"/>
      <c r="Q235" s="6"/>
      <c r="R235" s="6"/>
      <c r="S235" s="6"/>
      <c r="T235" s="6"/>
      <c r="U235" s="6"/>
      <c r="V235" s="6"/>
      <c r="W235" s="6"/>
      <c r="X235" s="6"/>
      <c r="Y235" s="6"/>
      <c r="Z235" s="6"/>
    </row>
    <row r="236" spans="1:26" ht="15.75" customHeight="1" x14ac:dyDescent="0.2">
      <c r="A236" s="4" t="s">
        <v>799</v>
      </c>
      <c r="B236" s="4" t="s">
        <v>800</v>
      </c>
      <c r="C236" s="4" t="s">
        <v>656</v>
      </c>
      <c r="D236" s="4"/>
      <c r="E236" s="4"/>
      <c r="F236" s="4"/>
      <c r="G236" s="4"/>
      <c r="H236" s="4"/>
      <c r="I236" s="5"/>
      <c r="J236" s="5"/>
      <c r="K236" s="5"/>
      <c r="L236" s="5"/>
      <c r="M236" s="5"/>
      <c r="N236" s="5"/>
      <c r="O236" s="4"/>
      <c r="P236" s="6"/>
      <c r="Q236" s="6"/>
      <c r="R236" s="6"/>
      <c r="S236" s="6"/>
      <c r="T236" s="6"/>
      <c r="U236" s="6"/>
      <c r="V236" s="6"/>
      <c r="W236" s="6"/>
      <c r="X236" s="6"/>
      <c r="Y236" s="6"/>
      <c r="Z236" s="6"/>
    </row>
    <row r="237" spans="1:26" ht="15.75" customHeight="1" x14ac:dyDescent="0.2">
      <c r="A237" s="4" t="s">
        <v>801</v>
      </c>
      <c r="B237" s="4" t="s">
        <v>802</v>
      </c>
      <c r="C237" s="4" t="s">
        <v>803</v>
      </c>
      <c r="D237" s="4"/>
      <c r="E237" s="4" t="s">
        <v>21</v>
      </c>
      <c r="F237" s="4"/>
      <c r="G237" s="4"/>
      <c r="H237" s="4"/>
      <c r="I237" s="5"/>
      <c r="J237" s="5"/>
      <c r="K237" s="5"/>
      <c r="L237" s="5"/>
      <c r="M237" s="5"/>
      <c r="N237" s="5"/>
      <c r="O237" s="4"/>
      <c r="P237" s="6"/>
      <c r="Q237" s="6"/>
      <c r="R237" s="6"/>
      <c r="S237" s="6"/>
      <c r="T237" s="6"/>
      <c r="U237" s="6"/>
      <c r="V237" s="6"/>
      <c r="W237" s="6"/>
      <c r="X237" s="6"/>
      <c r="Y237" s="6"/>
      <c r="Z237" s="6"/>
    </row>
    <row r="238" spans="1:26" ht="15.75" customHeight="1" x14ac:dyDescent="0.2">
      <c r="A238" s="4" t="s">
        <v>804</v>
      </c>
      <c r="B238" s="4" t="s">
        <v>805</v>
      </c>
      <c r="C238" s="4" t="s">
        <v>656</v>
      </c>
      <c r="D238" s="4"/>
      <c r="E238" s="4"/>
      <c r="F238" s="4"/>
      <c r="G238" s="4"/>
      <c r="H238" s="4"/>
      <c r="I238" s="5"/>
      <c r="J238" s="5"/>
      <c r="K238" s="5"/>
      <c r="L238" s="5"/>
      <c r="M238" s="5"/>
      <c r="N238" s="5"/>
      <c r="O238" s="4"/>
      <c r="P238" s="6"/>
      <c r="Q238" s="6"/>
      <c r="R238" s="6"/>
      <c r="S238" s="6"/>
      <c r="T238" s="6"/>
      <c r="U238" s="6"/>
      <c r="V238" s="6"/>
      <c r="W238" s="6"/>
      <c r="X238" s="6"/>
      <c r="Y238" s="6"/>
      <c r="Z238" s="6"/>
    </row>
    <row r="239" spans="1:26" ht="15.75" customHeight="1" x14ac:dyDescent="0.2">
      <c r="A239" s="4" t="s">
        <v>806</v>
      </c>
      <c r="B239" s="4" t="s">
        <v>807</v>
      </c>
      <c r="C239" s="4" t="s">
        <v>803</v>
      </c>
      <c r="D239" s="4"/>
      <c r="E239" s="4"/>
      <c r="F239" s="4"/>
      <c r="G239" s="4"/>
      <c r="H239" s="4"/>
      <c r="I239" s="5"/>
      <c r="J239" s="5"/>
      <c r="K239" s="5"/>
      <c r="L239" s="5"/>
      <c r="M239" s="5"/>
      <c r="N239" s="5"/>
      <c r="O239" s="4"/>
      <c r="P239" s="6"/>
      <c r="Q239" s="6"/>
      <c r="R239" s="6"/>
      <c r="S239" s="6"/>
      <c r="T239" s="6"/>
      <c r="U239" s="6"/>
      <c r="V239" s="6"/>
      <c r="W239" s="6"/>
      <c r="X239" s="6"/>
      <c r="Y239" s="6"/>
      <c r="Z239" s="6"/>
    </row>
    <row r="240" spans="1:26" ht="15.75" customHeight="1" x14ac:dyDescent="0.2">
      <c r="A240" s="4" t="s">
        <v>808</v>
      </c>
      <c r="B240" s="4" t="s">
        <v>809</v>
      </c>
      <c r="C240" s="4" t="s">
        <v>20</v>
      </c>
      <c r="D240" s="4"/>
      <c r="E240" s="4"/>
      <c r="F240" s="4"/>
      <c r="G240" s="4"/>
      <c r="H240" s="4"/>
      <c r="I240" s="5"/>
      <c r="J240" s="5"/>
      <c r="K240" s="5"/>
      <c r="L240" s="5"/>
      <c r="M240" s="5"/>
      <c r="N240" s="5"/>
      <c r="O240" s="4"/>
      <c r="P240" s="6"/>
      <c r="Q240" s="6"/>
      <c r="R240" s="6"/>
      <c r="S240" s="6"/>
      <c r="T240" s="6"/>
      <c r="U240" s="6"/>
      <c r="V240" s="6"/>
      <c r="W240" s="6"/>
      <c r="X240" s="6"/>
      <c r="Y240" s="6"/>
      <c r="Z240" s="6"/>
    </row>
    <row r="241" spans="1:26" ht="15.75" customHeight="1" x14ac:dyDescent="0.2">
      <c r="A241" s="4" t="s">
        <v>810</v>
      </c>
      <c r="B241" s="4" t="s">
        <v>811</v>
      </c>
      <c r="C241" s="4" t="s">
        <v>20</v>
      </c>
      <c r="D241" s="4"/>
      <c r="E241" s="4"/>
      <c r="F241" s="4"/>
      <c r="G241" s="4"/>
      <c r="H241" s="4"/>
      <c r="I241" s="5"/>
      <c r="J241" s="5"/>
      <c r="K241" s="5"/>
      <c r="L241" s="5"/>
      <c r="M241" s="5"/>
      <c r="N241" s="5"/>
      <c r="O241" s="4"/>
      <c r="P241" s="6"/>
      <c r="Q241" s="6"/>
      <c r="R241" s="6"/>
      <c r="S241" s="6"/>
      <c r="T241" s="6"/>
      <c r="U241" s="6"/>
      <c r="V241" s="6"/>
      <c r="W241" s="6"/>
      <c r="X241" s="6"/>
      <c r="Y241" s="6"/>
      <c r="Z241" s="6"/>
    </row>
    <row r="242" spans="1:26" ht="15.75" customHeight="1" x14ac:dyDescent="0.2">
      <c r="A242" s="4" t="s">
        <v>812</v>
      </c>
      <c r="B242" s="4" t="s">
        <v>813</v>
      </c>
      <c r="C242" s="4" t="s">
        <v>26</v>
      </c>
      <c r="D242" s="4"/>
      <c r="E242" s="4"/>
      <c r="F242" s="4"/>
      <c r="G242" s="4"/>
      <c r="H242" s="4"/>
      <c r="I242" s="5"/>
      <c r="J242" s="5"/>
      <c r="K242" s="5"/>
      <c r="L242" s="5"/>
      <c r="M242" s="5"/>
      <c r="N242" s="5"/>
      <c r="O242" s="4"/>
      <c r="P242" s="6"/>
      <c r="Q242" s="6"/>
      <c r="R242" s="6"/>
      <c r="S242" s="6"/>
      <c r="T242" s="6"/>
      <c r="U242" s="6"/>
      <c r="V242" s="6"/>
      <c r="W242" s="6"/>
      <c r="X242" s="6"/>
      <c r="Y242" s="6"/>
      <c r="Z242" s="6"/>
    </row>
    <row r="243" spans="1:26" ht="15.75" customHeight="1" x14ac:dyDescent="0.2">
      <c r="A243" s="4" t="s">
        <v>814</v>
      </c>
      <c r="B243" s="4" t="s">
        <v>815</v>
      </c>
      <c r="C243" s="4" t="s">
        <v>765</v>
      </c>
      <c r="D243" s="4"/>
      <c r="E243" s="4"/>
      <c r="F243" s="4"/>
      <c r="G243" s="4"/>
      <c r="H243" s="4"/>
      <c r="I243" s="5"/>
      <c r="J243" s="5"/>
      <c r="K243" s="5"/>
      <c r="L243" s="5"/>
      <c r="M243" s="5"/>
      <c r="N243" s="5"/>
      <c r="O243" s="4"/>
      <c r="P243" s="6"/>
      <c r="Q243" s="6"/>
      <c r="R243" s="6"/>
      <c r="S243" s="6"/>
      <c r="T243" s="6"/>
      <c r="U243" s="6"/>
      <c r="V243" s="6"/>
      <c r="W243" s="6"/>
      <c r="X243" s="6"/>
      <c r="Y243" s="6"/>
      <c r="Z243" s="6"/>
    </row>
    <row r="244" spans="1:26" ht="15.75" customHeight="1" x14ac:dyDescent="0.2">
      <c r="A244" s="4" t="s">
        <v>816</v>
      </c>
      <c r="B244" s="4" t="s">
        <v>817</v>
      </c>
      <c r="C244" s="4" t="s">
        <v>629</v>
      </c>
      <c r="D244" s="4"/>
      <c r="E244" s="4" t="s">
        <v>21</v>
      </c>
      <c r="F244" s="4">
        <v>230</v>
      </c>
      <c r="G244" s="4"/>
      <c r="H244" s="4"/>
      <c r="I244" s="5"/>
      <c r="J244" s="5"/>
      <c r="K244" s="5"/>
      <c r="L244" s="5"/>
      <c r="M244" s="5"/>
      <c r="N244" s="5"/>
      <c r="O244" s="4"/>
      <c r="P244" s="6"/>
      <c r="Q244" s="6"/>
      <c r="R244" s="6"/>
      <c r="S244" s="6"/>
      <c r="T244" s="6"/>
      <c r="U244" s="6"/>
      <c r="V244" s="6"/>
      <c r="W244" s="6"/>
      <c r="X244" s="6"/>
      <c r="Y244" s="6"/>
      <c r="Z244" s="6"/>
    </row>
    <row r="245" spans="1:26" ht="15.75" customHeight="1" x14ac:dyDescent="0.2">
      <c r="A245" s="4" t="s">
        <v>818</v>
      </c>
      <c r="B245" s="4" t="s">
        <v>819</v>
      </c>
      <c r="C245" s="4" t="s">
        <v>20</v>
      </c>
      <c r="D245" s="4"/>
      <c r="E245" s="4" t="s">
        <v>17</v>
      </c>
      <c r="F245" s="4"/>
      <c r="G245" s="4"/>
      <c r="H245" s="4"/>
      <c r="I245" s="5"/>
      <c r="J245" s="5"/>
      <c r="K245" s="5"/>
      <c r="L245" s="5"/>
      <c r="M245" s="5"/>
      <c r="N245" s="5"/>
      <c r="O245" s="4"/>
      <c r="P245" s="6"/>
      <c r="Q245" s="6"/>
      <c r="R245" s="6"/>
      <c r="S245" s="6"/>
      <c r="T245" s="6"/>
      <c r="U245" s="6"/>
      <c r="V245" s="6"/>
      <c r="W245" s="6"/>
      <c r="X245" s="6"/>
      <c r="Y245" s="6"/>
      <c r="Z245" s="6"/>
    </row>
    <row r="246" spans="1:26" ht="15.75" customHeight="1" x14ac:dyDescent="0.2">
      <c r="A246" s="4" t="s">
        <v>820</v>
      </c>
      <c r="B246" s="4" t="s">
        <v>821</v>
      </c>
      <c r="C246" s="4" t="s">
        <v>291</v>
      </c>
      <c r="D246" s="4" t="s">
        <v>822</v>
      </c>
      <c r="E246" s="4" t="s">
        <v>752</v>
      </c>
      <c r="F246" s="4"/>
      <c r="G246" s="4"/>
      <c r="H246" s="4"/>
      <c r="I246" s="5"/>
      <c r="J246" s="5"/>
      <c r="K246" s="5"/>
      <c r="L246" s="5"/>
      <c r="M246" s="5"/>
      <c r="N246" s="5"/>
      <c r="O246" s="4"/>
      <c r="P246" s="6"/>
      <c r="Q246" s="6"/>
      <c r="R246" s="6"/>
      <c r="S246" s="6"/>
      <c r="T246" s="6"/>
      <c r="U246" s="6"/>
      <c r="V246" s="6"/>
      <c r="W246" s="6"/>
      <c r="X246" s="6"/>
      <c r="Y246" s="6"/>
      <c r="Z246" s="6"/>
    </row>
    <row r="247" spans="1:26" ht="15.75" customHeight="1" x14ac:dyDescent="0.2">
      <c r="A247" s="4" t="s">
        <v>823</v>
      </c>
      <c r="B247" s="4" t="s">
        <v>824</v>
      </c>
      <c r="C247" s="4" t="s">
        <v>329</v>
      </c>
      <c r="D247" s="4" t="s">
        <v>825</v>
      </c>
      <c r="E247" s="4"/>
      <c r="F247" s="4"/>
      <c r="G247" s="4"/>
      <c r="H247" s="4"/>
      <c r="I247" s="5"/>
      <c r="J247" s="5"/>
      <c r="K247" s="5"/>
      <c r="L247" s="5"/>
      <c r="M247" s="5"/>
      <c r="N247" s="5"/>
      <c r="O247" s="4"/>
      <c r="P247" s="6"/>
      <c r="Q247" s="6"/>
      <c r="R247" s="6"/>
      <c r="S247" s="6"/>
      <c r="T247" s="6"/>
      <c r="U247" s="6"/>
      <c r="V247" s="6"/>
      <c r="W247" s="6"/>
      <c r="X247" s="6"/>
      <c r="Y247" s="6"/>
      <c r="Z247" s="6"/>
    </row>
    <row r="248" spans="1:26" ht="15.75" customHeight="1" x14ac:dyDescent="0.2">
      <c r="A248" s="35" t="s">
        <v>826</v>
      </c>
      <c r="B248" s="35" t="s">
        <v>827</v>
      </c>
      <c r="C248" s="35" t="s">
        <v>828</v>
      </c>
      <c r="D248" s="36" t="s">
        <v>829</v>
      </c>
      <c r="E248" s="35"/>
      <c r="F248" s="35"/>
      <c r="G248" s="35" t="s">
        <v>42</v>
      </c>
      <c r="H248" s="35"/>
      <c r="I248" s="37"/>
      <c r="J248" s="37"/>
      <c r="K248" s="37"/>
      <c r="L248" s="37"/>
      <c r="M248" s="37"/>
      <c r="N248" s="37"/>
      <c r="O248" s="4"/>
      <c r="P248" s="6"/>
      <c r="Q248" s="6"/>
      <c r="R248" s="6"/>
      <c r="S248" s="6"/>
      <c r="T248" s="6"/>
      <c r="U248" s="6"/>
      <c r="V248" s="6"/>
      <c r="W248" s="6"/>
      <c r="X248" s="6"/>
      <c r="Y248" s="6"/>
      <c r="Z248" s="6"/>
    </row>
    <row r="249" spans="1:26" ht="15.75" customHeight="1" x14ac:dyDescent="0.2">
      <c r="A249" s="35" t="s">
        <v>830</v>
      </c>
      <c r="B249" s="35" t="s">
        <v>831</v>
      </c>
      <c r="C249" s="35" t="s">
        <v>16</v>
      </c>
      <c r="D249" s="35"/>
      <c r="E249" s="35"/>
      <c r="F249" s="35"/>
      <c r="G249" s="35"/>
      <c r="H249" s="35"/>
      <c r="I249" s="37"/>
      <c r="J249" s="37"/>
      <c r="K249" s="37"/>
      <c r="L249" s="37"/>
      <c r="M249" s="37"/>
      <c r="N249" s="37"/>
      <c r="O249" s="4"/>
      <c r="P249" s="6"/>
      <c r="Q249" s="6"/>
      <c r="R249" s="6"/>
      <c r="S249" s="6"/>
      <c r="T249" s="6"/>
      <c r="U249" s="6"/>
      <c r="V249" s="6"/>
      <c r="W249" s="6"/>
      <c r="X249" s="6"/>
      <c r="Y249" s="6"/>
      <c r="Z249" s="6"/>
    </row>
    <row r="250" spans="1:26" ht="15.75" customHeight="1" x14ac:dyDescent="0.2">
      <c r="A250" s="35" t="s">
        <v>832</v>
      </c>
      <c r="B250" s="35" t="s">
        <v>833</v>
      </c>
      <c r="C250" s="35" t="s">
        <v>16</v>
      </c>
      <c r="D250" s="35"/>
      <c r="E250" s="35"/>
      <c r="F250" s="35"/>
      <c r="G250" s="35" t="s">
        <v>42</v>
      </c>
      <c r="H250" s="35"/>
      <c r="I250" s="37"/>
      <c r="J250" s="37"/>
      <c r="K250" s="37"/>
      <c r="L250" s="37"/>
      <c r="M250" s="37"/>
      <c r="N250" s="37"/>
      <c r="O250" s="35"/>
      <c r="P250" s="6"/>
      <c r="Q250" s="6"/>
      <c r="R250" s="6"/>
      <c r="S250" s="6"/>
      <c r="T250" s="6"/>
      <c r="U250" s="6"/>
      <c r="V250" s="6"/>
      <c r="W250" s="6"/>
      <c r="X250" s="6"/>
      <c r="Y250" s="6"/>
      <c r="Z250" s="6"/>
    </row>
    <row r="251" spans="1:26" ht="15.75" customHeight="1" x14ac:dyDescent="0.2">
      <c r="A251" s="35" t="s">
        <v>834</v>
      </c>
      <c r="B251" s="35" t="s">
        <v>835</v>
      </c>
      <c r="C251" s="35" t="s">
        <v>16</v>
      </c>
      <c r="D251" s="35"/>
      <c r="E251" s="35"/>
      <c r="F251" s="35"/>
      <c r="G251" s="35" t="s">
        <v>42</v>
      </c>
      <c r="H251" s="35"/>
      <c r="I251" s="37"/>
      <c r="J251" s="37"/>
      <c r="K251" s="37"/>
      <c r="L251" s="37"/>
      <c r="M251" s="37"/>
      <c r="N251" s="37"/>
      <c r="O251" s="35"/>
      <c r="P251" s="6"/>
      <c r="Q251" s="6"/>
      <c r="R251" s="6"/>
      <c r="S251" s="6"/>
      <c r="T251" s="6"/>
      <c r="U251" s="6"/>
      <c r="V251" s="6"/>
      <c r="W251" s="6"/>
      <c r="X251" s="6"/>
      <c r="Y251" s="6"/>
      <c r="Z251" s="6"/>
    </row>
    <row r="252" spans="1:26" ht="15.75" customHeight="1" x14ac:dyDescent="0.2">
      <c r="A252" s="35" t="s">
        <v>836</v>
      </c>
      <c r="B252" s="35" t="s">
        <v>837</v>
      </c>
      <c r="C252" s="35" t="s">
        <v>838</v>
      </c>
      <c r="D252" s="35"/>
      <c r="E252" s="35"/>
      <c r="F252" s="35">
        <v>38</v>
      </c>
      <c r="G252" s="35" t="s">
        <v>42</v>
      </c>
      <c r="H252" s="35"/>
      <c r="I252" s="37"/>
      <c r="J252" s="37"/>
      <c r="K252" s="37"/>
      <c r="L252" s="37"/>
      <c r="M252" s="37"/>
      <c r="N252" s="37"/>
      <c r="O252" s="35"/>
      <c r="P252" s="6"/>
      <c r="Q252" s="6"/>
      <c r="R252" s="6"/>
      <c r="S252" s="6"/>
      <c r="T252" s="6"/>
      <c r="U252" s="6"/>
      <c r="V252" s="6"/>
      <c r="W252" s="6"/>
      <c r="X252" s="6"/>
      <c r="Y252" s="6"/>
      <c r="Z252" s="6"/>
    </row>
    <row r="253" spans="1:26" ht="15.75" customHeight="1" x14ac:dyDescent="0.2">
      <c r="A253" s="35" t="s">
        <v>839</v>
      </c>
      <c r="B253" s="35" t="s">
        <v>840</v>
      </c>
      <c r="C253" s="35" t="s">
        <v>16</v>
      </c>
      <c r="D253" s="35"/>
      <c r="E253" s="35"/>
      <c r="F253" s="35"/>
      <c r="G253" s="35"/>
      <c r="H253" s="35"/>
      <c r="I253" s="37"/>
      <c r="J253" s="37"/>
      <c r="K253" s="37"/>
      <c r="L253" s="37"/>
      <c r="M253" s="37"/>
      <c r="N253" s="37"/>
      <c r="O253" s="35"/>
      <c r="P253" s="6"/>
      <c r="Q253" s="6"/>
      <c r="R253" s="6"/>
      <c r="S253" s="6"/>
      <c r="T253" s="6"/>
      <c r="U253" s="6"/>
      <c r="V253" s="6"/>
      <c r="W253" s="6"/>
      <c r="X253" s="6"/>
      <c r="Y253" s="6"/>
      <c r="Z253" s="6"/>
    </row>
    <row r="254" spans="1:26" ht="15.75" customHeight="1" x14ac:dyDescent="0.2">
      <c r="A254" s="35" t="s">
        <v>841</v>
      </c>
      <c r="B254" s="35" t="s">
        <v>842</v>
      </c>
      <c r="C254" s="35" t="s">
        <v>16</v>
      </c>
      <c r="D254" s="35"/>
      <c r="E254" s="35"/>
      <c r="F254" s="35"/>
      <c r="G254" s="35" t="s">
        <v>42</v>
      </c>
      <c r="H254" s="35"/>
      <c r="I254" s="37"/>
      <c r="J254" s="37"/>
      <c r="K254" s="37"/>
      <c r="L254" s="37"/>
      <c r="M254" s="37"/>
      <c r="N254" s="37"/>
      <c r="O254" s="35"/>
      <c r="P254" s="6"/>
      <c r="Q254" s="6"/>
      <c r="R254" s="6"/>
      <c r="S254" s="6"/>
      <c r="T254" s="6"/>
      <c r="U254" s="6"/>
      <c r="V254" s="6"/>
      <c r="W254" s="6"/>
      <c r="X254" s="6"/>
      <c r="Y254" s="6"/>
      <c r="Z254" s="6"/>
    </row>
    <row r="255" spans="1:26" ht="15.75" customHeight="1" x14ac:dyDescent="0.2">
      <c r="A255" s="35" t="s">
        <v>843</v>
      </c>
      <c r="B255" s="35" t="s">
        <v>844</v>
      </c>
      <c r="C255" s="35" t="s">
        <v>16</v>
      </c>
      <c r="D255" s="35" t="s">
        <v>577</v>
      </c>
      <c r="E255" s="35"/>
      <c r="F255" s="35"/>
      <c r="G255" s="35"/>
      <c r="H255" s="35"/>
      <c r="I255" s="37"/>
      <c r="J255" s="37"/>
      <c r="K255" s="37"/>
      <c r="L255" s="37"/>
      <c r="M255" s="37"/>
      <c r="N255" s="37"/>
      <c r="O255" s="35"/>
      <c r="P255" s="38"/>
      <c r="Q255" s="38"/>
      <c r="R255" s="38"/>
      <c r="S255" s="38"/>
      <c r="T255" s="38"/>
      <c r="U255" s="38"/>
      <c r="V255" s="38"/>
      <c r="W255" s="38"/>
      <c r="X255" s="38"/>
      <c r="Y255" s="38"/>
      <c r="Z255" s="38"/>
    </row>
    <row r="256" spans="1:26" ht="15.75" customHeight="1" x14ac:dyDescent="0.2">
      <c r="A256" s="35" t="s">
        <v>845</v>
      </c>
      <c r="B256" s="35" t="s">
        <v>846</v>
      </c>
      <c r="C256" s="35" t="s">
        <v>847</v>
      </c>
      <c r="D256" s="35"/>
      <c r="E256" s="35"/>
      <c r="F256" s="35">
        <v>25</v>
      </c>
      <c r="G256" s="35" t="s">
        <v>42</v>
      </c>
      <c r="H256" s="35"/>
      <c r="I256" s="37"/>
      <c r="J256" s="37"/>
      <c r="K256" s="37"/>
      <c r="L256" s="37"/>
      <c r="M256" s="37"/>
      <c r="N256" s="37"/>
      <c r="O256" s="35"/>
      <c r="P256" s="38"/>
      <c r="Q256" s="38"/>
      <c r="R256" s="38"/>
      <c r="S256" s="38"/>
      <c r="T256" s="38"/>
      <c r="U256" s="38"/>
      <c r="V256" s="38"/>
      <c r="W256" s="38"/>
      <c r="X256" s="38"/>
      <c r="Y256" s="38"/>
      <c r="Z256" s="38"/>
    </row>
    <row r="257" spans="1:26" ht="15.75" customHeight="1" x14ac:dyDescent="0.2">
      <c r="A257" s="35" t="s">
        <v>848</v>
      </c>
      <c r="B257" s="35" t="s">
        <v>849</v>
      </c>
      <c r="C257" s="39" t="s">
        <v>850</v>
      </c>
      <c r="D257" s="35" t="s">
        <v>851</v>
      </c>
      <c r="E257" s="35" t="s">
        <v>852</v>
      </c>
      <c r="F257" s="35"/>
      <c r="G257" s="35"/>
      <c r="H257" s="35"/>
      <c r="I257" s="37"/>
      <c r="J257" s="37"/>
      <c r="K257" s="37"/>
      <c r="L257" s="37"/>
      <c r="M257" s="37"/>
      <c r="N257" s="37"/>
      <c r="O257" s="35"/>
      <c r="P257" s="38"/>
      <c r="Q257" s="38"/>
      <c r="R257" s="38"/>
      <c r="S257" s="38"/>
      <c r="T257" s="38"/>
      <c r="U257" s="38"/>
      <c r="V257" s="38"/>
      <c r="W257" s="38"/>
      <c r="X257" s="38"/>
      <c r="Y257" s="38"/>
      <c r="Z257" s="38"/>
    </row>
    <row r="258" spans="1:26" ht="15.75" customHeight="1" x14ac:dyDescent="0.2">
      <c r="A258" s="35" t="s">
        <v>853</v>
      </c>
      <c r="B258" s="35" t="s">
        <v>854</v>
      </c>
      <c r="C258" s="35" t="s">
        <v>855</v>
      </c>
      <c r="D258" s="35"/>
      <c r="E258" s="35"/>
      <c r="F258" s="35"/>
      <c r="G258" s="35"/>
      <c r="H258" s="35"/>
      <c r="I258" s="37"/>
      <c r="J258" s="37"/>
      <c r="K258" s="37"/>
      <c r="L258" s="37"/>
      <c r="M258" s="37"/>
      <c r="N258" s="37"/>
      <c r="O258" s="35"/>
      <c r="P258" s="38"/>
      <c r="Q258" s="38"/>
      <c r="R258" s="38"/>
      <c r="S258" s="38"/>
      <c r="T258" s="38"/>
      <c r="U258" s="38"/>
      <c r="V258" s="38"/>
      <c r="W258" s="38"/>
      <c r="X258" s="38"/>
      <c r="Y258" s="38"/>
      <c r="Z258" s="38"/>
    </row>
    <row r="259" spans="1:26" ht="15.75" customHeight="1" x14ac:dyDescent="0.2">
      <c r="A259" s="35" t="s">
        <v>856</v>
      </c>
      <c r="B259" s="35" t="s">
        <v>857</v>
      </c>
      <c r="C259" s="35" t="s">
        <v>56</v>
      </c>
      <c r="D259" s="40" t="s">
        <v>858</v>
      </c>
      <c r="E259" s="41" t="s">
        <v>859</v>
      </c>
      <c r="F259" s="35">
        <v>8.85</v>
      </c>
      <c r="G259" s="35"/>
      <c r="H259" s="35"/>
      <c r="I259" s="37"/>
      <c r="J259" s="37"/>
      <c r="K259" s="37"/>
      <c r="L259" s="37"/>
      <c r="M259" s="37"/>
      <c r="N259" s="37"/>
      <c r="O259" s="35"/>
      <c r="P259" s="38"/>
      <c r="Q259" s="38"/>
      <c r="R259" s="38"/>
      <c r="S259" s="38"/>
      <c r="T259" s="38"/>
      <c r="U259" s="38"/>
      <c r="V259" s="38"/>
      <c r="W259" s="38"/>
      <c r="X259" s="38"/>
      <c r="Y259" s="38"/>
      <c r="Z259" s="38"/>
    </row>
    <row r="260" spans="1:26" ht="15.75" customHeight="1" x14ac:dyDescent="0.2">
      <c r="A260" s="35" t="s">
        <v>860</v>
      </c>
      <c r="B260" s="35" t="s">
        <v>861</v>
      </c>
      <c r="C260" s="35"/>
      <c r="D260" s="35"/>
      <c r="E260" s="35"/>
      <c r="F260" s="35"/>
      <c r="G260" s="35"/>
      <c r="H260" s="35"/>
      <c r="I260" s="37"/>
      <c r="J260" s="37"/>
      <c r="K260" s="37"/>
      <c r="L260" s="37"/>
      <c r="M260" s="37"/>
      <c r="N260" s="37"/>
      <c r="O260" s="35"/>
      <c r="P260" s="38"/>
      <c r="Q260" s="38"/>
      <c r="R260" s="38"/>
      <c r="S260" s="38"/>
      <c r="T260" s="38"/>
      <c r="U260" s="38"/>
      <c r="V260" s="38"/>
      <c r="W260" s="38"/>
      <c r="X260" s="38"/>
      <c r="Y260" s="38"/>
      <c r="Z260" s="38"/>
    </row>
    <row r="261" spans="1:26" ht="15.75" customHeight="1" x14ac:dyDescent="0.2">
      <c r="A261" s="35" t="s">
        <v>862</v>
      </c>
      <c r="B261" s="35" t="s">
        <v>863</v>
      </c>
      <c r="C261" s="35" t="s">
        <v>864</v>
      </c>
      <c r="D261" s="35"/>
      <c r="E261" s="35"/>
      <c r="F261" s="35"/>
      <c r="G261" s="35" t="s">
        <v>42</v>
      </c>
      <c r="H261" s="35"/>
      <c r="I261" s="37"/>
      <c r="J261" s="37"/>
      <c r="K261" s="37"/>
      <c r="L261" s="37"/>
      <c r="M261" s="37"/>
      <c r="N261" s="37"/>
      <c r="O261" s="35"/>
      <c r="P261" s="38"/>
      <c r="Q261" s="38"/>
      <c r="R261" s="38"/>
      <c r="S261" s="38"/>
      <c r="T261" s="38"/>
      <c r="U261" s="38"/>
      <c r="V261" s="38"/>
      <c r="W261" s="38"/>
      <c r="X261" s="38"/>
      <c r="Y261" s="38"/>
      <c r="Z261" s="38"/>
    </row>
    <row r="262" spans="1:26" ht="15.75" customHeight="1" x14ac:dyDescent="0.2">
      <c r="A262" s="35" t="s">
        <v>865</v>
      </c>
      <c r="B262" s="35" t="s">
        <v>866</v>
      </c>
      <c r="C262" s="35" t="s">
        <v>864</v>
      </c>
      <c r="D262" s="35"/>
      <c r="E262" s="35"/>
      <c r="F262" s="35"/>
      <c r="G262" s="35" t="s">
        <v>42</v>
      </c>
      <c r="H262" s="35"/>
      <c r="I262" s="37"/>
      <c r="J262" s="37"/>
      <c r="K262" s="37"/>
      <c r="L262" s="37"/>
      <c r="M262" s="37"/>
      <c r="N262" s="37"/>
      <c r="O262" s="35"/>
      <c r="P262" s="38"/>
      <c r="Q262" s="38"/>
      <c r="R262" s="38"/>
      <c r="S262" s="38"/>
      <c r="T262" s="38"/>
      <c r="U262" s="38"/>
      <c r="V262" s="38"/>
      <c r="W262" s="38"/>
      <c r="X262" s="38"/>
      <c r="Y262" s="38"/>
      <c r="Z262" s="38"/>
    </row>
    <row r="263" spans="1:26" ht="15.75" customHeight="1" x14ac:dyDescent="0.2">
      <c r="A263" s="35" t="s">
        <v>867</v>
      </c>
      <c r="B263" s="35" t="s">
        <v>868</v>
      </c>
      <c r="C263" s="35" t="s">
        <v>864</v>
      </c>
      <c r="D263" s="35"/>
      <c r="E263" s="35"/>
      <c r="F263" s="35"/>
      <c r="G263" s="35" t="s">
        <v>42</v>
      </c>
      <c r="H263" s="35"/>
      <c r="I263" s="37"/>
      <c r="J263" s="37"/>
      <c r="K263" s="37"/>
      <c r="L263" s="37"/>
      <c r="M263" s="37"/>
      <c r="N263" s="37"/>
      <c r="O263" s="35"/>
      <c r="P263" s="38"/>
      <c r="Q263" s="38"/>
      <c r="R263" s="38"/>
      <c r="S263" s="38"/>
      <c r="T263" s="38"/>
      <c r="U263" s="38"/>
      <c r="V263" s="38"/>
      <c r="W263" s="38"/>
      <c r="X263" s="38"/>
      <c r="Y263" s="38"/>
      <c r="Z263" s="38"/>
    </row>
    <row r="264" spans="1:26" ht="15.75" customHeight="1" x14ac:dyDescent="0.2">
      <c r="A264" s="35" t="s">
        <v>869</v>
      </c>
      <c r="B264" s="35" t="s">
        <v>870</v>
      </c>
      <c r="C264" s="35" t="s">
        <v>864</v>
      </c>
      <c r="D264" s="35"/>
      <c r="E264" s="35"/>
      <c r="F264" s="35">
        <v>11.04</v>
      </c>
      <c r="G264" s="35" t="s">
        <v>42</v>
      </c>
      <c r="H264" s="35"/>
      <c r="I264" s="37"/>
      <c r="J264" s="37"/>
      <c r="K264" s="37"/>
      <c r="L264" s="37"/>
      <c r="M264" s="37"/>
      <c r="N264" s="37"/>
      <c r="O264" s="35"/>
      <c r="P264" s="38"/>
      <c r="Q264" s="38"/>
      <c r="R264" s="38"/>
      <c r="S264" s="38"/>
      <c r="T264" s="38"/>
      <c r="U264" s="38"/>
      <c r="V264" s="38"/>
      <c r="W264" s="38"/>
      <c r="X264" s="38"/>
      <c r="Y264" s="38"/>
      <c r="Z264" s="38"/>
    </row>
    <row r="265" spans="1:26" ht="15.75" customHeight="1" x14ac:dyDescent="0.2">
      <c r="A265" s="35" t="s">
        <v>871</v>
      </c>
      <c r="B265" s="35" t="s">
        <v>872</v>
      </c>
      <c r="C265" s="35" t="s">
        <v>873</v>
      </c>
      <c r="D265" s="35"/>
      <c r="E265" s="35"/>
      <c r="F265" s="35"/>
      <c r="G265" s="35" t="s">
        <v>42</v>
      </c>
      <c r="H265" s="35"/>
      <c r="I265" s="37"/>
      <c r="J265" s="37"/>
      <c r="K265" s="37"/>
      <c r="L265" s="37"/>
      <c r="M265" s="37"/>
      <c r="N265" s="37"/>
      <c r="O265" s="35"/>
      <c r="P265" s="38"/>
      <c r="Q265" s="38"/>
      <c r="R265" s="38"/>
      <c r="S265" s="38"/>
      <c r="T265" s="38"/>
      <c r="U265" s="38"/>
      <c r="V265" s="38"/>
      <c r="W265" s="38"/>
      <c r="X265" s="38"/>
      <c r="Y265" s="38"/>
      <c r="Z265" s="38"/>
    </row>
    <row r="266" spans="1:26" ht="15.75" customHeight="1" x14ac:dyDescent="0.2">
      <c r="A266" s="35" t="s">
        <v>874</v>
      </c>
      <c r="B266" s="35" t="s">
        <v>875</v>
      </c>
      <c r="C266" s="35" t="s">
        <v>178</v>
      </c>
      <c r="D266" s="35"/>
      <c r="E266" s="35"/>
      <c r="F266" s="35"/>
      <c r="G266" s="35" t="s">
        <v>42</v>
      </c>
      <c r="H266" s="35"/>
      <c r="I266" s="37"/>
      <c r="J266" s="37"/>
      <c r="K266" s="37"/>
      <c r="L266" s="37"/>
      <c r="M266" s="37"/>
      <c r="N266" s="37"/>
      <c r="O266" s="35"/>
      <c r="P266" s="38"/>
      <c r="Q266" s="38"/>
      <c r="R266" s="38"/>
      <c r="S266" s="38"/>
      <c r="T266" s="38"/>
      <c r="U266" s="38"/>
      <c r="V266" s="38"/>
      <c r="W266" s="38"/>
      <c r="X266" s="38"/>
      <c r="Y266" s="38"/>
      <c r="Z266" s="38"/>
    </row>
    <row r="267" spans="1:26" ht="15.75" customHeight="1" x14ac:dyDescent="0.2">
      <c r="A267" s="35" t="s">
        <v>876</v>
      </c>
      <c r="B267" s="35" t="s">
        <v>877</v>
      </c>
      <c r="C267" s="35" t="s">
        <v>878</v>
      </c>
      <c r="D267" s="35"/>
      <c r="E267" s="35"/>
      <c r="F267" s="35"/>
      <c r="G267" s="35" t="s">
        <v>42</v>
      </c>
      <c r="H267" s="35"/>
      <c r="I267" s="37"/>
      <c r="J267" s="37"/>
      <c r="K267" s="37"/>
      <c r="L267" s="37"/>
      <c r="M267" s="37"/>
      <c r="N267" s="37"/>
      <c r="O267" s="35"/>
      <c r="P267" s="38"/>
      <c r="Q267" s="38"/>
      <c r="R267" s="38"/>
      <c r="S267" s="38"/>
      <c r="T267" s="38"/>
      <c r="U267" s="38"/>
      <c r="V267" s="38"/>
      <c r="W267" s="38"/>
      <c r="X267" s="38"/>
      <c r="Y267" s="38"/>
      <c r="Z267" s="38"/>
    </row>
    <row r="268" spans="1:26" ht="15.75" customHeight="1" x14ac:dyDescent="0.2">
      <c r="A268" s="35" t="s">
        <v>879</v>
      </c>
      <c r="B268" s="35" t="s">
        <v>880</v>
      </c>
      <c r="C268" s="35" t="s">
        <v>881</v>
      </c>
      <c r="D268" s="35"/>
      <c r="E268" s="35" t="s">
        <v>882</v>
      </c>
      <c r="F268" s="35">
        <v>28.5</v>
      </c>
      <c r="G268" s="35" t="s">
        <v>42</v>
      </c>
      <c r="H268" s="35"/>
      <c r="I268" s="37">
        <v>100</v>
      </c>
      <c r="J268" s="37">
        <v>100</v>
      </c>
      <c r="K268" s="37">
        <v>0</v>
      </c>
      <c r="L268" s="37">
        <v>0</v>
      </c>
      <c r="M268" s="37"/>
      <c r="N268" s="37"/>
      <c r="O268" s="35"/>
      <c r="P268" s="38"/>
      <c r="Q268" s="38"/>
      <c r="R268" s="38"/>
      <c r="S268" s="38"/>
      <c r="T268" s="38"/>
      <c r="U268" s="38"/>
      <c r="V268" s="38"/>
      <c r="W268" s="38"/>
      <c r="X268" s="38"/>
      <c r="Y268" s="38"/>
      <c r="Z268" s="38"/>
    </row>
    <row r="269" spans="1:26" ht="15.75" customHeight="1" x14ac:dyDescent="0.2">
      <c r="A269" s="35" t="s">
        <v>883</v>
      </c>
      <c r="B269" s="35" t="s">
        <v>884</v>
      </c>
      <c r="C269" s="35" t="s">
        <v>878</v>
      </c>
      <c r="D269" s="35"/>
      <c r="E269" s="35"/>
      <c r="F269" s="35"/>
      <c r="G269" s="35" t="s">
        <v>42</v>
      </c>
      <c r="H269" s="35"/>
      <c r="I269" s="37"/>
      <c r="J269" s="37"/>
      <c r="K269" s="37"/>
      <c r="L269" s="37"/>
      <c r="M269" s="37"/>
      <c r="N269" s="37"/>
      <c r="O269" s="35"/>
      <c r="P269" s="38"/>
      <c r="Q269" s="38"/>
      <c r="R269" s="38"/>
      <c r="S269" s="38"/>
      <c r="T269" s="38"/>
      <c r="U269" s="38"/>
      <c r="V269" s="38"/>
      <c r="W269" s="38"/>
      <c r="X269" s="38"/>
      <c r="Y269" s="38"/>
      <c r="Z269" s="38"/>
    </row>
    <row r="270" spans="1:26" ht="15.75" customHeight="1" x14ac:dyDescent="0.2">
      <c r="A270" s="35" t="s">
        <v>885</v>
      </c>
      <c r="B270" s="35" t="s">
        <v>886</v>
      </c>
      <c r="C270" s="35" t="s">
        <v>887</v>
      </c>
      <c r="D270" s="35"/>
      <c r="E270" s="35"/>
      <c r="F270" s="35"/>
      <c r="G270" s="35" t="s">
        <v>42</v>
      </c>
      <c r="H270" s="35"/>
      <c r="I270" s="37"/>
      <c r="J270" s="37"/>
      <c r="K270" s="37"/>
      <c r="L270" s="37"/>
      <c r="M270" s="37"/>
      <c r="N270" s="37"/>
      <c r="O270" s="35"/>
      <c r="P270" s="38"/>
      <c r="Q270" s="38"/>
      <c r="R270" s="38"/>
      <c r="S270" s="38"/>
      <c r="T270" s="38"/>
      <c r="U270" s="38"/>
      <c r="V270" s="38"/>
      <c r="W270" s="38"/>
      <c r="X270" s="38"/>
      <c r="Y270" s="38"/>
      <c r="Z270" s="38"/>
    </row>
    <row r="271" spans="1:26" ht="15.75" customHeight="1" x14ac:dyDescent="0.2">
      <c r="A271" s="35" t="s">
        <v>888</v>
      </c>
      <c r="B271" s="35" t="s">
        <v>889</v>
      </c>
      <c r="C271" s="35" t="s">
        <v>887</v>
      </c>
      <c r="D271" s="35"/>
      <c r="E271" s="35"/>
      <c r="F271" s="35"/>
      <c r="G271" s="35" t="s">
        <v>42</v>
      </c>
      <c r="H271" s="35"/>
      <c r="I271" s="37"/>
      <c r="J271" s="37"/>
      <c r="K271" s="37"/>
      <c r="L271" s="37"/>
      <c r="M271" s="37"/>
      <c r="N271" s="37"/>
      <c r="O271" s="35"/>
      <c r="P271" s="38"/>
      <c r="Q271" s="38"/>
      <c r="R271" s="38"/>
      <c r="S271" s="38"/>
      <c r="T271" s="38"/>
      <c r="U271" s="38"/>
      <c r="V271" s="38"/>
      <c r="W271" s="38"/>
      <c r="X271" s="38"/>
      <c r="Y271" s="38"/>
      <c r="Z271" s="38"/>
    </row>
    <row r="272" spans="1:26" ht="15.75" customHeight="1" x14ac:dyDescent="0.2">
      <c r="A272" s="35" t="s">
        <v>890</v>
      </c>
      <c r="B272" s="35" t="s">
        <v>891</v>
      </c>
      <c r="C272" s="35" t="s">
        <v>887</v>
      </c>
      <c r="D272" s="35"/>
      <c r="E272" s="35"/>
      <c r="F272" s="35"/>
      <c r="G272" s="35" t="s">
        <v>42</v>
      </c>
      <c r="H272" s="35"/>
      <c r="I272" s="37"/>
      <c r="J272" s="37"/>
      <c r="K272" s="37"/>
      <c r="L272" s="37"/>
      <c r="M272" s="37"/>
      <c r="N272" s="37"/>
      <c r="O272" s="35"/>
      <c r="P272" s="38"/>
      <c r="Q272" s="38"/>
      <c r="R272" s="38"/>
      <c r="S272" s="38"/>
      <c r="T272" s="38"/>
      <c r="U272" s="38"/>
      <c r="V272" s="38"/>
      <c r="W272" s="38"/>
      <c r="X272" s="38"/>
      <c r="Y272" s="38"/>
      <c r="Z272" s="38"/>
    </row>
    <row r="273" spans="1:26" ht="15.75" customHeight="1" x14ac:dyDescent="0.2">
      <c r="A273" s="35" t="s">
        <v>892</v>
      </c>
      <c r="B273" s="35" t="s">
        <v>893</v>
      </c>
      <c r="C273" s="35" t="s">
        <v>887</v>
      </c>
      <c r="D273" s="35"/>
      <c r="E273" s="35"/>
      <c r="F273" s="42">
        <v>516.58000000000004</v>
      </c>
      <c r="G273" s="35"/>
      <c r="H273" s="35"/>
      <c r="I273" s="37"/>
      <c r="J273" s="37"/>
      <c r="K273" s="37"/>
      <c r="L273" s="37"/>
      <c r="M273" s="37"/>
      <c r="N273" s="37"/>
      <c r="O273" s="35"/>
      <c r="P273" s="38"/>
      <c r="Q273" s="38"/>
      <c r="R273" s="38"/>
      <c r="S273" s="38"/>
      <c r="T273" s="38"/>
      <c r="U273" s="38"/>
      <c r="V273" s="38"/>
      <c r="W273" s="38"/>
      <c r="X273" s="38"/>
      <c r="Y273" s="38"/>
      <c r="Z273" s="38"/>
    </row>
    <row r="274" spans="1:26" ht="15.75" customHeight="1" x14ac:dyDescent="0.2">
      <c r="A274" s="35" t="s">
        <v>894</v>
      </c>
      <c r="B274" s="35" t="s">
        <v>895</v>
      </c>
      <c r="C274" s="35" t="s">
        <v>896</v>
      </c>
      <c r="D274" s="35"/>
      <c r="E274" s="35"/>
      <c r="F274" s="35"/>
      <c r="G274" s="35"/>
      <c r="H274" s="35"/>
      <c r="I274" s="37"/>
      <c r="J274" s="37"/>
      <c r="K274" s="37"/>
      <c r="L274" s="37"/>
      <c r="M274" s="37"/>
      <c r="N274" s="37"/>
      <c r="O274" s="35"/>
      <c r="P274" s="38"/>
      <c r="Q274" s="38"/>
      <c r="R274" s="38"/>
      <c r="S274" s="38"/>
      <c r="T274" s="38"/>
      <c r="U274" s="38"/>
      <c r="V274" s="38"/>
      <c r="W274" s="38"/>
      <c r="X274" s="38"/>
      <c r="Y274" s="38"/>
      <c r="Z274" s="38"/>
    </row>
    <row r="275" spans="1:26" ht="15.75" customHeight="1" x14ac:dyDescent="0.2">
      <c r="A275" s="35" t="s">
        <v>897</v>
      </c>
      <c r="B275" s="35" t="s">
        <v>898</v>
      </c>
      <c r="C275" s="35" t="s">
        <v>102</v>
      </c>
      <c r="D275" s="35"/>
      <c r="E275" s="35"/>
      <c r="F275" s="35"/>
      <c r="G275" s="35"/>
      <c r="H275" s="35"/>
      <c r="I275" s="37"/>
      <c r="J275" s="37"/>
      <c r="K275" s="37"/>
      <c r="L275" s="37"/>
      <c r="M275" s="37"/>
      <c r="N275" s="37"/>
      <c r="O275" s="35"/>
      <c r="P275" s="38"/>
      <c r="Q275" s="38"/>
      <c r="R275" s="38"/>
      <c r="S275" s="38"/>
      <c r="T275" s="38"/>
      <c r="U275" s="38"/>
      <c r="V275" s="38"/>
      <c r="W275" s="38"/>
      <c r="X275" s="38"/>
      <c r="Y275" s="38"/>
      <c r="Z275" s="38"/>
    </row>
    <row r="276" spans="1:26" ht="15.75" customHeight="1" x14ac:dyDescent="0.2">
      <c r="A276" s="35" t="s">
        <v>899</v>
      </c>
      <c r="B276" s="35" t="s">
        <v>900</v>
      </c>
      <c r="C276" s="35" t="s">
        <v>901</v>
      </c>
      <c r="D276" s="35"/>
      <c r="E276" s="35"/>
      <c r="F276" s="35"/>
      <c r="G276" s="35" t="s">
        <v>42</v>
      </c>
      <c r="H276" s="35"/>
      <c r="I276" s="37"/>
      <c r="J276" s="37"/>
      <c r="K276" s="37"/>
      <c r="L276" s="37"/>
      <c r="M276" s="37"/>
      <c r="N276" s="37"/>
      <c r="O276" s="35"/>
      <c r="P276" s="38"/>
      <c r="Q276" s="38"/>
      <c r="R276" s="38"/>
      <c r="S276" s="38"/>
      <c r="T276" s="38"/>
      <c r="U276" s="38"/>
      <c r="V276" s="38"/>
      <c r="W276" s="38"/>
      <c r="X276" s="38"/>
      <c r="Y276" s="38"/>
      <c r="Z276" s="38"/>
    </row>
    <row r="277" spans="1:26" ht="15.75" customHeight="1" x14ac:dyDescent="0.2">
      <c r="A277" s="35" t="s">
        <v>902</v>
      </c>
      <c r="B277" s="35" t="s">
        <v>903</v>
      </c>
      <c r="C277" s="35" t="s">
        <v>16</v>
      </c>
      <c r="D277" s="35"/>
      <c r="E277" s="35"/>
      <c r="F277" s="35"/>
      <c r="G277" s="35" t="s">
        <v>42</v>
      </c>
      <c r="H277" s="35"/>
      <c r="I277" s="37"/>
      <c r="J277" s="37"/>
      <c r="K277" s="37"/>
      <c r="L277" s="37"/>
      <c r="M277" s="37"/>
      <c r="N277" s="37"/>
      <c r="O277" s="35"/>
      <c r="P277" s="38"/>
      <c r="Q277" s="38"/>
      <c r="R277" s="38"/>
      <c r="S277" s="38"/>
      <c r="T277" s="38"/>
      <c r="U277" s="38"/>
      <c r="V277" s="38"/>
      <c r="W277" s="38"/>
      <c r="X277" s="38"/>
      <c r="Y277" s="38"/>
      <c r="Z277" s="38"/>
    </row>
    <row r="278" spans="1:26" ht="15.75" customHeight="1" x14ac:dyDescent="0.2">
      <c r="A278" s="35" t="s">
        <v>904</v>
      </c>
      <c r="B278" s="35" t="s">
        <v>905</v>
      </c>
      <c r="C278" s="35" t="s">
        <v>906</v>
      </c>
      <c r="D278" s="35"/>
      <c r="E278" s="35"/>
      <c r="F278" s="35"/>
      <c r="G278" s="35"/>
      <c r="H278" s="35"/>
      <c r="I278" s="37"/>
      <c r="J278" s="37"/>
      <c r="K278" s="37"/>
      <c r="L278" s="37"/>
      <c r="M278" s="37"/>
      <c r="N278" s="37"/>
      <c r="O278" s="35"/>
      <c r="P278" s="38"/>
      <c r="Q278" s="38"/>
      <c r="R278" s="38"/>
      <c r="S278" s="38"/>
      <c r="T278" s="38"/>
      <c r="U278" s="38"/>
      <c r="V278" s="38"/>
      <c r="W278" s="38"/>
      <c r="X278" s="38"/>
      <c r="Y278" s="38"/>
      <c r="Z278" s="38"/>
    </row>
    <row r="279" spans="1:26" ht="15.75" customHeight="1" x14ac:dyDescent="0.2">
      <c r="A279" s="35" t="s">
        <v>907</v>
      </c>
      <c r="B279" s="35" t="s">
        <v>886</v>
      </c>
      <c r="C279" s="35" t="s">
        <v>53</v>
      </c>
      <c r="D279" s="35"/>
      <c r="E279" s="35"/>
      <c r="F279" s="35"/>
      <c r="G279" s="35" t="s">
        <v>42</v>
      </c>
      <c r="H279" s="35"/>
      <c r="I279" s="37"/>
      <c r="J279" s="37"/>
      <c r="K279" s="37"/>
      <c r="L279" s="37"/>
      <c r="M279" s="37"/>
      <c r="N279" s="37"/>
      <c r="O279" s="35"/>
      <c r="P279" s="38"/>
      <c r="Q279" s="38"/>
      <c r="R279" s="38"/>
      <c r="S279" s="38"/>
      <c r="T279" s="38"/>
      <c r="U279" s="38"/>
      <c r="V279" s="38"/>
      <c r="W279" s="38"/>
      <c r="X279" s="38"/>
      <c r="Y279" s="38"/>
      <c r="Z279" s="38"/>
    </row>
    <row r="280" spans="1:26" ht="15.75" customHeight="1" x14ac:dyDescent="0.2">
      <c r="A280" s="35" t="s">
        <v>908</v>
      </c>
      <c r="B280" s="35" t="s">
        <v>909</v>
      </c>
      <c r="C280" s="35" t="s">
        <v>873</v>
      </c>
      <c r="D280" s="35"/>
      <c r="E280" s="35"/>
      <c r="F280" s="35">
        <v>16</v>
      </c>
      <c r="G280" s="35" t="s">
        <v>42</v>
      </c>
      <c r="H280" s="35"/>
      <c r="I280" s="37"/>
      <c r="J280" s="37"/>
      <c r="K280" s="37"/>
      <c r="L280" s="37"/>
      <c r="M280" s="37"/>
      <c r="N280" s="37"/>
      <c r="O280" s="35"/>
      <c r="P280" s="38"/>
      <c r="Q280" s="38"/>
      <c r="R280" s="38"/>
      <c r="S280" s="38"/>
      <c r="T280" s="38"/>
      <c r="U280" s="38"/>
      <c r="V280" s="38"/>
      <c r="W280" s="38"/>
      <c r="X280" s="38"/>
      <c r="Y280" s="38"/>
      <c r="Z280" s="38"/>
    </row>
    <row r="281" spans="1:26" ht="15.75" customHeight="1" x14ac:dyDescent="0.2">
      <c r="A281" s="35" t="s">
        <v>910</v>
      </c>
      <c r="B281" s="35" t="s">
        <v>911</v>
      </c>
      <c r="C281" s="35" t="s">
        <v>873</v>
      </c>
      <c r="D281" s="35"/>
      <c r="E281" s="35"/>
      <c r="F281" s="35"/>
      <c r="G281" s="35" t="s">
        <v>42</v>
      </c>
      <c r="H281" s="35"/>
      <c r="I281" s="37"/>
      <c r="J281" s="37"/>
      <c r="K281" s="37"/>
      <c r="L281" s="37"/>
      <c r="M281" s="37"/>
      <c r="N281" s="37"/>
      <c r="O281" s="35"/>
      <c r="P281" s="38"/>
      <c r="Q281" s="38"/>
      <c r="R281" s="38"/>
      <c r="S281" s="38"/>
      <c r="T281" s="38"/>
      <c r="U281" s="38"/>
      <c r="V281" s="38"/>
      <c r="W281" s="38"/>
      <c r="X281" s="38"/>
      <c r="Y281" s="38"/>
      <c r="Z281" s="38"/>
    </row>
    <row r="282" spans="1:26" ht="15.75" customHeight="1" x14ac:dyDescent="0.2">
      <c r="A282" s="35" t="s">
        <v>912</v>
      </c>
      <c r="B282" s="35" t="s">
        <v>913</v>
      </c>
      <c r="C282" s="35" t="s">
        <v>765</v>
      </c>
      <c r="D282" s="35"/>
      <c r="E282" s="35"/>
      <c r="F282" s="35"/>
      <c r="G282" s="35" t="s">
        <v>42</v>
      </c>
      <c r="H282" s="35"/>
      <c r="I282" s="37"/>
      <c r="J282" s="37"/>
      <c r="K282" s="37"/>
      <c r="L282" s="37"/>
      <c r="M282" s="37"/>
      <c r="N282" s="37"/>
      <c r="O282" s="35"/>
      <c r="P282" s="38"/>
      <c r="Q282" s="38"/>
      <c r="R282" s="38"/>
      <c r="S282" s="38"/>
      <c r="T282" s="38"/>
      <c r="U282" s="38"/>
      <c r="V282" s="38"/>
      <c r="W282" s="38"/>
      <c r="X282" s="38"/>
      <c r="Y282" s="38"/>
      <c r="Z282" s="38"/>
    </row>
    <row r="283" spans="1:26" ht="15.75" customHeight="1" x14ac:dyDescent="0.2">
      <c r="A283" s="35" t="s">
        <v>914</v>
      </c>
      <c r="B283" s="35" t="s">
        <v>915</v>
      </c>
      <c r="C283" s="35" t="s">
        <v>765</v>
      </c>
      <c r="D283" s="35"/>
      <c r="E283" s="35"/>
      <c r="F283" s="35"/>
      <c r="G283" s="35" t="s">
        <v>42</v>
      </c>
      <c r="H283" s="35"/>
      <c r="I283" s="37"/>
      <c r="J283" s="37"/>
      <c r="K283" s="37"/>
      <c r="L283" s="37"/>
      <c r="M283" s="37"/>
      <c r="N283" s="37"/>
      <c r="O283" s="35"/>
      <c r="P283" s="38"/>
      <c r="Q283" s="38"/>
      <c r="R283" s="38"/>
      <c r="S283" s="38"/>
      <c r="T283" s="38"/>
      <c r="U283" s="38"/>
      <c r="V283" s="38"/>
      <c r="W283" s="38"/>
      <c r="X283" s="38"/>
      <c r="Y283" s="38"/>
      <c r="Z283" s="38"/>
    </row>
    <row r="284" spans="1:26" ht="15.75" customHeight="1" x14ac:dyDescent="0.2">
      <c r="A284" s="35" t="s">
        <v>916</v>
      </c>
      <c r="B284" s="35" t="s">
        <v>917</v>
      </c>
      <c r="C284" s="35" t="s">
        <v>918</v>
      </c>
      <c r="D284" s="35" t="s">
        <v>919</v>
      </c>
      <c r="E284" s="35" t="s">
        <v>882</v>
      </c>
      <c r="F284" s="35">
        <v>51</v>
      </c>
      <c r="G284" s="35" t="s">
        <v>42</v>
      </c>
      <c r="H284" s="35"/>
      <c r="I284" s="37"/>
      <c r="J284" s="37"/>
      <c r="K284" s="37"/>
      <c r="L284" s="37"/>
      <c r="M284" s="37"/>
      <c r="N284" s="37"/>
      <c r="O284" s="35"/>
      <c r="P284" s="38"/>
      <c r="Q284" s="38"/>
      <c r="R284" s="38"/>
      <c r="S284" s="38"/>
      <c r="T284" s="38"/>
      <c r="U284" s="38"/>
      <c r="V284" s="38"/>
      <c r="W284" s="38"/>
      <c r="X284" s="38"/>
      <c r="Y284" s="38"/>
      <c r="Z284" s="38"/>
    </row>
    <row r="285" spans="1:26" ht="15.75" customHeight="1" x14ac:dyDescent="0.2">
      <c r="A285" s="35" t="s">
        <v>920</v>
      </c>
      <c r="B285" s="35" t="s">
        <v>921</v>
      </c>
      <c r="C285" s="35" t="s">
        <v>241</v>
      </c>
      <c r="D285" s="35" t="s">
        <v>922</v>
      </c>
      <c r="E285" s="35" t="s">
        <v>882</v>
      </c>
      <c r="F285" s="35">
        <v>116</v>
      </c>
      <c r="G285" s="35"/>
      <c r="H285" s="35"/>
      <c r="I285" s="37"/>
      <c r="J285" s="37"/>
      <c r="K285" s="37"/>
      <c r="L285" s="37"/>
      <c r="M285" s="37"/>
      <c r="N285" s="37"/>
      <c r="O285" s="35"/>
      <c r="P285" s="38"/>
      <c r="Q285" s="38"/>
      <c r="R285" s="38"/>
      <c r="S285" s="38"/>
      <c r="T285" s="38"/>
      <c r="U285" s="38"/>
      <c r="V285" s="38"/>
      <c r="W285" s="38"/>
      <c r="X285" s="38"/>
      <c r="Y285" s="38"/>
      <c r="Z285" s="38"/>
    </row>
    <row r="286" spans="1:26" ht="15.75" customHeight="1" x14ac:dyDescent="0.2">
      <c r="A286" s="35" t="s">
        <v>923</v>
      </c>
      <c r="B286" s="35" t="s">
        <v>924</v>
      </c>
      <c r="C286" s="35" t="s">
        <v>241</v>
      </c>
      <c r="D286" s="35" t="s">
        <v>925</v>
      </c>
      <c r="E286" s="35" t="s">
        <v>926</v>
      </c>
      <c r="F286" s="35">
        <v>45.32</v>
      </c>
      <c r="G286" s="35" t="s">
        <v>42</v>
      </c>
      <c r="H286" s="35"/>
      <c r="I286" s="37"/>
      <c r="J286" s="37"/>
      <c r="K286" s="37"/>
      <c r="L286" s="37"/>
      <c r="M286" s="37"/>
      <c r="N286" s="37"/>
      <c r="O286" s="35"/>
      <c r="P286" s="38"/>
      <c r="Q286" s="38"/>
      <c r="R286" s="38"/>
      <c r="S286" s="38"/>
      <c r="T286" s="38"/>
      <c r="U286" s="38"/>
      <c r="V286" s="38"/>
      <c r="W286" s="38"/>
      <c r="X286" s="38"/>
      <c r="Y286" s="38"/>
      <c r="Z286" s="38"/>
    </row>
    <row r="287" spans="1:26" ht="15.75" customHeight="1" x14ac:dyDescent="0.2">
      <c r="A287" s="35" t="s">
        <v>927</v>
      </c>
      <c r="B287" s="35" t="s">
        <v>928</v>
      </c>
      <c r="C287" s="35" t="s">
        <v>241</v>
      </c>
      <c r="D287" s="35" t="s">
        <v>929</v>
      </c>
      <c r="E287" s="35" t="s">
        <v>882</v>
      </c>
      <c r="F287" s="35">
        <v>274.39999999999998</v>
      </c>
      <c r="G287" s="35"/>
      <c r="H287" s="35"/>
      <c r="I287" s="37"/>
      <c r="J287" s="37"/>
      <c r="K287" s="37"/>
      <c r="L287" s="37"/>
      <c r="M287" s="37"/>
      <c r="N287" s="37"/>
      <c r="O287" s="35"/>
      <c r="P287" s="38"/>
      <c r="Q287" s="38"/>
      <c r="R287" s="38"/>
      <c r="S287" s="38"/>
      <c r="T287" s="38"/>
      <c r="U287" s="38"/>
      <c r="V287" s="38"/>
      <c r="W287" s="38"/>
      <c r="X287" s="38"/>
      <c r="Y287" s="38"/>
      <c r="Z287" s="38"/>
    </row>
    <row r="288" spans="1:26" ht="15.75" customHeight="1" x14ac:dyDescent="0.2">
      <c r="A288" s="35" t="s">
        <v>930</v>
      </c>
      <c r="B288" s="35" t="s">
        <v>931</v>
      </c>
      <c r="C288" s="35" t="s">
        <v>241</v>
      </c>
      <c r="D288" s="35"/>
      <c r="E288" s="35" t="s">
        <v>932</v>
      </c>
      <c r="F288" s="35">
        <v>131.99</v>
      </c>
      <c r="G288" s="35"/>
      <c r="H288" s="35"/>
      <c r="I288" s="37"/>
      <c r="J288" s="37"/>
      <c r="K288" s="37"/>
      <c r="L288" s="37"/>
      <c r="M288" s="37"/>
      <c r="N288" s="37"/>
      <c r="O288" s="35"/>
      <c r="P288" s="38"/>
      <c r="Q288" s="38"/>
      <c r="R288" s="38"/>
      <c r="S288" s="38"/>
      <c r="T288" s="38"/>
      <c r="U288" s="38"/>
      <c r="V288" s="38"/>
      <c r="W288" s="38"/>
      <c r="X288" s="38"/>
      <c r="Y288" s="38"/>
      <c r="Z288" s="38"/>
    </row>
    <row r="289" spans="1:26" ht="15.75" customHeight="1" x14ac:dyDescent="0.2">
      <c r="A289" s="35" t="s">
        <v>933</v>
      </c>
      <c r="B289" s="35" t="s">
        <v>934</v>
      </c>
      <c r="C289" s="35" t="s">
        <v>241</v>
      </c>
      <c r="D289" s="35"/>
      <c r="E289" s="35" t="s">
        <v>932</v>
      </c>
      <c r="F289" s="35">
        <v>120.95</v>
      </c>
      <c r="G289" s="35"/>
      <c r="H289" s="35"/>
      <c r="I289" s="37"/>
      <c r="J289" s="37"/>
      <c r="K289" s="37"/>
      <c r="L289" s="37"/>
      <c r="M289" s="37"/>
      <c r="N289" s="37"/>
      <c r="O289" s="35"/>
      <c r="P289" s="38"/>
      <c r="Q289" s="38"/>
      <c r="R289" s="38"/>
      <c r="S289" s="38"/>
      <c r="T289" s="38"/>
      <c r="U289" s="38"/>
      <c r="V289" s="38"/>
      <c r="W289" s="38"/>
      <c r="X289" s="38"/>
      <c r="Y289" s="38"/>
      <c r="Z289" s="38"/>
    </row>
    <row r="290" spans="1:26" ht="15.75" customHeight="1" x14ac:dyDescent="0.2">
      <c r="A290" s="35" t="s">
        <v>935</v>
      </c>
      <c r="B290" s="35" t="s">
        <v>936</v>
      </c>
      <c r="C290" s="35" t="s">
        <v>241</v>
      </c>
      <c r="D290" s="35"/>
      <c r="E290" s="35" t="s">
        <v>932</v>
      </c>
      <c r="F290" s="35">
        <v>86</v>
      </c>
      <c r="G290" s="35"/>
      <c r="H290" s="35"/>
      <c r="I290" s="37"/>
      <c r="J290" s="37"/>
      <c r="K290" s="37"/>
      <c r="L290" s="37"/>
      <c r="M290" s="37"/>
      <c r="N290" s="37"/>
      <c r="O290" s="35"/>
      <c r="P290" s="38"/>
      <c r="Q290" s="38"/>
      <c r="R290" s="38"/>
      <c r="S290" s="38"/>
      <c r="T290" s="38"/>
      <c r="U290" s="38"/>
      <c r="V290" s="38"/>
      <c r="W290" s="38"/>
      <c r="X290" s="38"/>
      <c r="Y290" s="38"/>
      <c r="Z290" s="38"/>
    </row>
    <row r="291" spans="1:26" ht="15.75" customHeight="1" x14ac:dyDescent="0.2">
      <c r="A291" s="35" t="s">
        <v>937</v>
      </c>
      <c r="B291" s="35" t="s">
        <v>938</v>
      </c>
      <c r="C291" s="35" t="s">
        <v>241</v>
      </c>
      <c r="D291" s="35" t="s">
        <v>939</v>
      </c>
      <c r="E291" s="35" t="s">
        <v>882</v>
      </c>
      <c r="F291" s="35"/>
      <c r="G291" s="35"/>
      <c r="H291" s="35"/>
      <c r="I291" s="37"/>
      <c r="J291" s="37"/>
      <c r="K291" s="37"/>
      <c r="L291" s="37"/>
      <c r="M291" s="37"/>
      <c r="N291" s="37"/>
      <c r="O291" s="35"/>
      <c r="P291" s="38"/>
      <c r="Q291" s="38"/>
      <c r="R291" s="38"/>
      <c r="S291" s="38"/>
      <c r="T291" s="38"/>
      <c r="U291" s="38"/>
      <c r="V291" s="38"/>
      <c r="W291" s="38"/>
      <c r="X291" s="38"/>
      <c r="Y291" s="38"/>
      <c r="Z291" s="38"/>
    </row>
    <row r="292" spans="1:26" ht="15.75" customHeight="1" x14ac:dyDescent="0.2">
      <c r="A292" s="35" t="s">
        <v>940</v>
      </c>
      <c r="B292" s="35" t="s">
        <v>941</v>
      </c>
      <c r="C292" s="35" t="s">
        <v>942</v>
      </c>
      <c r="D292" s="35" t="s">
        <v>943</v>
      </c>
      <c r="E292" s="35" t="s">
        <v>882</v>
      </c>
      <c r="F292" s="35">
        <v>45</v>
      </c>
      <c r="G292" s="35"/>
      <c r="H292" s="35"/>
      <c r="I292" s="37">
        <v>0</v>
      </c>
      <c r="J292" s="37">
        <v>0</v>
      </c>
      <c r="K292" s="37">
        <v>100</v>
      </c>
      <c r="L292" s="37">
        <v>0</v>
      </c>
      <c r="M292" s="37"/>
      <c r="N292" s="37"/>
      <c r="O292" s="35"/>
      <c r="P292" s="38"/>
      <c r="Q292" s="38"/>
      <c r="R292" s="38"/>
      <c r="S292" s="38"/>
      <c r="T292" s="38"/>
      <c r="U292" s="38"/>
      <c r="V292" s="38"/>
      <c r="W292" s="38"/>
      <c r="X292" s="38"/>
      <c r="Y292" s="38"/>
      <c r="Z292" s="38"/>
    </row>
    <row r="293" spans="1:26" ht="15.75" customHeight="1" x14ac:dyDescent="0.2">
      <c r="A293" s="35" t="s">
        <v>944</v>
      </c>
      <c r="B293" s="35" t="s">
        <v>945</v>
      </c>
      <c r="C293" s="35" t="s">
        <v>946</v>
      </c>
      <c r="D293" s="36" t="s">
        <v>947</v>
      </c>
      <c r="E293" s="35" t="s">
        <v>882</v>
      </c>
      <c r="F293" s="35"/>
      <c r="G293" s="35"/>
      <c r="H293" s="35"/>
      <c r="I293" s="37"/>
      <c r="J293" s="37"/>
      <c r="K293" s="37"/>
      <c r="L293" s="37"/>
      <c r="M293" s="37"/>
      <c r="N293" s="37"/>
      <c r="O293" s="35"/>
      <c r="P293" s="38"/>
      <c r="Q293" s="38"/>
      <c r="R293" s="38"/>
      <c r="S293" s="38"/>
      <c r="T293" s="38"/>
      <c r="U293" s="38"/>
      <c r="V293" s="38"/>
      <c r="W293" s="38"/>
      <c r="X293" s="38"/>
      <c r="Y293" s="38"/>
      <c r="Z293" s="38"/>
    </row>
    <row r="294" spans="1:26" ht="15.75" customHeight="1" x14ac:dyDescent="0.2">
      <c r="A294" s="35" t="s">
        <v>948</v>
      </c>
      <c r="B294" s="35" t="s">
        <v>949</v>
      </c>
      <c r="C294" s="35" t="s">
        <v>399</v>
      </c>
      <c r="D294" s="36" t="s">
        <v>950</v>
      </c>
      <c r="E294" s="35" t="s">
        <v>882</v>
      </c>
      <c r="F294" s="35"/>
      <c r="G294" s="35"/>
      <c r="H294" s="35"/>
      <c r="I294" s="37"/>
      <c r="J294" s="37"/>
      <c r="K294" s="37"/>
      <c r="L294" s="37"/>
      <c r="M294" s="37"/>
      <c r="N294" s="37"/>
      <c r="O294" s="35"/>
      <c r="P294" s="38"/>
      <c r="Q294" s="38"/>
      <c r="R294" s="38"/>
      <c r="S294" s="38"/>
      <c r="T294" s="38"/>
      <c r="U294" s="38"/>
      <c r="V294" s="38"/>
      <c r="W294" s="38"/>
      <c r="X294" s="38"/>
      <c r="Y294" s="38"/>
      <c r="Z294" s="38"/>
    </row>
    <row r="295" spans="1:26" ht="15.75" customHeight="1" x14ac:dyDescent="0.2">
      <c r="A295" s="35" t="s">
        <v>951</v>
      </c>
      <c r="B295" s="35" t="s">
        <v>952</v>
      </c>
      <c r="C295" s="35" t="s">
        <v>850</v>
      </c>
      <c r="D295" s="36" t="s">
        <v>953</v>
      </c>
      <c r="E295" s="35" t="s">
        <v>954</v>
      </c>
      <c r="F295" s="35">
        <v>22.65</v>
      </c>
      <c r="G295" s="35"/>
      <c r="H295" s="35"/>
      <c r="I295" s="37"/>
      <c r="J295" s="37"/>
      <c r="K295" s="37"/>
      <c r="L295" s="37"/>
      <c r="M295" s="37"/>
      <c r="N295" s="37"/>
      <c r="O295" s="35"/>
      <c r="P295" s="38"/>
      <c r="Q295" s="38"/>
      <c r="R295" s="38"/>
      <c r="S295" s="38"/>
      <c r="T295" s="38"/>
      <c r="U295" s="38"/>
      <c r="V295" s="38"/>
      <c r="W295" s="38"/>
      <c r="X295" s="38"/>
      <c r="Y295" s="38"/>
      <c r="Z295" s="38"/>
    </row>
    <row r="296" spans="1:26" ht="15.75" customHeight="1" x14ac:dyDescent="0.2">
      <c r="A296" s="35" t="s">
        <v>955</v>
      </c>
      <c r="B296" s="35" t="s">
        <v>956</v>
      </c>
      <c r="C296" s="35" t="s">
        <v>864</v>
      </c>
      <c r="D296" s="36"/>
      <c r="E296" s="35" t="s">
        <v>882</v>
      </c>
      <c r="F296" s="35">
        <v>14.16</v>
      </c>
      <c r="G296" s="35" t="s">
        <v>957</v>
      </c>
      <c r="H296" s="35"/>
      <c r="I296" s="37"/>
      <c r="J296" s="37"/>
      <c r="K296" s="37"/>
      <c r="L296" s="37"/>
      <c r="M296" s="37"/>
      <c r="N296" s="37"/>
      <c r="O296" s="35"/>
      <c r="P296" s="38"/>
      <c r="Q296" s="38"/>
      <c r="R296" s="38"/>
      <c r="S296" s="38"/>
      <c r="T296" s="38"/>
      <c r="U296" s="38"/>
      <c r="V296" s="38"/>
      <c r="W296" s="38"/>
      <c r="X296" s="38"/>
      <c r="Y296" s="38"/>
      <c r="Z296" s="38"/>
    </row>
    <row r="297" spans="1:26" ht="15.75" customHeight="1" x14ac:dyDescent="0.2">
      <c r="A297" s="35" t="s">
        <v>958</v>
      </c>
      <c r="B297" s="35" t="s">
        <v>959</v>
      </c>
      <c r="C297" s="35" t="s">
        <v>960</v>
      </c>
      <c r="D297" s="36"/>
      <c r="E297" s="35" t="s">
        <v>882</v>
      </c>
      <c r="F297" s="35"/>
      <c r="G297" s="35"/>
      <c r="H297" s="35"/>
      <c r="I297" s="37"/>
      <c r="J297" s="37"/>
      <c r="K297" s="37"/>
      <c r="L297" s="37"/>
      <c r="M297" s="37"/>
      <c r="N297" s="37"/>
      <c r="O297" s="35"/>
      <c r="P297" s="38"/>
      <c r="Q297" s="38"/>
      <c r="R297" s="38"/>
      <c r="S297" s="38"/>
      <c r="T297" s="38"/>
      <c r="U297" s="38"/>
      <c r="V297" s="38"/>
      <c r="W297" s="38"/>
      <c r="X297" s="38"/>
      <c r="Y297" s="38"/>
      <c r="Z297" s="38"/>
    </row>
    <row r="298" spans="1:26" ht="15.75" customHeight="1" x14ac:dyDescent="0.2">
      <c r="A298" s="35" t="s">
        <v>961</v>
      </c>
      <c r="B298" s="35" t="s">
        <v>962</v>
      </c>
      <c r="C298" s="35" t="s">
        <v>701</v>
      </c>
      <c r="D298" s="36"/>
      <c r="E298" s="35" t="s">
        <v>882</v>
      </c>
      <c r="F298" s="35"/>
      <c r="G298" s="35"/>
      <c r="H298" s="35"/>
      <c r="I298" s="37"/>
      <c r="J298" s="37"/>
      <c r="K298" s="37"/>
      <c r="L298" s="37"/>
      <c r="M298" s="37"/>
      <c r="N298" s="37"/>
      <c r="O298" s="35"/>
      <c r="P298" s="38"/>
      <c r="Q298" s="38"/>
      <c r="R298" s="38"/>
      <c r="S298" s="38"/>
      <c r="T298" s="38"/>
      <c r="U298" s="38"/>
      <c r="V298" s="38"/>
      <c r="W298" s="38"/>
      <c r="X298" s="38"/>
      <c r="Y298" s="38"/>
      <c r="Z298" s="38"/>
    </row>
    <row r="299" spans="1:26" ht="15.75" customHeight="1" x14ac:dyDescent="0.2">
      <c r="A299" s="35" t="s">
        <v>963</v>
      </c>
      <c r="B299" s="35" t="s">
        <v>964</v>
      </c>
      <c r="C299" s="35" t="s">
        <v>241</v>
      </c>
      <c r="D299" s="36" t="s">
        <v>965</v>
      </c>
      <c r="E299" s="35" t="s">
        <v>882</v>
      </c>
      <c r="F299" s="35">
        <v>55.27</v>
      </c>
      <c r="G299" s="35" t="s">
        <v>42</v>
      </c>
      <c r="H299" s="35"/>
      <c r="I299" s="37"/>
      <c r="J299" s="37"/>
      <c r="K299" s="37"/>
      <c r="L299" s="37"/>
      <c r="M299" s="37"/>
      <c r="N299" s="37"/>
      <c r="O299" s="35"/>
      <c r="P299" s="38"/>
      <c r="Q299" s="38"/>
      <c r="R299" s="38"/>
      <c r="S299" s="38"/>
      <c r="T299" s="38"/>
      <c r="U299" s="38"/>
      <c r="V299" s="38"/>
      <c r="W299" s="38"/>
      <c r="X299" s="38"/>
      <c r="Y299" s="38"/>
      <c r="Z299" s="38"/>
    </row>
    <row r="300" spans="1:26" ht="15.75" customHeight="1" x14ac:dyDescent="0.2">
      <c r="A300" s="35" t="s">
        <v>966</v>
      </c>
      <c r="B300" s="35" t="s">
        <v>967</v>
      </c>
      <c r="C300" s="35" t="s">
        <v>873</v>
      </c>
      <c r="D300" s="36" t="s">
        <v>968</v>
      </c>
      <c r="E300" s="35" t="s">
        <v>882</v>
      </c>
      <c r="F300" s="35">
        <v>16.18</v>
      </c>
      <c r="G300" s="35"/>
      <c r="H300" s="35"/>
      <c r="I300" s="37"/>
      <c r="J300" s="37"/>
      <c r="K300" s="37"/>
      <c r="L300" s="37"/>
      <c r="M300" s="37"/>
      <c r="N300" s="37"/>
      <c r="O300" s="35"/>
      <c r="P300" s="38"/>
      <c r="Q300" s="38"/>
      <c r="R300" s="38"/>
      <c r="S300" s="38"/>
      <c r="T300" s="38"/>
      <c r="U300" s="38"/>
      <c r="V300" s="38"/>
      <c r="W300" s="38"/>
      <c r="X300" s="38"/>
      <c r="Y300" s="38"/>
      <c r="Z300" s="38"/>
    </row>
    <row r="301" spans="1:26" ht="15.75" customHeight="1" x14ac:dyDescent="0.2">
      <c r="A301" s="35" t="s">
        <v>969</v>
      </c>
      <c r="B301" s="35" t="s">
        <v>970</v>
      </c>
      <c r="C301" s="35" t="s">
        <v>864</v>
      </c>
      <c r="D301" s="36" t="s">
        <v>971</v>
      </c>
      <c r="E301" s="35" t="s">
        <v>882</v>
      </c>
      <c r="F301" s="35">
        <v>2.63</v>
      </c>
      <c r="G301" s="35"/>
      <c r="H301" s="35"/>
      <c r="I301" s="37">
        <v>100</v>
      </c>
      <c r="J301" s="37">
        <v>100</v>
      </c>
      <c r="K301" s="37">
        <v>0</v>
      </c>
      <c r="L301" s="37">
        <v>0</v>
      </c>
      <c r="M301" s="37"/>
      <c r="N301" s="37"/>
      <c r="O301" s="35"/>
      <c r="P301" s="38"/>
      <c r="Q301" s="38"/>
      <c r="R301" s="38"/>
      <c r="S301" s="38"/>
      <c r="T301" s="38"/>
      <c r="U301" s="38"/>
      <c r="V301" s="38"/>
      <c r="W301" s="38"/>
      <c r="X301" s="38"/>
      <c r="Y301" s="38"/>
      <c r="Z301" s="38"/>
    </row>
    <row r="302" spans="1:26" ht="15.75" customHeight="1" x14ac:dyDescent="0.2">
      <c r="A302" s="35" t="s">
        <v>972</v>
      </c>
      <c r="B302" s="35" t="s">
        <v>973</v>
      </c>
      <c r="C302" s="35" t="s">
        <v>873</v>
      </c>
      <c r="D302" s="36" t="s">
        <v>971</v>
      </c>
      <c r="E302" s="35" t="s">
        <v>882</v>
      </c>
      <c r="F302" s="35">
        <v>4</v>
      </c>
      <c r="G302" s="35"/>
      <c r="H302" s="35"/>
      <c r="I302" s="37"/>
      <c r="J302" s="37"/>
      <c r="K302" s="37"/>
      <c r="L302" s="37"/>
      <c r="M302" s="37"/>
      <c r="N302" s="37"/>
      <c r="O302" s="35"/>
      <c r="P302" s="38"/>
      <c r="Q302" s="38"/>
      <c r="R302" s="38"/>
      <c r="S302" s="38"/>
      <c r="T302" s="38"/>
      <c r="U302" s="38"/>
      <c r="V302" s="38"/>
      <c r="W302" s="38"/>
      <c r="X302" s="38"/>
      <c r="Y302" s="38"/>
      <c r="Z302" s="38"/>
    </row>
    <row r="303" spans="1:26" ht="15.75" customHeight="1" x14ac:dyDescent="0.2">
      <c r="A303" s="35" t="s">
        <v>974</v>
      </c>
      <c r="B303" s="35" t="s">
        <v>975</v>
      </c>
      <c r="C303" s="35" t="s">
        <v>873</v>
      </c>
      <c r="D303" s="36" t="s">
        <v>971</v>
      </c>
      <c r="E303" s="35" t="s">
        <v>882</v>
      </c>
      <c r="F303" s="35"/>
      <c r="G303" s="35"/>
      <c r="H303" s="35"/>
      <c r="I303" s="37"/>
      <c r="J303" s="37"/>
      <c r="K303" s="37"/>
      <c r="L303" s="37"/>
      <c r="M303" s="37"/>
      <c r="N303" s="37"/>
      <c r="O303" s="35"/>
      <c r="P303" s="38"/>
      <c r="Q303" s="38"/>
      <c r="R303" s="38"/>
      <c r="S303" s="38"/>
      <c r="T303" s="38"/>
      <c r="U303" s="38"/>
      <c r="V303" s="38"/>
      <c r="W303" s="38"/>
      <c r="X303" s="38"/>
      <c r="Y303" s="38"/>
      <c r="Z303" s="38"/>
    </row>
    <row r="304" spans="1:26" ht="15.75" customHeight="1" x14ac:dyDescent="0.2">
      <c r="A304" s="35" t="s">
        <v>976</v>
      </c>
      <c r="B304" s="35" t="s">
        <v>977</v>
      </c>
      <c r="C304" s="35" t="s">
        <v>873</v>
      </c>
      <c r="D304" s="36" t="s">
        <v>577</v>
      </c>
      <c r="E304" s="35" t="s">
        <v>882</v>
      </c>
      <c r="F304" s="35"/>
      <c r="G304" s="35" t="s">
        <v>42</v>
      </c>
      <c r="H304" s="35"/>
      <c r="I304" s="37"/>
      <c r="J304" s="37"/>
      <c r="K304" s="37"/>
      <c r="L304" s="37"/>
      <c r="M304" s="37"/>
      <c r="N304" s="37"/>
      <c r="O304" s="35"/>
      <c r="P304" s="38"/>
      <c r="Q304" s="38"/>
      <c r="R304" s="38"/>
      <c r="S304" s="38"/>
      <c r="T304" s="38"/>
      <c r="U304" s="38"/>
      <c r="V304" s="38"/>
      <c r="W304" s="38"/>
      <c r="X304" s="38"/>
      <c r="Y304" s="38"/>
      <c r="Z304" s="38"/>
    </row>
    <row r="305" spans="1:26" ht="15.75" customHeight="1" x14ac:dyDescent="0.2">
      <c r="A305" s="35" t="s">
        <v>978</v>
      </c>
      <c r="B305" s="35" t="s">
        <v>979</v>
      </c>
      <c r="C305" s="35" t="s">
        <v>163</v>
      </c>
      <c r="D305" s="36" t="s">
        <v>980</v>
      </c>
      <c r="E305" s="35" t="s">
        <v>882</v>
      </c>
      <c r="F305" s="35"/>
      <c r="G305" s="35"/>
      <c r="H305" s="35"/>
      <c r="I305" s="37"/>
      <c r="J305" s="37"/>
      <c r="K305" s="37"/>
      <c r="L305" s="37"/>
      <c r="M305" s="37"/>
      <c r="N305" s="37"/>
      <c r="O305" s="35"/>
      <c r="P305" s="38"/>
      <c r="Q305" s="38"/>
      <c r="R305" s="38"/>
      <c r="S305" s="38"/>
      <c r="T305" s="38"/>
      <c r="U305" s="38"/>
      <c r="V305" s="38"/>
      <c r="W305" s="38"/>
      <c r="X305" s="38"/>
      <c r="Y305" s="38"/>
      <c r="Z305" s="38"/>
    </row>
    <row r="306" spans="1:26" ht="15.75" customHeight="1" x14ac:dyDescent="0.2">
      <c r="A306" s="35" t="s">
        <v>981</v>
      </c>
      <c r="B306" s="35" t="s">
        <v>982</v>
      </c>
      <c r="C306" s="35" t="s">
        <v>163</v>
      </c>
      <c r="D306" s="36"/>
      <c r="E306" s="35" t="s">
        <v>926</v>
      </c>
      <c r="F306" s="35"/>
      <c r="G306" s="35"/>
      <c r="H306" s="35"/>
      <c r="I306" s="37"/>
      <c r="J306" s="37"/>
      <c r="K306" s="37"/>
      <c r="L306" s="37"/>
      <c r="M306" s="37"/>
      <c r="N306" s="37"/>
      <c r="O306" s="35"/>
      <c r="P306" s="38"/>
      <c r="Q306" s="38"/>
      <c r="R306" s="38"/>
      <c r="S306" s="38"/>
      <c r="T306" s="38"/>
      <c r="U306" s="38"/>
      <c r="V306" s="38"/>
      <c r="W306" s="38"/>
      <c r="X306" s="38"/>
      <c r="Y306" s="38"/>
      <c r="Z306" s="38"/>
    </row>
    <row r="307" spans="1:26" ht="15.75" customHeight="1" x14ac:dyDescent="0.2">
      <c r="A307" s="35" t="s">
        <v>983</v>
      </c>
      <c r="B307" s="35" t="s">
        <v>984</v>
      </c>
      <c r="C307" s="35" t="s">
        <v>163</v>
      </c>
      <c r="D307" s="36"/>
      <c r="E307" s="35" t="s">
        <v>926</v>
      </c>
      <c r="F307" s="35">
        <v>18.5</v>
      </c>
      <c r="G307" s="35"/>
      <c r="H307" s="35" t="s">
        <v>985</v>
      </c>
      <c r="I307" s="37"/>
      <c r="J307" s="37"/>
      <c r="K307" s="37"/>
      <c r="L307" s="37"/>
      <c r="M307" s="37"/>
      <c r="N307" s="37"/>
      <c r="O307" s="35"/>
      <c r="P307" s="38"/>
      <c r="Q307" s="38"/>
      <c r="R307" s="38"/>
      <c r="S307" s="38"/>
      <c r="T307" s="38"/>
      <c r="U307" s="38"/>
      <c r="V307" s="38"/>
      <c r="W307" s="38"/>
      <c r="X307" s="38"/>
      <c r="Y307" s="38"/>
      <c r="Z307" s="38"/>
    </row>
    <row r="308" spans="1:26" ht="15.75" customHeight="1" x14ac:dyDescent="0.2">
      <c r="A308" s="35" t="s">
        <v>986</v>
      </c>
      <c r="B308" s="35" t="s">
        <v>987</v>
      </c>
      <c r="C308" s="35" t="s">
        <v>988</v>
      </c>
      <c r="D308" s="36"/>
      <c r="E308" s="35" t="s">
        <v>926</v>
      </c>
      <c r="F308" s="35"/>
      <c r="G308" s="35"/>
      <c r="H308" s="35"/>
      <c r="I308" s="37"/>
      <c r="J308" s="37"/>
      <c r="K308" s="37"/>
      <c r="L308" s="37"/>
      <c r="M308" s="37"/>
      <c r="N308" s="37"/>
      <c r="O308" s="35"/>
      <c r="P308" s="38"/>
      <c r="Q308" s="38"/>
      <c r="R308" s="38"/>
      <c r="S308" s="38"/>
      <c r="T308" s="38"/>
      <c r="U308" s="38"/>
      <c r="V308" s="38"/>
      <c r="W308" s="38"/>
      <c r="X308" s="38"/>
      <c r="Y308" s="38"/>
      <c r="Z308" s="38"/>
    </row>
    <row r="309" spans="1:26" ht="15.75" customHeight="1" x14ac:dyDescent="0.2">
      <c r="A309" s="35" t="s">
        <v>989</v>
      </c>
      <c r="B309" s="35" t="s">
        <v>990</v>
      </c>
      <c r="C309" s="35" t="s">
        <v>158</v>
      </c>
      <c r="D309" s="36" t="s">
        <v>991</v>
      </c>
      <c r="E309" s="35" t="s">
        <v>882</v>
      </c>
      <c r="F309" s="35">
        <v>170</v>
      </c>
      <c r="G309" s="35" t="s">
        <v>42</v>
      </c>
      <c r="H309" s="35"/>
      <c r="I309" s="37">
        <v>100</v>
      </c>
      <c r="J309" s="37">
        <v>0</v>
      </c>
      <c r="K309" s="37">
        <v>0</v>
      </c>
      <c r="L309" s="37">
        <v>0</v>
      </c>
      <c r="M309" s="37" t="s">
        <v>992</v>
      </c>
      <c r="N309" s="37"/>
      <c r="O309" s="35"/>
      <c r="P309" s="38"/>
      <c r="Q309" s="38"/>
      <c r="R309" s="38"/>
      <c r="S309" s="38"/>
      <c r="T309" s="38"/>
      <c r="U309" s="38"/>
      <c r="V309" s="38"/>
      <c r="W309" s="38"/>
      <c r="X309" s="38"/>
      <c r="Y309" s="38"/>
      <c r="Z309" s="38"/>
    </row>
    <row r="310" spans="1:26" ht="15.75" customHeight="1" x14ac:dyDescent="0.2">
      <c r="A310" s="35" t="s">
        <v>993</v>
      </c>
      <c r="B310" s="35" t="s">
        <v>994</v>
      </c>
      <c r="C310" s="35" t="s">
        <v>873</v>
      </c>
      <c r="D310" s="36" t="s">
        <v>995</v>
      </c>
      <c r="E310" s="35" t="s">
        <v>882</v>
      </c>
      <c r="F310" s="35">
        <v>30</v>
      </c>
      <c r="G310" s="35"/>
      <c r="H310" s="35" t="s">
        <v>996</v>
      </c>
      <c r="I310" s="37"/>
      <c r="J310" s="37"/>
      <c r="K310" s="37"/>
      <c r="L310" s="37"/>
      <c r="M310" s="37"/>
      <c r="N310" s="37"/>
      <c r="O310" s="35"/>
      <c r="P310" s="38"/>
      <c r="Q310" s="38"/>
      <c r="R310" s="38"/>
      <c r="S310" s="38"/>
      <c r="T310" s="38"/>
      <c r="U310" s="38"/>
      <c r="V310" s="38"/>
      <c r="W310" s="38"/>
      <c r="X310" s="38"/>
      <c r="Y310" s="38"/>
      <c r="Z310" s="38"/>
    </row>
    <row r="311" spans="1:26" ht="15.75" customHeight="1" x14ac:dyDescent="0.2">
      <c r="A311" s="35" t="s">
        <v>997</v>
      </c>
      <c r="B311" s="35" t="s">
        <v>998</v>
      </c>
      <c r="C311" s="35" t="s">
        <v>158</v>
      </c>
      <c r="D311" s="36"/>
      <c r="E311" s="35" t="s">
        <v>882</v>
      </c>
      <c r="F311" s="35">
        <v>51</v>
      </c>
      <c r="G311" s="35" t="s">
        <v>42</v>
      </c>
      <c r="H311" s="35" t="s">
        <v>999</v>
      </c>
      <c r="I311" s="37"/>
      <c r="J311" s="37"/>
      <c r="K311" s="37"/>
      <c r="L311" s="37"/>
      <c r="M311" s="37"/>
      <c r="N311" s="37"/>
      <c r="O311" s="35"/>
      <c r="P311" s="38"/>
      <c r="Q311" s="38"/>
      <c r="R311" s="38"/>
      <c r="S311" s="38"/>
      <c r="T311" s="38"/>
      <c r="U311" s="38"/>
      <c r="V311" s="38"/>
      <c r="W311" s="38"/>
      <c r="X311" s="38"/>
      <c r="Y311" s="38"/>
      <c r="Z311" s="38"/>
    </row>
    <row r="312" spans="1:26" ht="15.75" customHeight="1" x14ac:dyDescent="0.2">
      <c r="A312" s="35" t="s">
        <v>1000</v>
      </c>
      <c r="B312" s="35" t="s">
        <v>1001</v>
      </c>
      <c r="C312" s="35" t="s">
        <v>163</v>
      </c>
      <c r="D312" s="36" t="s">
        <v>1002</v>
      </c>
      <c r="E312" s="35"/>
      <c r="F312" s="35"/>
      <c r="G312" s="35"/>
      <c r="H312" s="35"/>
      <c r="I312" s="37"/>
      <c r="J312" s="37"/>
      <c r="K312" s="37"/>
      <c r="L312" s="37"/>
      <c r="M312" s="37"/>
      <c r="N312" s="37"/>
      <c r="O312" s="35"/>
      <c r="P312" s="38"/>
      <c r="Q312" s="38"/>
      <c r="R312" s="38"/>
      <c r="S312" s="38"/>
      <c r="T312" s="38"/>
      <c r="U312" s="38"/>
      <c r="V312" s="38"/>
      <c r="W312" s="38"/>
      <c r="X312" s="38"/>
      <c r="Y312" s="38"/>
      <c r="Z312" s="38"/>
    </row>
    <row r="313" spans="1:26" ht="15.75" customHeight="1" x14ac:dyDescent="0.2">
      <c r="A313" s="35" t="s">
        <v>1003</v>
      </c>
      <c r="B313" s="35" t="s">
        <v>1004</v>
      </c>
      <c r="C313" s="35" t="s">
        <v>1005</v>
      </c>
      <c r="D313" s="36" t="s">
        <v>1006</v>
      </c>
      <c r="E313" s="35"/>
      <c r="F313" s="35"/>
      <c r="G313" s="35"/>
      <c r="H313" s="35"/>
      <c r="I313" s="37"/>
      <c r="J313" s="37"/>
      <c r="K313" s="37"/>
      <c r="L313" s="37"/>
      <c r="M313" s="37"/>
      <c r="N313" s="37"/>
      <c r="O313" s="35"/>
      <c r="P313" s="38"/>
      <c r="Q313" s="38"/>
      <c r="R313" s="38"/>
      <c r="S313" s="38"/>
      <c r="T313" s="38"/>
      <c r="U313" s="38"/>
      <c r="V313" s="38"/>
      <c r="W313" s="38"/>
      <c r="X313" s="38"/>
      <c r="Y313" s="38"/>
      <c r="Z313" s="38"/>
    </row>
    <row r="314" spans="1:26" ht="15.75" customHeight="1" x14ac:dyDescent="0.2">
      <c r="A314" s="35" t="s">
        <v>1007</v>
      </c>
      <c r="B314" s="35" t="s">
        <v>1008</v>
      </c>
      <c r="C314" s="35" t="s">
        <v>16</v>
      </c>
      <c r="D314" s="36" t="s">
        <v>1009</v>
      </c>
      <c r="E314" s="35" t="s">
        <v>882</v>
      </c>
      <c r="F314" s="35"/>
      <c r="G314" s="35"/>
      <c r="H314" s="35" t="s">
        <v>1010</v>
      </c>
      <c r="I314" s="37"/>
      <c r="J314" s="37"/>
      <c r="K314" s="37"/>
      <c r="L314" s="37"/>
      <c r="M314" s="37"/>
      <c r="N314" s="37"/>
      <c r="O314" s="35"/>
      <c r="P314" s="38"/>
      <c r="Q314" s="38"/>
      <c r="R314" s="38"/>
      <c r="S314" s="38"/>
      <c r="T314" s="38"/>
      <c r="U314" s="38"/>
      <c r="V314" s="38"/>
      <c r="W314" s="38"/>
      <c r="X314" s="38"/>
      <c r="Y314" s="38"/>
      <c r="Z314" s="38"/>
    </row>
    <row r="315" spans="1:26" ht="15.75" customHeight="1" x14ac:dyDescent="0.2">
      <c r="A315" s="35" t="s">
        <v>1011</v>
      </c>
      <c r="B315" s="35" t="s">
        <v>1012</v>
      </c>
      <c r="C315" s="35" t="s">
        <v>918</v>
      </c>
      <c r="D315" s="36" t="s">
        <v>1013</v>
      </c>
      <c r="E315" s="35" t="s">
        <v>882</v>
      </c>
      <c r="F315" s="35">
        <v>450</v>
      </c>
      <c r="G315" s="35"/>
      <c r="H315" s="35"/>
      <c r="I315" s="37"/>
      <c r="J315" s="37"/>
      <c r="K315" s="37"/>
      <c r="L315" s="37"/>
      <c r="M315" s="37"/>
      <c r="N315" s="37"/>
      <c r="O315" s="35"/>
      <c r="P315" s="38"/>
      <c r="Q315" s="38"/>
      <c r="R315" s="38"/>
      <c r="S315" s="38"/>
      <c r="T315" s="38"/>
      <c r="U315" s="38"/>
      <c r="V315" s="38"/>
      <c r="W315" s="38"/>
      <c r="X315" s="38"/>
      <c r="Y315" s="38"/>
      <c r="Z315" s="38"/>
    </row>
    <row r="316" spans="1:26" ht="15.75" customHeight="1" x14ac:dyDescent="0.2">
      <c r="A316" s="35" t="s">
        <v>1014</v>
      </c>
      <c r="B316" s="35" t="s">
        <v>1015</v>
      </c>
      <c r="C316" s="35" t="s">
        <v>16</v>
      </c>
      <c r="D316" s="36"/>
      <c r="E316" s="35" t="s">
        <v>882</v>
      </c>
      <c r="F316" s="35"/>
      <c r="G316" s="35"/>
      <c r="H316" s="35"/>
      <c r="I316" s="37"/>
      <c r="J316" s="37"/>
      <c r="K316" s="37"/>
      <c r="L316" s="37"/>
      <c r="M316" s="37"/>
      <c r="N316" s="37"/>
      <c r="O316" s="35"/>
      <c r="P316" s="38"/>
      <c r="Q316" s="38"/>
      <c r="R316" s="38"/>
      <c r="S316" s="38"/>
      <c r="T316" s="38"/>
      <c r="U316" s="38"/>
      <c r="V316" s="38"/>
      <c r="W316" s="38"/>
      <c r="X316" s="38"/>
      <c r="Y316" s="38"/>
      <c r="Z316" s="38"/>
    </row>
    <row r="317" spans="1:26" ht="15.75" customHeight="1" x14ac:dyDescent="0.2">
      <c r="A317" s="35" t="s">
        <v>1016</v>
      </c>
      <c r="B317" s="35" t="s">
        <v>1017</v>
      </c>
      <c r="C317" s="35" t="s">
        <v>16</v>
      </c>
      <c r="D317" s="36"/>
      <c r="E317" s="35"/>
      <c r="F317" s="35"/>
      <c r="G317" s="35"/>
      <c r="H317" s="35"/>
      <c r="I317" s="37"/>
      <c r="J317" s="37"/>
      <c r="K317" s="37"/>
      <c r="L317" s="37"/>
      <c r="M317" s="37"/>
      <c r="N317" s="37"/>
      <c r="O317" s="35"/>
      <c r="P317" s="38"/>
      <c r="Q317" s="38"/>
      <c r="R317" s="38"/>
      <c r="S317" s="38"/>
      <c r="T317" s="38"/>
      <c r="U317" s="38"/>
      <c r="V317" s="38"/>
      <c r="W317" s="38"/>
      <c r="X317" s="38"/>
      <c r="Y317" s="38"/>
      <c r="Z317" s="38"/>
    </row>
    <row r="318" spans="1:26" ht="15.75" customHeight="1" x14ac:dyDescent="0.2">
      <c r="A318" s="35" t="s">
        <v>1018</v>
      </c>
      <c r="B318" s="35" t="s">
        <v>1019</v>
      </c>
      <c r="C318" s="35" t="s">
        <v>16</v>
      </c>
      <c r="D318" s="36"/>
      <c r="E318" s="35"/>
      <c r="F318" s="35"/>
      <c r="G318" s="35"/>
      <c r="H318" s="35"/>
      <c r="I318" s="37"/>
      <c r="J318" s="37"/>
      <c r="K318" s="37"/>
      <c r="L318" s="37"/>
      <c r="M318" s="37"/>
      <c r="N318" s="37"/>
      <c r="O318" s="35"/>
      <c r="P318" s="38"/>
      <c r="Q318" s="38"/>
      <c r="R318" s="38"/>
      <c r="S318" s="38"/>
      <c r="T318" s="38"/>
      <c r="U318" s="38"/>
      <c r="V318" s="38"/>
      <c r="W318" s="38"/>
      <c r="X318" s="38"/>
      <c r="Y318" s="38"/>
      <c r="Z318" s="38"/>
    </row>
    <row r="319" spans="1:26" ht="15.75" customHeight="1" x14ac:dyDescent="0.2">
      <c r="A319" s="35" t="s">
        <v>1020</v>
      </c>
      <c r="B319" s="35" t="s">
        <v>1021</v>
      </c>
      <c r="C319" s="35" t="s">
        <v>1022</v>
      </c>
      <c r="D319" s="36"/>
      <c r="E319" s="35" t="s">
        <v>882</v>
      </c>
      <c r="F319" s="35"/>
      <c r="G319" s="35"/>
      <c r="H319" s="35" t="s">
        <v>1023</v>
      </c>
      <c r="I319" s="37"/>
      <c r="J319" s="37"/>
      <c r="K319" s="37"/>
      <c r="L319" s="37"/>
      <c r="M319" s="37"/>
      <c r="N319" s="37"/>
      <c r="O319" s="35"/>
      <c r="P319" s="38"/>
      <c r="Q319" s="38"/>
      <c r="R319" s="38"/>
      <c r="S319" s="38"/>
      <c r="T319" s="38"/>
      <c r="U319" s="38"/>
      <c r="V319" s="38"/>
      <c r="W319" s="38"/>
      <c r="X319" s="38"/>
      <c r="Y319" s="38"/>
      <c r="Z319" s="38"/>
    </row>
    <row r="320" spans="1:26" ht="15.75" customHeight="1" x14ac:dyDescent="0.2">
      <c r="A320" s="35" t="s">
        <v>1024</v>
      </c>
      <c r="B320" s="35" t="s">
        <v>1025</v>
      </c>
      <c r="C320" s="35" t="s">
        <v>16</v>
      </c>
      <c r="D320" s="36"/>
      <c r="E320" s="35" t="s">
        <v>954</v>
      </c>
      <c r="F320" s="35"/>
      <c r="G320" s="35"/>
      <c r="H320" s="35"/>
      <c r="I320" s="37"/>
      <c r="J320" s="37"/>
      <c r="K320" s="37"/>
      <c r="L320" s="37"/>
      <c r="M320" s="37"/>
      <c r="N320" s="37"/>
      <c r="O320" s="35"/>
      <c r="P320" s="38"/>
      <c r="Q320" s="38"/>
      <c r="R320" s="38"/>
      <c r="S320" s="38"/>
      <c r="T320" s="38"/>
      <c r="U320" s="38"/>
      <c r="V320" s="38"/>
      <c r="W320" s="38"/>
      <c r="X320" s="38"/>
      <c r="Y320" s="38"/>
      <c r="Z320" s="38"/>
    </row>
    <row r="321" spans="1:26" ht="15.75" customHeight="1" x14ac:dyDescent="0.2">
      <c r="A321" s="35" t="s">
        <v>1026</v>
      </c>
      <c r="B321" s="35" t="s">
        <v>1027</v>
      </c>
      <c r="C321" s="35" t="s">
        <v>1028</v>
      </c>
      <c r="D321" s="36" t="s">
        <v>1029</v>
      </c>
      <c r="E321" s="35" t="s">
        <v>954</v>
      </c>
      <c r="F321" s="35"/>
      <c r="G321" s="35"/>
      <c r="H321" s="35"/>
      <c r="I321" s="37"/>
      <c r="J321" s="37"/>
      <c r="K321" s="37"/>
      <c r="L321" s="37"/>
      <c r="M321" s="37"/>
      <c r="N321" s="37"/>
      <c r="O321" s="35"/>
      <c r="P321" s="38"/>
      <c r="Q321" s="38"/>
      <c r="R321" s="38"/>
      <c r="S321" s="38"/>
      <c r="T321" s="38"/>
      <c r="U321" s="38"/>
      <c r="V321" s="38"/>
      <c r="W321" s="38"/>
      <c r="X321" s="38"/>
      <c r="Y321" s="38"/>
      <c r="Z321" s="38"/>
    </row>
    <row r="322" spans="1:26" ht="15.75" customHeight="1" x14ac:dyDescent="0.2">
      <c r="A322" s="35" t="s">
        <v>1030</v>
      </c>
      <c r="B322" s="35" t="s">
        <v>1031</v>
      </c>
      <c r="C322" s="35" t="s">
        <v>1028</v>
      </c>
      <c r="D322" s="36" t="s">
        <v>1032</v>
      </c>
      <c r="E322" s="35" t="s">
        <v>954</v>
      </c>
      <c r="F322" s="35"/>
      <c r="G322" s="35"/>
      <c r="H322" s="35"/>
      <c r="I322" s="37"/>
      <c r="J322" s="37"/>
      <c r="K322" s="37"/>
      <c r="L322" s="37"/>
      <c r="M322" s="37"/>
      <c r="N322" s="37"/>
      <c r="O322" s="35"/>
      <c r="P322" s="38"/>
      <c r="Q322" s="38"/>
      <c r="R322" s="38"/>
      <c r="S322" s="38"/>
      <c r="T322" s="38"/>
      <c r="U322" s="38"/>
      <c r="V322" s="38"/>
      <c r="W322" s="38"/>
      <c r="X322" s="38"/>
      <c r="Y322" s="38"/>
      <c r="Z322" s="38"/>
    </row>
    <row r="323" spans="1:26" ht="15.75" customHeight="1" x14ac:dyDescent="0.2">
      <c r="A323" s="35" t="s">
        <v>1033</v>
      </c>
      <c r="B323" s="35" t="s">
        <v>1034</v>
      </c>
      <c r="C323" s="35" t="s">
        <v>1035</v>
      </c>
      <c r="D323" s="36" t="s">
        <v>1036</v>
      </c>
      <c r="E323" s="35" t="s">
        <v>852</v>
      </c>
      <c r="F323" s="35">
        <v>18.5</v>
      </c>
      <c r="G323" s="35"/>
      <c r="H323" s="43" t="s">
        <v>1037</v>
      </c>
      <c r="I323" s="37"/>
      <c r="J323" s="37"/>
      <c r="K323" s="37"/>
      <c r="L323" s="37"/>
      <c r="M323" s="37"/>
      <c r="N323" s="37"/>
      <c r="O323" s="35"/>
      <c r="P323" s="38"/>
      <c r="Q323" s="38"/>
      <c r="R323" s="38"/>
      <c r="S323" s="38"/>
      <c r="T323" s="38"/>
      <c r="U323" s="38"/>
      <c r="V323" s="38"/>
      <c r="W323" s="38"/>
      <c r="X323" s="38"/>
      <c r="Y323" s="38"/>
      <c r="Z323" s="38"/>
    </row>
    <row r="324" spans="1:26" ht="57.75" customHeight="1" x14ac:dyDescent="0.2">
      <c r="A324" s="35" t="s">
        <v>1038</v>
      </c>
      <c r="B324" s="35" t="s">
        <v>1039</v>
      </c>
      <c r="C324" s="35" t="s">
        <v>1035</v>
      </c>
      <c r="D324" s="36" t="s">
        <v>1040</v>
      </c>
      <c r="E324" s="35" t="s">
        <v>660</v>
      </c>
      <c r="F324" s="35">
        <v>19.399999999999999</v>
      </c>
      <c r="G324" s="35"/>
      <c r="H324" s="39" t="s">
        <v>1041</v>
      </c>
      <c r="I324" s="37"/>
      <c r="J324" s="37"/>
      <c r="K324" s="37"/>
      <c r="L324" s="37"/>
      <c r="M324" s="37"/>
      <c r="N324" s="37"/>
      <c r="O324" s="35"/>
      <c r="P324" s="38"/>
      <c r="Q324" s="38"/>
      <c r="R324" s="38"/>
      <c r="S324" s="38"/>
      <c r="T324" s="38"/>
      <c r="U324" s="38"/>
      <c r="V324" s="38"/>
      <c r="W324" s="38"/>
      <c r="X324" s="38"/>
      <c r="Y324" s="38"/>
      <c r="Z324" s="38"/>
    </row>
    <row r="325" spans="1:26" ht="15.75" customHeight="1" x14ac:dyDescent="0.2">
      <c r="A325" s="35" t="s">
        <v>1042</v>
      </c>
      <c r="B325" s="35" t="s">
        <v>1043</v>
      </c>
      <c r="C325" s="35" t="s">
        <v>828</v>
      </c>
      <c r="D325" s="36" t="s">
        <v>1044</v>
      </c>
      <c r="E325" s="35" t="s">
        <v>954</v>
      </c>
      <c r="F325" s="35">
        <v>60.91</v>
      </c>
      <c r="G325" s="35"/>
      <c r="H325" s="39" t="s">
        <v>1045</v>
      </c>
      <c r="I325" s="37"/>
      <c r="J325" s="37"/>
      <c r="K325" s="37"/>
      <c r="L325" s="37"/>
      <c r="M325" s="37"/>
      <c r="N325" s="37"/>
      <c r="O325" s="35"/>
      <c r="P325" s="38"/>
      <c r="Q325" s="38"/>
      <c r="R325" s="38"/>
      <c r="S325" s="38"/>
      <c r="T325" s="38"/>
      <c r="U325" s="38"/>
      <c r="V325" s="38"/>
      <c r="W325" s="38"/>
      <c r="X325" s="38"/>
      <c r="Y325" s="38"/>
      <c r="Z325" s="38"/>
    </row>
    <row r="326" spans="1:26" ht="15.75" customHeight="1" x14ac:dyDescent="0.2">
      <c r="A326" s="35" t="s">
        <v>1046</v>
      </c>
      <c r="B326" s="35" t="s">
        <v>1047</v>
      </c>
      <c r="C326" s="35" t="s">
        <v>1048</v>
      </c>
      <c r="D326" s="36" t="s">
        <v>1049</v>
      </c>
      <c r="E326" s="35" t="s">
        <v>852</v>
      </c>
      <c r="F326" s="35">
        <v>9.5</v>
      </c>
      <c r="G326" s="35"/>
      <c r="H326" s="39" t="s">
        <v>1050</v>
      </c>
      <c r="I326" s="37"/>
      <c r="J326" s="37"/>
      <c r="K326" s="37"/>
      <c r="L326" s="37"/>
      <c r="M326" s="37"/>
      <c r="N326" s="37"/>
      <c r="O326" s="35"/>
      <c r="P326" s="38"/>
      <c r="Q326" s="38"/>
      <c r="R326" s="38"/>
      <c r="S326" s="38"/>
      <c r="T326" s="38"/>
      <c r="U326" s="38"/>
      <c r="V326" s="38"/>
      <c r="W326" s="38"/>
      <c r="X326" s="38"/>
      <c r="Y326" s="38"/>
      <c r="Z326" s="38"/>
    </row>
    <row r="327" spans="1:26" ht="15.75" customHeight="1" x14ac:dyDescent="0.2">
      <c r="A327" s="35" t="s">
        <v>1051</v>
      </c>
      <c r="B327" s="35" t="s">
        <v>1052</v>
      </c>
      <c r="C327" s="35" t="s">
        <v>828</v>
      </c>
      <c r="D327" s="36" t="s">
        <v>1053</v>
      </c>
      <c r="E327" s="35"/>
      <c r="F327" s="35"/>
      <c r="G327" s="35"/>
      <c r="H327" s="39" t="s">
        <v>1054</v>
      </c>
      <c r="I327" s="37"/>
      <c r="J327" s="37"/>
      <c r="K327" s="37"/>
      <c r="L327" s="37"/>
      <c r="M327" s="37"/>
      <c r="N327" s="37"/>
      <c r="O327" s="35"/>
      <c r="P327" s="38"/>
      <c r="Q327" s="38"/>
      <c r="R327" s="38"/>
      <c r="S327" s="38"/>
      <c r="T327" s="38"/>
      <c r="U327" s="38"/>
      <c r="V327" s="38"/>
      <c r="W327" s="38"/>
      <c r="X327" s="38"/>
      <c r="Y327" s="38"/>
      <c r="Z327" s="38"/>
    </row>
    <row r="328" spans="1:26" ht="15.75" customHeight="1" x14ac:dyDescent="0.2">
      <c r="A328" s="35" t="s">
        <v>1055</v>
      </c>
      <c r="B328" s="35" t="s">
        <v>1056</v>
      </c>
      <c r="C328" s="35" t="s">
        <v>828</v>
      </c>
      <c r="D328" s="36" t="s">
        <v>1057</v>
      </c>
      <c r="E328" s="35"/>
      <c r="F328" s="35"/>
      <c r="G328" s="35"/>
      <c r="H328" s="39" t="s">
        <v>1054</v>
      </c>
      <c r="I328" s="37"/>
      <c r="J328" s="37"/>
      <c r="K328" s="37"/>
      <c r="L328" s="37"/>
      <c r="M328" s="37"/>
      <c r="N328" s="37"/>
      <c r="O328" s="35"/>
      <c r="P328" s="38"/>
      <c r="Q328" s="38"/>
      <c r="R328" s="38"/>
      <c r="S328" s="38"/>
      <c r="T328" s="38"/>
      <c r="U328" s="38"/>
      <c r="V328" s="38"/>
      <c r="W328" s="38"/>
      <c r="X328" s="38"/>
      <c r="Y328" s="38"/>
      <c r="Z328" s="38"/>
    </row>
    <row r="329" spans="1:26" ht="15.75" customHeight="1" x14ac:dyDescent="0.2">
      <c r="A329" s="35" t="s">
        <v>1058</v>
      </c>
      <c r="B329" s="35" t="s">
        <v>1059</v>
      </c>
      <c r="C329" s="35" t="s">
        <v>16</v>
      </c>
      <c r="D329" s="36" t="s">
        <v>968</v>
      </c>
      <c r="E329" s="35" t="s">
        <v>882</v>
      </c>
      <c r="F329" s="35"/>
      <c r="G329" s="35"/>
      <c r="H329" s="39"/>
      <c r="I329" s="37"/>
      <c r="J329" s="37"/>
      <c r="K329" s="37"/>
      <c r="L329" s="37"/>
      <c r="M329" s="37"/>
      <c r="N329" s="37"/>
      <c r="O329" s="35"/>
      <c r="P329" s="38"/>
      <c r="Q329" s="38"/>
      <c r="R329" s="38"/>
      <c r="S329" s="38"/>
      <c r="T329" s="38"/>
      <c r="U329" s="38"/>
      <c r="V329" s="38"/>
      <c r="W329" s="38"/>
      <c r="X329" s="38"/>
      <c r="Y329" s="38"/>
      <c r="Z329" s="38"/>
    </row>
    <row r="330" spans="1:26" ht="15.75" customHeight="1" x14ac:dyDescent="0.2">
      <c r="A330" s="35" t="s">
        <v>1060</v>
      </c>
      <c r="B330" s="35" t="s">
        <v>1061</v>
      </c>
      <c r="C330" s="35" t="s">
        <v>1062</v>
      </c>
      <c r="D330" s="36"/>
      <c r="E330" s="35" t="s">
        <v>660</v>
      </c>
      <c r="F330" s="35"/>
      <c r="G330" s="35"/>
      <c r="H330" s="39"/>
      <c r="I330" s="37"/>
      <c r="J330" s="37"/>
      <c r="K330" s="37"/>
      <c r="L330" s="37"/>
      <c r="M330" s="37"/>
      <c r="N330" s="37"/>
      <c r="O330" s="35"/>
      <c r="P330" s="38"/>
      <c r="Q330" s="38"/>
      <c r="R330" s="38"/>
      <c r="S330" s="38"/>
      <c r="T330" s="38"/>
      <c r="U330" s="38"/>
      <c r="V330" s="38"/>
      <c r="W330" s="38"/>
      <c r="X330" s="38"/>
      <c r="Y330" s="38"/>
      <c r="Z330" s="38"/>
    </row>
    <row r="331" spans="1:26" ht="15.75" customHeight="1" x14ac:dyDescent="0.2">
      <c r="A331" s="35" t="s">
        <v>1063</v>
      </c>
      <c r="B331" s="35" t="s">
        <v>1064</v>
      </c>
      <c r="C331" s="35" t="s">
        <v>1065</v>
      </c>
      <c r="D331" s="36" t="s">
        <v>1066</v>
      </c>
      <c r="E331" s="35" t="s">
        <v>882</v>
      </c>
      <c r="F331" s="35"/>
      <c r="G331" s="35"/>
      <c r="H331" s="39"/>
      <c r="I331" s="37"/>
      <c r="J331" s="37"/>
      <c r="K331" s="37"/>
      <c r="L331" s="37"/>
      <c r="M331" s="37"/>
      <c r="N331" s="37"/>
      <c r="O331" s="35"/>
      <c r="P331" s="38"/>
      <c r="Q331" s="38"/>
      <c r="R331" s="38"/>
      <c r="S331" s="38"/>
      <c r="T331" s="38"/>
      <c r="U331" s="38"/>
      <c r="V331" s="38"/>
      <c r="W331" s="38"/>
      <c r="X331" s="38"/>
      <c r="Y331" s="38"/>
      <c r="Z331" s="38"/>
    </row>
    <row r="332" spans="1:26" ht="15.75" customHeight="1" x14ac:dyDescent="0.2">
      <c r="A332" s="35" t="s">
        <v>1067</v>
      </c>
      <c r="B332" s="35" t="s">
        <v>1068</v>
      </c>
      <c r="C332" s="35" t="s">
        <v>1065</v>
      </c>
      <c r="D332" s="36" t="s">
        <v>1069</v>
      </c>
      <c r="E332" s="35" t="s">
        <v>882</v>
      </c>
      <c r="F332" s="35"/>
      <c r="G332" s="35"/>
      <c r="H332" s="39"/>
      <c r="I332" s="37"/>
      <c r="J332" s="37"/>
      <c r="K332" s="37"/>
      <c r="L332" s="37"/>
      <c r="M332" s="37"/>
      <c r="N332" s="37"/>
      <c r="O332" s="35"/>
      <c r="P332" s="38"/>
      <c r="Q332" s="38"/>
      <c r="R332" s="38"/>
      <c r="S332" s="38"/>
      <c r="T332" s="38"/>
      <c r="U332" s="38"/>
      <c r="V332" s="38"/>
      <c r="W332" s="38"/>
      <c r="X332" s="38"/>
      <c r="Y332" s="38"/>
      <c r="Z332" s="38"/>
    </row>
    <row r="333" spans="1:26" ht="15.75" customHeight="1" x14ac:dyDescent="0.2">
      <c r="A333" s="35" t="s">
        <v>1070</v>
      </c>
      <c r="B333" s="35" t="s">
        <v>1071</v>
      </c>
      <c r="C333" s="35" t="s">
        <v>1065</v>
      </c>
      <c r="D333" s="36" t="s">
        <v>1072</v>
      </c>
      <c r="E333" s="35" t="s">
        <v>882</v>
      </c>
      <c r="F333" s="35"/>
      <c r="G333" s="35"/>
      <c r="H333" s="39"/>
      <c r="I333" s="37"/>
      <c r="J333" s="37"/>
      <c r="K333" s="37"/>
      <c r="L333" s="37"/>
      <c r="M333" s="37"/>
      <c r="N333" s="37"/>
      <c r="O333" s="35"/>
      <c r="P333" s="38"/>
      <c r="Q333" s="38"/>
      <c r="R333" s="38"/>
      <c r="S333" s="38"/>
      <c r="T333" s="38"/>
      <c r="U333" s="38"/>
      <c r="V333" s="38"/>
      <c r="W333" s="38"/>
      <c r="X333" s="38"/>
      <c r="Y333" s="38"/>
      <c r="Z333" s="38"/>
    </row>
    <row r="334" spans="1:26" ht="15.75" customHeight="1" x14ac:dyDescent="0.2">
      <c r="A334" s="35" t="s">
        <v>1073</v>
      </c>
      <c r="B334" s="35" t="s">
        <v>1074</v>
      </c>
      <c r="C334" s="35" t="s">
        <v>308</v>
      </c>
      <c r="D334" s="36" t="s">
        <v>1075</v>
      </c>
      <c r="E334" s="35" t="s">
        <v>882</v>
      </c>
      <c r="F334" s="44">
        <v>36</v>
      </c>
      <c r="G334" s="35"/>
      <c r="H334" s="39"/>
      <c r="I334" s="37"/>
      <c r="J334" s="37"/>
      <c r="K334" s="37"/>
      <c r="L334" s="37"/>
      <c r="M334" s="37"/>
      <c r="N334" s="37"/>
      <c r="O334" s="35"/>
      <c r="P334" s="38"/>
      <c r="Q334" s="38"/>
      <c r="R334" s="38"/>
      <c r="S334" s="38"/>
      <c r="T334" s="38"/>
      <c r="U334" s="38"/>
      <c r="V334" s="38"/>
      <c r="W334" s="38"/>
      <c r="X334" s="38"/>
      <c r="Y334" s="38"/>
      <c r="Z334" s="38"/>
    </row>
    <row r="335" spans="1:26" ht="15.75" customHeight="1" x14ac:dyDescent="0.2">
      <c r="A335" s="35" t="s">
        <v>1076</v>
      </c>
      <c r="B335" s="35" t="s">
        <v>1077</v>
      </c>
      <c r="C335" s="35" t="s">
        <v>308</v>
      </c>
      <c r="D335" s="36" t="s">
        <v>1078</v>
      </c>
      <c r="E335" s="35" t="s">
        <v>882</v>
      </c>
      <c r="F335" s="44">
        <v>39</v>
      </c>
      <c r="G335" s="35"/>
      <c r="H335" s="39"/>
      <c r="I335" s="37"/>
      <c r="J335" s="37"/>
      <c r="K335" s="37"/>
      <c r="L335" s="37"/>
      <c r="M335" s="37"/>
      <c r="N335" s="37"/>
      <c r="O335" s="35"/>
      <c r="P335" s="38"/>
      <c r="Q335" s="38"/>
      <c r="R335" s="38"/>
      <c r="S335" s="38"/>
      <c r="T335" s="38"/>
      <c r="U335" s="38"/>
      <c r="V335" s="38"/>
      <c r="W335" s="38"/>
      <c r="X335" s="38"/>
      <c r="Y335" s="38"/>
      <c r="Z335" s="38"/>
    </row>
    <row r="336" spans="1:26" ht="15.75" customHeight="1" x14ac:dyDescent="0.2">
      <c r="A336" s="35" t="s">
        <v>1079</v>
      </c>
      <c r="B336" s="35" t="s">
        <v>1080</v>
      </c>
      <c r="C336" s="35" t="s">
        <v>1081</v>
      </c>
      <c r="D336" s="36"/>
      <c r="E336" s="35" t="s">
        <v>852</v>
      </c>
      <c r="F336" s="44"/>
      <c r="G336" s="35"/>
      <c r="H336" s="39" t="s">
        <v>1082</v>
      </c>
      <c r="I336" s="37"/>
      <c r="J336" s="37"/>
      <c r="K336" s="37"/>
      <c r="L336" s="37"/>
      <c r="M336" s="37"/>
      <c r="N336" s="37"/>
      <c r="O336" s="35"/>
      <c r="P336" s="38"/>
      <c r="Q336" s="38"/>
      <c r="R336" s="38"/>
      <c r="S336" s="38"/>
      <c r="T336" s="38"/>
      <c r="U336" s="38"/>
      <c r="V336" s="38"/>
      <c r="W336" s="38"/>
      <c r="X336" s="38"/>
      <c r="Y336" s="38"/>
      <c r="Z336" s="38"/>
    </row>
    <row r="337" spans="1:26" ht="15.75" customHeight="1" x14ac:dyDescent="0.2">
      <c r="A337" s="35" t="s">
        <v>1083</v>
      </c>
      <c r="B337" s="35" t="s">
        <v>1084</v>
      </c>
      <c r="C337" s="35" t="s">
        <v>1081</v>
      </c>
      <c r="D337" s="36"/>
      <c r="E337" s="35" t="s">
        <v>852</v>
      </c>
      <c r="F337" s="44"/>
      <c r="G337" s="35"/>
      <c r="H337" s="39" t="s">
        <v>1082</v>
      </c>
      <c r="I337" s="37"/>
      <c r="J337" s="37"/>
      <c r="K337" s="37"/>
      <c r="L337" s="37"/>
      <c r="M337" s="37"/>
      <c r="N337" s="37"/>
      <c r="O337" s="35"/>
      <c r="P337" s="38"/>
      <c r="Q337" s="38"/>
      <c r="R337" s="38"/>
      <c r="S337" s="38"/>
      <c r="T337" s="38"/>
      <c r="U337" s="38"/>
      <c r="V337" s="38"/>
      <c r="W337" s="38"/>
      <c r="X337" s="38"/>
      <c r="Y337" s="38"/>
      <c r="Z337" s="38"/>
    </row>
    <row r="338" spans="1:26" ht="15.75" customHeight="1" x14ac:dyDescent="0.2">
      <c r="A338" s="35" t="s">
        <v>1085</v>
      </c>
      <c r="B338" s="35" t="s">
        <v>1086</v>
      </c>
      <c r="C338" s="35" t="s">
        <v>1087</v>
      </c>
      <c r="D338" s="36"/>
      <c r="E338" s="35" t="s">
        <v>882</v>
      </c>
      <c r="F338" s="44">
        <v>26.15</v>
      </c>
      <c r="G338" s="35"/>
      <c r="H338" s="39" t="s">
        <v>1088</v>
      </c>
      <c r="I338" s="37"/>
      <c r="J338" s="37"/>
      <c r="K338" s="37"/>
      <c r="L338" s="37"/>
      <c r="M338" s="37"/>
      <c r="N338" s="37"/>
      <c r="O338" s="35"/>
      <c r="P338" s="38"/>
      <c r="Q338" s="38"/>
      <c r="R338" s="38"/>
      <c r="S338" s="38"/>
      <c r="T338" s="38"/>
      <c r="U338" s="38"/>
      <c r="V338" s="38"/>
      <c r="W338" s="38"/>
      <c r="X338" s="38"/>
      <c r="Y338" s="38"/>
      <c r="Z338" s="38"/>
    </row>
    <row r="339" spans="1:26" ht="15.75" customHeight="1" x14ac:dyDescent="0.2">
      <c r="A339" s="35" t="s">
        <v>1089</v>
      </c>
      <c r="B339" s="35" t="s">
        <v>1090</v>
      </c>
      <c r="C339" s="35" t="s">
        <v>1087</v>
      </c>
      <c r="D339" s="36"/>
      <c r="E339" s="35" t="s">
        <v>882</v>
      </c>
      <c r="F339" s="44">
        <v>204.15</v>
      </c>
      <c r="G339" s="35"/>
      <c r="H339" s="39"/>
      <c r="I339" s="37"/>
      <c r="J339" s="37"/>
      <c r="K339" s="37"/>
      <c r="L339" s="37"/>
      <c r="M339" s="37"/>
      <c r="N339" s="37"/>
      <c r="O339" s="35"/>
      <c r="P339" s="38"/>
      <c r="Q339" s="38"/>
      <c r="R339" s="38"/>
      <c r="S339" s="38"/>
      <c r="T339" s="38"/>
      <c r="U339" s="38"/>
      <c r="V339" s="38"/>
      <c r="W339" s="38"/>
      <c r="X339" s="38"/>
      <c r="Y339" s="38"/>
      <c r="Z339" s="38"/>
    </row>
    <row r="340" spans="1:26" ht="15.75" customHeight="1" x14ac:dyDescent="0.2">
      <c r="A340" s="35" t="s">
        <v>1091</v>
      </c>
      <c r="B340" s="35" t="s">
        <v>1092</v>
      </c>
      <c r="C340" s="35" t="s">
        <v>1087</v>
      </c>
      <c r="D340" s="36"/>
      <c r="E340" s="35" t="s">
        <v>882</v>
      </c>
      <c r="F340" s="44"/>
      <c r="G340" s="35"/>
      <c r="H340" s="39"/>
      <c r="I340" s="37"/>
      <c r="J340" s="37"/>
      <c r="K340" s="37"/>
      <c r="L340" s="37"/>
      <c r="M340" s="37"/>
      <c r="N340" s="37"/>
      <c r="O340" s="35"/>
      <c r="P340" s="38"/>
      <c r="Q340" s="38"/>
      <c r="R340" s="38"/>
      <c r="S340" s="38"/>
      <c r="T340" s="38"/>
      <c r="U340" s="38"/>
      <c r="V340" s="38"/>
      <c r="W340" s="38"/>
      <c r="X340" s="38"/>
      <c r="Y340" s="38"/>
      <c r="Z340" s="38"/>
    </row>
    <row r="341" spans="1:26" ht="15.75" customHeight="1" x14ac:dyDescent="0.2">
      <c r="A341" s="35" t="s">
        <v>1093</v>
      </c>
      <c r="B341" s="35" t="s">
        <v>1094</v>
      </c>
      <c r="C341" s="35" t="s">
        <v>1087</v>
      </c>
      <c r="D341" s="36"/>
      <c r="E341" s="35" t="s">
        <v>882</v>
      </c>
      <c r="F341" s="44">
        <v>64.239999999999995</v>
      </c>
      <c r="G341" s="35"/>
      <c r="H341" s="39" t="s">
        <v>1088</v>
      </c>
      <c r="I341" s="37"/>
      <c r="J341" s="37"/>
      <c r="K341" s="37"/>
      <c r="L341" s="37"/>
      <c r="M341" s="37"/>
      <c r="N341" s="37"/>
      <c r="O341" s="35"/>
      <c r="P341" s="38"/>
      <c r="Q341" s="38"/>
      <c r="R341" s="38"/>
      <c r="S341" s="38"/>
      <c r="T341" s="38"/>
      <c r="U341" s="38"/>
      <c r="V341" s="38"/>
      <c r="W341" s="38"/>
      <c r="X341" s="38"/>
      <c r="Y341" s="38"/>
      <c r="Z341" s="38"/>
    </row>
    <row r="342" spans="1:26" ht="15.75" customHeight="1" x14ac:dyDescent="0.2">
      <c r="A342" s="35" t="s">
        <v>1095</v>
      </c>
      <c r="B342" s="35" t="s">
        <v>1096</v>
      </c>
      <c r="C342" s="35" t="s">
        <v>1087</v>
      </c>
      <c r="D342" s="36"/>
      <c r="E342" s="35" t="s">
        <v>882</v>
      </c>
      <c r="F342" s="44"/>
      <c r="G342" s="35"/>
      <c r="H342" s="39"/>
      <c r="I342" s="37"/>
      <c r="J342" s="37"/>
      <c r="K342" s="37"/>
      <c r="L342" s="37"/>
      <c r="M342" s="37"/>
      <c r="N342" s="37"/>
      <c r="O342" s="35"/>
      <c r="P342" s="38"/>
      <c r="Q342" s="38"/>
      <c r="R342" s="38"/>
      <c r="S342" s="38"/>
      <c r="T342" s="38"/>
      <c r="U342" s="38"/>
      <c r="V342" s="38"/>
      <c r="W342" s="38"/>
      <c r="X342" s="38"/>
      <c r="Y342" s="38"/>
      <c r="Z342" s="38"/>
    </row>
    <row r="343" spans="1:26" ht="15.75" customHeight="1" x14ac:dyDescent="0.2">
      <c r="A343" s="35" t="s">
        <v>1097</v>
      </c>
      <c r="B343" s="35" t="s">
        <v>1098</v>
      </c>
      <c r="C343" s="35" t="s">
        <v>1087</v>
      </c>
      <c r="D343" s="36"/>
      <c r="E343" s="35" t="s">
        <v>1099</v>
      </c>
      <c r="F343" s="44">
        <v>41.74</v>
      </c>
      <c r="G343" s="35"/>
      <c r="H343" s="39" t="s">
        <v>1100</v>
      </c>
      <c r="I343" s="37"/>
      <c r="J343" s="37"/>
      <c r="K343" s="37"/>
      <c r="L343" s="37"/>
      <c r="M343" s="37"/>
      <c r="N343" s="37"/>
      <c r="O343" s="35"/>
      <c r="P343" s="38"/>
      <c r="Q343" s="38"/>
      <c r="R343" s="38"/>
      <c r="S343" s="38"/>
      <c r="T343" s="38"/>
      <c r="U343" s="38"/>
      <c r="V343" s="38"/>
      <c r="W343" s="38"/>
      <c r="X343" s="38"/>
      <c r="Y343" s="38"/>
      <c r="Z343" s="38"/>
    </row>
    <row r="344" spans="1:26" ht="15.75" customHeight="1" x14ac:dyDescent="0.2">
      <c r="A344" s="35" t="s">
        <v>1101</v>
      </c>
      <c r="B344" s="35" t="s">
        <v>1102</v>
      </c>
      <c r="C344" s="35" t="s">
        <v>520</v>
      </c>
      <c r="D344" s="36" t="s">
        <v>1103</v>
      </c>
      <c r="E344" s="35" t="s">
        <v>852</v>
      </c>
      <c r="F344" s="44">
        <v>33</v>
      </c>
      <c r="G344" s="35"/>
      <c r="H344" s="39" t="s">
        <v>1104</v>
      </c>
      <c r="I344" s="37"/>
      <c r="J344" s="37"/>
      <c r="K344" s="37"/>
      <c r="L344" s="37"/>
      <c r="M344" s="37"/>
      <c r="N344" s="37" t="s">
        <v>1105</v>
      </c>
      <c r="O344" s="35"/>
      <c r="P344" s="38"/>
      <c r="Q344" s="38"/>
      <c r="R344" s="38"/>
      <c r="S344" s="38"/>
      <c r="T344" s="38"/>
      <c r="U344" s="38"/>
      <c r="V344" s="38"/>
      <c r="W344" s="38"/>
      <c r="X344" s="38"/>
      <c r="Y344" s="38"/>
      <c r="Z344" s="38"/>
    </row>
    <row r="345" spans="1:26" ht="15.75" customHeight="1" x14ac:dyDescent="0.2">
      <c r="A345" s="35" t="s">
        <v>1106</v>
      </c>
      <c r="B345" s="35" t="s">
        <v>1107</v>
      </c>
      <c r="C345" s="35" t="s">
        <v>1108</v>
      </c>
      <c r="D345" s="36" t="s">
        <v>1109</v>
      </c>
      <c r="E345" s="35" t="s">
        <v>852</v>
      </c>
      <c r="F345" s="44"/>
      <c r="G345" s="35"/>
      <c r="H345" s="39"/>
      <c r="I345" s="37"/>
      <c r="J345" s="37"/>
      <c r="K345" s="37"/>
      <c r="L345" s="37"/>
      <c r="M345" s="37"/>
      <c r="N345" s="37"/>
      <c r="O345" s="35"/>
      <c r="P345" s="38"/>
      <c r="Q345" s="38"/>
      <c r="R345" s="38"/>
      <c r="S345" s="38"/>
      <c r="T345" s="38"/>
      <c r="U345" s="38"/>
      <c r="V345" s="38"/>
      <c r="W345" s="38"/>
      <c r="X345" s="38"/>
      <c r="Y345" s="38"/>
      <c r="Z345" s="38"/>
    </row>
    <row r="346" spans="1:26" ht="15.75" customHeight="1" x14ac:dyDescent="0.2">
      <c r="A346" s="35" t="s">
        <v>1110</v>
      </c>
      <c r="B346" s="35" t="s">
        <v>1111</v>
      </c>
      <c r="C346" s="35" t="s">
        <v>95</v>
      </c>
      <c r="D346" s="36"/>
      <c r="E346" s="35" t="s">
        <v>1112</v>
      </c>
      <c r="F346" s="44"/>
      <c r="G346" s="35"/>
      <c r="H346" s="39" t="s">
        <v>1113</v>
      </c>
      <c r="I346" s="37"/>
      <c r="J346" s="37"/>
      <c r="K346" s="37"/>
      <c r="L346" s="37"/>
      <c r="M346" s="37"/>
      <c r="N346" s="37"/>
      <c r="O346" s="35"/>
      <c r="P346" s="38"/>
      <c r="Q346" s="38"/>
      <c r="R346" s="38"/>
      <c r="S346" s="38"/>
      <c r="T346" s="38"/>
      <c r="U346" s="38"/>
      <c r="V346" s="38"/>
      <c r="W346" s="38"/>
      <c r="X346" s="38"/>
      <c r="Y346" s="38"/>
      <c r="Z346" s="38"/>
    </row>
    <row r="347" spans="1:26" ht="15.75" customHeight="1" x14ac:dyDescent="0.2">
      <c r="A347" s="35" t="s">
        <v>1114</v>
      </c>
      <c r="B347" s="35" t="s">
        <v>1115</v>
      </c>
      <c r="C347" s="35" t="s">
        <v>1116</v>
      </c>
      <c r="D347" s="36" t="s">
        <v>1117</v>
      </c>
      <c r="E347" s="35" t="s">
        <v>1118</v>
      </c>
      <c r="F347" s="44">
        <v>35</v>
      </c>
      <c r="G347" s="35"/>
      <c r="H347" s="39"/>
      <c r="I347" s="37"/>
      <c r="J347" s="37"/>
      <c r="K347" s="37"/>
      <c r="L347" s="37"/>
      <c r="M347" s="37"/>
      <c r="N347" s="37"/>
      <c r="O347" s="35"/>
      <c r="P347" s="15"/>
      <c r="Q347" s="15"/>
      <c r="R347" s="15"/>
      <c r="S347" s="15"/>
      <c r="T347" s="15"/>
      <c r="U347" s="15"/>
      <c r="V347" s="15"/>
      <c r="W347" s="15"/>
      <c r="X347" s="15"/>
      <c r="Y347" s="15"/>
      <c r="Z347" s="15"/>
    </row>
    <row r="348" spans="1:26" ht="15.75" customHeight="1" x14ac:dyDescent="0.2">
      <c r="A348" s="45" t="s">
        <v>1119</v>
      </c>
      <c r="B348" s="45" t="s">
        <v>1120</v>
      </c>
      <c r="C348" s="35" t="s">
        <v>864</v>
      </c>
      <c r="D348" s="36" t="s">
        <v>1121</v>
      </c>
      <c r="E348" s="45" t="s">
        <v>1122</v>
      </c>
      <c r="F348" s="46">
        <f>((0.86*F278)+(0.14*F347))*3.03</f>
        <v>14.847</v>
      </c>
      <c r="G348" s="35"/>
      <c r="H348" s="47" t="s">
        <v>1123</v>
      </c>
      <c r="I348" s="37"/>
      <c r="J348" s="37"/>
      <c r="K348" s="37"/>
      <c r="L348" s="37"/>
      <c r="M348" s="37"/>
      <c r="N348" s="37"/>
      <c r="O348" s="35"/>
      <c r="P348" s="38"/>
      <c r="Q348" s="38"/>
      <c r="R348" s="38"/>
      <c r="S348" s="38"/>
      <c r="T348" s="38"/>
      <c r="U348" s="38"/>
      <c r="V348" s="38"/>
      <c r="W348" s="38"/>
      <c r="X348" s="38"/>
      <c r="Y348" s="38"/>
      <c r="Z348" s="38"/>
    </row>
    <row r="349" spans="1:26" ht="15.75" customHeight="1" x14ac:dyDescent="0.2">
      <c r="A349" s="45" t="s">
        <v>1124</v>
      </c>
      <c r="B349" s="45" t="s">
        <v>1125</v>
      </c>
      <c r="C349" s="35" t="s">
        <v>1126</v>
      </c>
      <c r="D349" s="36" t="s">
        <v>1127</v>
      </c>
      <c r="E349" s="45" t="s">
        <v>1128</v>
      </c>
      <c r="F349" s="46"/>
      <c r="G349" s="35"/>
      <c r="H349" s="47" t="s">
        <v>1129</v>
      </c>
      <c r="I349" s="37" t="s">
        <v>577</v>
      </c>
      <c r="J349" s="37"/>
      <c r="K349" s="37"/>
      <c r="L349" s="37"/>
      <c r="M349" s="37"/>
      <c r="N349" s="37"/>
      <c r="O349" s="35"/>
      <c r="P349" s="38"/>
      <c r="Q349" s="38"/>
      <c r="R349" s="38"/>
      <c r="S349" s="38"/>
      <c r="T349" s="38"/>
      <c r="U349" s="38"/>
      <c r="V349" s="38"/>
      <c r="W349" s="38"/>
      <c r="X349" s="38"/>
      <c r="Y349" s="38"/>
      <c r="Z349" s="38"/>
    </row>
    <row r="350" spans="1:26" ht="15.75" customHeight="1" x14ac:dyDescent="0.2">
      <c r="A350" s="45" t="s">
        <v>1130</v>
      </c>
      <c r="B350" s="36" t="s">
        <v>1131</v>
      </c>
      <c r="C350" s="35" t="s">
        <v>323</v>
      </c>
      <c r="D350" s="35" t="s">
        <v>1132</v>
      </c>
      <c r="E350" s="45" t="s">
        <v>1128</v>
      </c>
      <c r="F350" s="46">
        <v>105.3</v>
      </c>
      <c r="G350" s="35"/>
      <c r="H350" s="47" t="s">
        <v>1133</v>
      </c>
      <c r="I350" s="37">
        <v>100</v>
      </c>
      <c r="J350" s="37">
        <v>100</v>
      </c>
      <c r="K350" s="37">
        <v>0</v>
      </c>
      <c r="L350" s="37">
        <v>0</v>
      </c>
      <c r="M350" s="37" t="s">
        <v>1134</v>
      </c>
      <c r="N350" s="37"/>
      <c r="O350" s="35"/>
      <c r="P350" s="38"/>
      <c r="Q350" s="38"/>
      <c r="R350" s="38"/>
      <c r="S350" s="38"/>
      <c r="T350" s="38"/>
      <c r="U350" s="38"/>
      <c r="V350" s="38"/>
      <c r="W350" s="38"/>
      <c r="X350" s="38"/>
      <c r="Y350" s="38"/>
      <c r="Z350" s="38"/>
    </row>
    <row r="351" spans="1:26" ht="15.75" customHeight="1" x14ac:dyDescent="0.2">
      <c r="A351" s="45" t="s">
        <v>1135</v>
      </c>
      <c r="B351" s="36" t="s">
        <v>1136</v>
      </c>
      <c r="C351" s="35" t="s">
        <v>597</v>
      </c>
      <c r="D351" s="35" t="s">
        <v>1137</v>
      </c>
      <c r="E351" s="45" t="s">
        <v>1128</v>
      </c>
      <c r="F351" s="46">
        <v>195</v>
      </c>
      <c r="G351" s="35" t="s">
        <v>42</v>
      </c>
      <c r="H351" s="47"/>
      <c r="I351" s="37">
        <v>100</v>
      </c>
      <c r="J351" s="37">
        <v>100</v>
      </c>
      <c r="K351" s="37">
        <v>0</v>
      </c>
      <c r="L351" s="37">
        <v>0</v>
      </c>
      <c r="M351" s="37"/>
      <c r="N351" s="37"/>
      <c r="O351" s="35"/>
      <c r="P351" s="38"/>
      <c r="Q351" s="38"/>
      <c r="R351" s="38"/>
      <c r="S351" s="38"/>
      <c r="T351" s="38"/>
      <c r="U351" s="38"/>
      <c r="V351" s="38"/>
      <c r="W351" s="38"/>
      <c r="X351" s="38"/>
      <c r="Y351" s="38"/>
      <c r="Z351" s="38"/>
    </row>
    <row r="352" spans="1:26" ht="15.75" customHeight="1" x14ac:dyDescent="0.2">
      <c r="A352" s="45" t="s">
        <v>1138</v>
      </c>
      <c r="B352" s="36" t="s">
        <v>1139</v>
      </c>
      <c r="C352" s="35" t="s">
        <v>1140</v>
      </c>
      <c r="D352" s="35" t="s">
        <v>1141</v>
      </c>
      <c r="E352" s="45" t="s">
        <v>852</v>
      </c>
      <c r="F352" s="46">
        <v>15.22</v>
      </c>
      <c r="G352" s="35"/>
      <c r="H352" s="47" t="s">
        <v>1142</v>
      </c>
      <c r="I352" s="37"/>
      <c r="J352" s="37"/>
      <c r="K352" s="37"/>
      <c r="L352" s="37"/>
      <c r="M352" s="37"/>
      <c r="N352" s="37"/>
      <c r="O352" s="35"/>
      <c r="P352" s="38"/>
      <c r="Q352" s="38"/>
      <c r="R352" s="38"/>
      <c r="S352" s="38"/>
      <c r="T352" s="38"/>
      <c r="U352" s="38"/>
      <c r="V352" s="38"/>
      <c r="W352" s="38"/>
      <c r="X352" s="38"/>
      <c r="Y352" s="38"/>
      <c r="Z352" s="38"/>
    </row>
    <row r="353" spans="1:26" ht="15.75" customHeight="1" x14ac:dyDescent="0.2">
      <c r="A353" s="45" t="s">
        <v>1143</v>
      </c>
      <c r="B353" s="36" t="s">
        <v>1144</v>
      </c>
      <c r="C353" s="35" t="s">
        <v>1145</v>
      </c>
      <c r="D353" s="35"/>
      <c r="E353" s="45" t="s">
        <v>882</v>
      </c>
      <c r="F353" s="46"/>
      <c r="G353" s="35"/>
      <c r="H353" s="47"/>
      <c r="I353" s="37"/>
      <c r="J353" s="37"/>
      <c r="K353" s="37"/>
      <c r="L353" s="37"/>
      <c r="M353" s="37"/>
      <c r="N353" s="37"/>
      <c r="O353" s="35"/>
      <c r="P353" s="38"/>
      <c r="Q353" s="38"/>
      <c r="R353" s="38"/>
      <c r="S353" s="38"/>
      <c r="T353" s="38"/>
      <c r="U353" s="38"/>
      <c r="V353" s="38"/>
      <c r="W353" s="38"/>
      <c r="X353" s="38"/>
      <c r="Y353" s="38"/>
      <c r="Z353" s="38"/>
    </row>
    <row r="354" spans="1:26" ht="15.75" customHeight="1" x14ac:dyDescent="0.2">
      <c r="A354" s="45" t="s">
        <v>1146</v>
      </c>
      <c r="B354" s="36" t="s">
        <v>1147</v>
      </c>
      <c r="C354" s="35" t="s">
        <v>1148</v>
      </c>
      <c r="D354" s="35"/>
      <c r="E354" s="45" t="s">
        <v>882</v>
      </c>
      <c r="F354" s="46">
        <v>78</v>
      </c>
      <c r="G354" s="35"/>
      <c r="H354" s="47"/>
      <c r="I354" s="37"/>
      <c r="J354" s="37"/>
      <c r="K354" s="37"/>
      <c r="L354" s="37"/>
      <c r="M354" s="37"/>
      <c r="N354" s="37"/>
      <c r="O354" s="35"/>
      <c r="P354" s="38"/>
      <c r="Q354" s="38"/>
      <c r="R354" s="38"/>
      <c r="S354" s="38"/>
      <c r="T354" s="38"/>
      <c r="U354" s="38"/>
      <c r="V354" s="38"/>
      <c r="W354" s="38"/>
      <c r="X354" s="38"/>
      <c r="Y354" s="38"/>
      <c r="Z354" s="38"/>
    </row>
    <row r="355" spans="1:26" ht="15.75" customHeight="1" x14ac:dyDescent="0.2">
      <c r="A355" s="45" t="s">
        <v>1149</v>
      </c>
      <c r="B355" s="36" t="s">
        <v>945</v>
      </c>
      <c r="C355" s="35" t="s">
        <v>597</v>
      </c>
      <c r="D355" s="35"/>
      <c r="E355" s="45" t="s">
        <v>882</v>
      </c>
      <c r="F355" s="46"/>
      <c r="G355" s="35"/>
      <c r="H355" s="47"/>
      <c r="I355" s="37"/>
      <c r="J355" s="37"/>
      <c r="K355" s="37"/>
      <c r="L355" s="37"/>
      <c r="M355" s="37"/>
      <c r="N355" s="37"/>
      <c r="O355" s="35"/>
      <c r="P355" s="38"/>
      <c r="Q355" s="38"/>
      <c r="R355" s="38"/>
      <c r="S355" s="38"/>
      <c r="T355" s="38"/>
      <c r="U355" s="38"/>
      <c r="V355" s="38"/>
      <c r="W355" s="38"/>
      <c r="X355" s="38"/>
      <c r="Y355" s="38"/>
      <c r="Z355" s="38"/>
    </row>
    <row r="356" spans="1:26" ht="15.75" customHeight="1" x14ac:dyDescent="0.2">
      <c r="A356" s="45" t="s">
        <v>1150</v>
      </c>
      <c r="B356" s="36" t="s">
        <v>1151</v>
      </c>
      <c r="C356" s="35" t="s">
        <v>520</v>
      </c>
      <c r="D356" s="35" t="s">
        <v>1152</v>
      </c>
      <c r="E356" s="45" t="s">
        <v>852</v>
      </c>
      <c r="F356" s="46"/>
      <c r="G356" s="35"/>
      <c r="H356" s="47" t="s">
        <v>1153</v>
      </c>
      <c r="I356" s="37"/>
      <c r="J356" s="37"/>
      <c r="K356" s="37"/>
      <c r="L356" s="37"/>
      <c r="M356" s="37"/>
      <c r="N356" s="37"/>
      <c r="O356" s="35"/>
      <c r="P356" s="38"/>
      <c r="Q356" s="38"/>
      <c r="R356" s="38"/>
      <c r="S356" s="38"/>
      <c r="T356" s="38"/>
      <c r="U356" s="38"/>
      <c r="V356" s="38"/>
      <c r="W356" s="38"/>
      <c r="X356" s="38"/>
      <c r="Y356" s="38"/>
      <c r="Z356" s="38"/>
    </row>
    <row r="357" spans="1:26" ht="15.75" customHeight="1" x14ac:dyDescent="0.2">
      <c r="A357" s="45" t="s">
        <v>1154</v>
      </c>
      <c r="B357" s="36" t="s">
        <v>1155</v>
      </c>
      <c r="C357" s="35" t="s">
        <v>864</v>
      </c>
      <c r="D357" s="35"/>
      <c r="E357" s="45"/>
      <c r="F357" s="46"/>
      <c r="G357" s="35"/>
      <c r="H357" s="47" t="s">
        <v>1156</v>
      </c>
      <c r="I357" s="37"/>
      <c r="J357" s="37"/>
      <c r="K357" s="37"/>
      <c r="L357" s="37"/>
      <c r="M357" s="37"/>
      <c r="N357" s="37"/>
      <c r="O357" s="35"/>
      <c r="P357" s="38"/>
      <c r="Q357" s="38"/>
      <c r="R357" s="38"/>
      <c r="S357" s="38"/>
      <c r="T357" s="38"/>
      <c r="U357" s="38"/>
      <c r="V357" s="38"/>
      <c r="W357" s="38"/>
      <c r="X357" s="38"/>
      <c r="Y357" s="38"/>
      <c r="Z357" s="38"/>
    </row>
    <row r="358" spans="1:26" ht="15.75" customHeight="1" x14ac:dyDescent="0.2">
      <c r="A358" s="45" t="s">
        <v>1157</v>
      </c>
      <c r="B358" s="36" t="s">
        <v>1158</v>
      </c>
      <c r="C358" s="35" t="s">
        <v>1159</v>
      </c>
      <c r="D358" s="35" t="s">
        <v>858</v>
      </c>
      <c r="E358" s="45" t="s">
        <v>852</v>
      </c>
      <c r="F358" s="46">
        <v>25.8</v>
      </c>
      <c r="G358" s="35"/>
      <c r="H358" s="47" t="s">
        <v>1160</v>
      </c>
      <c r="I358" s="37"/>
      <c r="J358" s="37"/>
      <c r="K358" s="37"/>
      <c r="L358" s="37"/>
      <c r="M358" s="37"/>
      <c r="N358" s="37"/>
      <c r="O358" s="35"/>
      <c r="P358" s="38"/>
      <c r="Q358" s="38"/>
      <c r="R358" s="38"/>
      <c r="S358" s="38"/>
      <c r="T358" s="38"/>
      <c r="U358" s="38"/>
      <c r="V358" s="38"/>
      <c r="W358" s="38"/>
      <c r="X358" s="38"/>
      <c r="Y358" s="38"/>
      <c r="Z358" s="38"/>
    </row>
    <row r="359" spans="1:26" ht="93" customHeight="1" x14ac:dyDescent="0.2">
      <c r="A359" s="45" t="s">
        <v>1161</v>
      </c>
      <c r="B359" s="36" t="s">
        <v>1162</v>
      </c>
      <c r="C359" s="35" t="s">
        <v>1163</v>
      </c>
      <c r="D359" s="35" t="s">
        <v>1164</v>
      </c>
      <c r="E359" s="45" t="s">
        <v>660</v>
      </c>
      <c r="F359" s="46">
        <v>11.35</v>
      </c>
      <c r="G359" s="35"/>
      <c r="H359" s="47" t="s">
        <v>1165</v>
      </c>
      <c r="I359" s="37">
        <v>100</v>
      </c>
      <c r="J359" s="37">
        <v>0</v>
      </c>
      <c r="K359" s="37">
        <v>0</v>
      </c>
      <c r="L359" s="37">
        <v>0</v>
      </c>
      <c r="M359" s="37" t="s">
        <v>1166</v>
      </c>
      <c r="N359" s="37"/>
      <c r="O359" s="35"/>
      <c r="P359" s="38"/>
      <c r="Q359" s="38"/>
      <c r="R359" s="38"/>
      <c r="S359" s="38"/>
      <c r="T359" s="38"/>
      <c r="U359" s="38"/>
      <c r="V359" s="38"/>
      <c r="W359" s="38"/>
      <c r="X359" s="38"/>
      <c r="Y359" s="38"/>
      <c r="Z359" s="38"/>
    </row>
    <row r="360" spans="1:26" ht="15.75" customHeight="1" x14ac:dyDescent="0.2">
      <c r="A360" s="45" t="s">
        <v>1167</v>
      </c>
      <c r="B360" s="36" t="s">
        <v>1168</v>
      </c>
      <c r="C360" s="35" t="s">
        <v>420</v>
      </c>
      <c r="D360" s="35" t="s">
        <v>1169</v>
      </c>
      <c r="E360" s="45" t="s">
        <v>882</v>
      </c>
      <c r="F360" s="46"/>
      <c r="G360" s="35"/>
      <c r="H360" s="47" t="s">
        <v>1170</v>
      </c>
      <c r="I360" s="37">
        <v>100</v>
      </c>
      <c r="J360" s="37">
        <v>0</v>
      </c>
      <c r="K360" s="37">
        <v>0</v>
      </c>
      <c r="L360" s="37">
        <v>0</v>
      </c>
      <c r="M360" s="37" t="s">
        <v>1171</v>
      </c>
      <c r="N360" s="37"/>
      <c r="O360" s="35"/>
      <c r="P360" s="38"/>
      <c r="Q360" s="38"/>
      <c r="R360" s="38"/>
      <c r="S360" s="38"/>
      <c r="T360" s="38"/>
      <c r="U360" s="38"/>
      <c r="V360" s="38"/>
      <c r="W360" s="38"/>
      <c r="X360" s="38"/>
      <c r="Y360" s="38"/>
      <c r="Z360" s="38"/>
    </row>
    <row r="361" spans="1:26" ht="15.75" customHeight="1" x14ac:dyDescent="0.2">
      <c r="A361" s="45" t="s">
        <v>1172</v>
      </c>
      <c r="B361" s="36" t="s">
        <v>1173</v>
      </c>
      <c r="C361" s="39" t="s">
        <v>1174</v>
      </c>
      <c r="D361" s="35" t="s">
        <v>1175</v>
      </c>
      <c r="E361" s="45" t="s">
        <v>882</v>
      </c>
      <c r="F361" s="46"/>
      <c r="G361" s="35"/>
      <c r="H361" s="48" t="s">
        <v>1176</v>
      </c>
      <c r="I361" s="37"/>
      <c r="J361" s="37"/>
      <c r="K361" s="37"/>
      <c r="L361" s="37"/>
      <c r="M361" s="37" t="s">
        <v>1177</v>
      </c>
      <c r="N361" s="37"/>
      <c r="O361" s="35"/>
      <c r="P361" s="38"/>
      <c r="Q361" s="38"/>
      <c r="R361" s="38"/>
      <c r="S361" s="38"/>
      <c r="T361" s="38"/>
      <c r="U361" s="38"/>
      <c r="V361" s="38"/>
      <c r="W361" s="38"/>
      <c r="X361" s="38"/>
      <c r="Y361" s="38"/>
      <c r="Z361" s="38"/>
    </row>
    <row r="362" spans="1:26" ht="15.75" customHeight="1" x14ac:dyDescent="0.2">
      <c r="A362" s="45" t="s">
        <v>1178</v>
      </c>
      <c r="B362" s="36" t="s">
        <v>1179</v>
      </c>
      <c r="C362" s="39" t="s">
        <v>873</v>
      </c>
      <c r="D362" s="35" t="s">
        <v>1180</v>
      </c>
      <c r="E362" s="45" t="s">
        <v>882</v>
      </c>
      <c r="F362" s="46">
        <v>44.7</v>
      </c>
      <c r="G362" s="35"/>
      <c r="H362" s="48" t="s">
        <v>1181</v>
      </c>
      <c r="I362" s="37"/>
      <c r="J362" s="37"/>
      <c r="K362" s="37"/>
      <c r="L362" s="37"/>
      <c r="M362" s="37"/>
      <c r="N362" s="37"/>
      <c r="O362" s="35"/>
      <c r="P362" s="38"/>
      <c r="Q362" s="38"/>
      <c r="R362" s="38"/>
      <c r="S362" s="38"/>
      <c r="T362" s="38"/>
      <c r="U362" s="38"/>
      <c r="V362" s="38"/>
      <c r="W362" s="38"/>
      <c r="X362" s="38"/>
      <c r="Y362" s="38"/>
      <c r="Z362" s="38"/>
    </row>
    <row r="363" spans="1:26" ht="15.75" customHeight="1" x14ac:dyDescent="0.2">
      <c r="A363" s="45" t="s">
        <v>1182</v>
      </c>
      <c r="B363" s="36" t="s">
        <v>1183</v>
      </c>
      <c r="C363" s="39" t="s">
        <v>873</v>
      </c>
      <c r="D363" s="35" t="s">
        <v>1184</v>
      </c>
      <c r="E363" s="45" t="s">
        <v>882</v>
      </c>
      <c r="F363" s="46">
        <v>65</v>
      </c>
      <c r="G363" s="35"/>
      <c r="H363" s="48" t="s">
        <v>1185</v>
      </c>
      <c r="I363" s="37"/>
      <c r="J363" s="37"/>
      <c r="K363" s="37"/>
      <c r="L363" s="37"/>
      <c r="M363" s="37"/>
      <c r="N363" s="37"/>
      <c r="O363" s="35"/>
      <c r="P363" s="38"/>
      <c r="Q363" s="38"/>
      <c r="R363" s="38"/>
      <c r="S363" s="38"/>
      <c r="T363" s="38"/>
      <c r="U363" s="38"/>
      <c r="V363" s="38"/>
      <c r="W363" s="38"/>
      <c r="X363" s="38"/>
      <c r="Y363" s="38"/>
      <c r="Z363" s="38"/>
    </row>
    <row r="364" spans="1:26" ht="15.75" customHeight="1" x14ac:dyDescent="0.2">
      <c r="A364" s="45" t="s">
        <v>1186</v>
      </c>
      <c r="B364" s="36" t="s">
        <v>1187</v>
      </c>
      <c r="C364" s="39" t="s">
        <v>158</v>
      </c>
      <c r="D364" s="35"/>
      <c r="E364" s="45" t="s">
        <v>882</v>
      </c>
      <c r="F364" s="46">
        <v>43</v>
      </c>
      <c r="G364" s="35"/>
      <c r="H364" s="48" t="s">
        <v>1188</v>
      </c>
      <c r="I364" s="37"/>
      <c r="J364" s="37"/>
      <c r="K364" s="37"/>
      <c r="L364" s="37"/>
      <c r="M364" s="37"/>
      <c r="N364" s="37"/>
      <c r="O364" s="35"/>
      <c r="P364" s="38"/>
      <c r="Q364" s="38"/>
      <c r="R364" s="38"/>
      <c r="S364" s="38"/>
      <c r="T364" s="38"/>
      <c r="U364" s="38"/>
      <c r="V364" s="38"/>
      <c r="W364" s="38"/>
      <c r="X364" s="38"/>
      <c r="Y364" s="38"/>
      <c r="Z364" s="38"/>
    </row>
    <row r="365" spans="1:26" ht="15.75" customHeight="1" x14ac:dyDescent="0.2">
      <c r="A365" s="45" t="s">
        <v>1189</v>
      </c>
      <c r="B365" s="36" t="s">
        <v>1190</v>
      </c>
      <c r="C365" s="39" t="s">
        <v>158</v>
      </c>
      <c r="D365" s="35"/>
      <c r="E365" s="45" t="s">
        <v>926</v>
      </c>
      <c r="F365" s="46">
        <v>36</v>
      </c>
      <c r="G365" s="35"/>
      <c r="H365" s="48" t="s">
        <v>1191</v>
      </c>
      <c r="I365" s="37"/>
      <c r="J365" s="37"/>
      <c r="K365" s="37"/>
      <c r="L365" s="37"/>
      <c r="M365" s="37"/>
      <c r="N365" s="37"/>
      <c r="O365" s="35"/>
      <c r="P365" s="38"/>
      <c r="Q365" s="38"/>
      <c r="R365" s="38"/>
      <c r="S365" s="38"/>
      <c r="T365" s="38"/>
      <c r="U365" s="38"/>
      <c r="V365" s="38"/>
      <c r="W365" s="38"/>
      <c r="X365" s="38"/>
      <c r="Y365" s="38"/>
      <c r="Z365" s="38"/>
    </row>
    <row r="366" spans="1:26" ht="15.75" customHeight="1" x14ac:dyDescent="0.2">
      <c r="A366" s="45" t="s">
        <v>1192</v>
      </c>
      <c r="B366" s="36" t="s">
        <v>1193</v>
      </c>
      <c r="C366" s="39" t="s">
        <v>1194</v>
      </c>
      <c r="D366" s="35"/>
      <c r="E366" s="45"/>
      <c r="F366" s="46"/>
      <c r="G366" s="35"/>
      <c r="H366" s="48" t="s">
        <v>1195</v>
      </c>
      <c r="I366" s="37"/>
      <c r="J366" s="37"/>
      <c r="K366" s="37"/>
      <c r="L366" s="37"/>
      <c r="M366" s="37"/>
      <c r="N366" s="37"/>
      <c r="O366" s="35"/>
      <c r="P366" s="38"/>
      <c r="Q366" s="38"/>
      <c r="R366" s="38"/>
      <c r="S366" s="38"/>
      <c r="T366" s="38"/>
      <c r="U366" s="38"/>
      <c r="V366" s="38"/>
      <c r="W366" s="38"/>
      <c r="X366" s="38"/>
      <c r="Y366" s="38"/>
      <c r="Z366" s="38"/>
    </row>
    <row r="367" spans="1:26" ht="15.75" customHeight="1" x14ac:dyDescent="0.2">
      <c r="A367" s="45" t="s">
        <v>1196</v>
      </c>
      <c r="B367" s="36" t="s">
        <v>1197</v>
      </c>
      <c r="C367" s="39" t="s">
        <v>1194</v>
      </c>
      <c r="D367" s="35"/>
      <c r="E367" s="45"/>
      <c r="F367" s="46"/>
      <c r="G367" s="35"/>
      <c r="H367" s="48" t="s">
        <v>1195</v>
      </c>
      <c r="I367" s="37"/>
      <c r="J367" s="37"/>
      <c r="K367" s="37"/>
      <c r="L367" s="37"/>
      <c r="M367" s="37"/>
      <c r="N367" s="37"/>
      <c r="O367" s="35"/>
      <c r="P367" s="38"/>
      <c r="Q367" s="38"/>
      <c r="R367" s="38"/>
      <c r="S367" s="38"/>
      <c r="T367" s="38"/>
      <c r="U367" s="38"/>
      <c r="V367" s="38"/>
      <c r="W367" s="38"/>
      <c r="X367" s="38"/>
      <c r="Y367" s="38"/>
      <c r="Z367" s="38"/>
    </row>
    <row r="368" spans="1:26" ht="15.75" customHeight="1" x14ac:dyDescent="0.2">
      <c r="A368" s="45" t="s">
        <v>1198</v>
      </c>
      <c r="B368" s="36" t="s">
        <v>1199</v>
      </c>
      <c r="C368" s="39" t="s">
        <v>1200</v>
      </c>
      <c r="D368" s="39" t="s">
        <v>1201</v>
      </c>
      <c r="E368" s="45" t="s">
        <v>1202</v>
      </c>
      <c r="F368" s="46">
        <v>63</v>
      </c>
      <c r="G368" s="35"/>
      <c r="H368" s="48" t="s">
        <v>999</v>
      </c>
      <c r="I368" s="37"/>
      <c r="J368" s="37"/>
      <c r="K368" s="37"/>
      <c r="L368" s="37"/>
      <c r="M368" s="37" t="s">
        <v>1134</v>
      </c>
      <c r="N368" s="37"/>
      <c r="O368" s="35"/>
      <c r="P368" s="38"/>
      <c r="Q368" s="38"/>
      <c r="R368" s="38"/>
      <c r="S368" s="38"/>
      <c r="T368" s="38"/>
      <c r="U368" s="38"/>
      <c r="V368" s="38"/>
      <c r="W368" s="38"/>
      <c r="X368" s="38"/>
      <c r="Y368" s="38"/>
      <c r="Z368" s="38"/>
    </row>
    <row r="369" spans="1:26" ht="15.75" customHeight="1" x14ac:dyDescent="0.2">
      <c r="A369" s="45" t="s">
        <v>1203</v>
      </c>
      <c r="B369" s="36" t="s">
        <v>1204</v>
      </c>
      <c r="C369" s="39" t="s">
        <v>1205</v>
      </c>
      <c r="D369" s="39"/>
      <c r="E369" s="45"/>
      <c r="F369" s="46"/>
      <c r="G369" s="35"/>
      <c r="H369" s="48"/>
      <c r="I369" s="37"/>
      <c r="J369" s="37"/>
      <c r="K369" s="37"/>
      <c r="L369" s="37"/>
      <c r="M369" s="37"/>
      <c r="N369" s="37"/>
      <c r="O369" s="35"/>
      <c r="P369" s="38"/>
      <c r="Q369" s="38"/>
      <c r="R369" s="38"/>
      <c r="S369" s="38"/>
      <c r="T369" s="38"/>
      <c r="U369" s="38"/>
      <c r="V369" s="38"/>
      <c r="W369" s="38"/>
      <c r="X369" s="38"/>
      <c r="Y369" s="38"/>
      <c r="Z369" s="38"/>
    </row>
    <row r="370" spans="1:26" ht="41" customHeight="1" x14ac:dyDescent="0.2">
      <c r="A370" s="45" t="s">
        <v>1206</v>
      </c>
      <c r="B370" s="36" t="s">
        <v>1207</v>
      </c>
      <c r="C370" s="39" t="s">
        <v>507</v>
      </c>
      <c r="D370" s="39" t="s">
        <v>4096</v>
      </c>
      <c r="E370" s="45" t="s">
        <v>1134</v>
      </c>
      <c r="F370" s="46">
        <v>12.4</v>
      </c>
      <c r="G370" s="35"/>
      <c r="H370" s="48" t="s">
        <v>1208</v>
      </c>
      <c r="I370" s="37"/>
      <c r="J370" s="37"/>
      <c r="K370" s="37"/>
      <c r="L370" s="37"/>
      <c r="M370" s="37" t="s">
        <v>1134</v>
      </c>
      <c r="N370" s="37"/>
      <c r="O370" s="35"/>
      <c r="P370" s="38"/>
      <c r="Q370" s="38"/>
      <c r="R370" s="38"/>
      <c r="S370" s="38"/>
      <c r="T370" s="38"/>
      <c r="U370" s="38"/>
      <c r="V370" s="38"/>
      <c r="W370" s="38"/>
      <c r="X370" s="38"/>
      <c r="Y370" s="38"/>
      <c r="Z370" s="38"/>
    </row>
    <row r="371" spans="1:26" ht="15.75" customHeight="1" x14ac:dyDescent="0.2">
      <c r="A371" s="45" t="s">
        <v>1209</v>
      </c>
      <c r="B371" s="36" t="s">
        <v>1210</v>
      </c>
      <c r="C371" s="39" t="s">
        <v>828</v>
      </c>
      <c r="D371" s="39" t="s">
        <v>1211</v>
      </c>
      <c r="E371" s="45" t="s">
        <v>1134</v>
      </c>
      <c r="F371" s="46">
        <v>76.97</v>
      </c>
      <c r="G371" s="35"/>
      <c r="H371" s="48" t="s">
        <v>1212</v>
      </c>
      <c r="I371" s="37">
        <v>100</v>
      </c>
      <c r="J371" s="37">
        <v>0</v>
      </c>
      <c r="K371" s="37">
        <v>0</v>
      </c>
      <c r="L371" s="37">
        <v>0</v>
      </c>
      <c r="M371" s="37" t="s">
        <v>1134</v>
      </c>
      <c r="N371" s="37"/>
      <c r="O371" s="35"/>
      <c r="P371" s="38"/>
      <c r="Q371" s="38"/>
      <c r="R371" s="38"/>
      <c r="S371" s="38"/>
      <c r="T371" s="38"/>
      <c r="U371" s="38"/>
      <c r="V371" s="38"/>
      <c r="W371" s="38"/>
      <c r="X371" s="38"/>
      <c r="Y371" s="38"/>
      <c r="Z371" s="38"/>
    </row>
    <row r="372" spans="1:26" ht="15.75" customHeight="1" x14ac:dyDescent="0.2">
      <c r="A372" s="45" t="s">
        <v>1213</v>
      </c>
      <c r="B372" s="36" t="s">
        <v>1214</v>
      </c>
      <c r="C372" s="39" t="s">
        <v>1215</v>
      </c>
      <c r="D372" s="39" t="s">
        <v>1216</v>
      </c>
      <c r="E372" s="45" t="s">
        <v>1134</v>
      </c>
      <c r="F372" s="46">
        <v>34</v>
      </c>
      <c r="G372" s="35"/>
      <c r="H372" s="48" t="s">
        <v>1217</v>
      </c>
      <c r="I372" s="37">
        <v>100</v>
      </c>
      <c r="J372" s="37">
        <v>0</v>
      </c>
      <c r="K372" s="37">
        <v>0</v>
      </c>
      <c r="L372" s="37">
        <v>0</v>
      </c>
      <c r="M372" s="37" t="s">
        <v>1134</v>
      </c>
      <c r="N372" s="37" t="s">
        <v>1218</v>
      </c>
      <c r="O372" s="35"/>
      <c r="P372" s="38"/>
      <c r="Q372" s="38"/>
      <c r="R372" s="38"/>
      <c r="S372" s="38"/>
      <c r="T372" s="38"/>
      <c r="U372" s="38"/>
      <c r="V372" s="38"/>
      <c r="W372" s="38"/>
      <c r="X372" s="38"/>
      <c r="Y372" s="38"/>
      <c r="Z372" s="38"/>
    </row>
    <row r="373" spans="1:26" ht="15.75" customHeight="1" x14ac:dyDescent="0.2">
      <c r="A373" s="45" t="s">
        <v>1219</v>
      </c>
      <c r="B373" s="36" t="s">
        <v>1220</v>
      </c>
      <c r="C373" s="39" t="s">
        <v>1221</v>
      </c>
      <c r="D373" s="39" t="s">
        <v>1222</v>
      </c>
      <c r="E373" s="45" t="s">
        <v>882</v>
      </c>
      <c r="F373" s="46"/>
      <c r="G373" s="35"/>
      <c r="H373" s="48" t="s">
        <v>1223</v>
      </c>
      <c r="I373" s="37">
        <v>100</v>
      </c>
      <c r="J373" s="37">
        <v>0</v>
      </c>
      <c r="K373" s="37">
        <v>0</v>
      </c>
      <c r="L373" s="37">
        <v>0</v>
      </c>
      <c r="M373" s="37" t="s">
        <v>1134</v>
      </c>
      <c r="N373" s="37"/>
      <c r="O373" s="35"/>
      <c r="P373" s="38"/>
      <c r="Q373" s="38"/>
      <c r="R373" s="38"/>
      <c r="S373" s="38"/>
      <c r="T373" s="38"/>
      <c r="U373" s="38"/>
      <c r="V373" s="38"/>
      <c r="W373" s="38"/>
      <c r="X373" s="38"/>
      <c r="Y373" s="38"/>
      <c r="Z373" s="38"/>
    </row>
    <row r="374" spans="1:26" ht="15.75" customHeight="1" x14ac:dyDescent="0.2">
      <c r="A374" s="45" t="s">
        <v>1224</v>
      </c>
      <c r="B374" s="36" t="s">
        <v>4101</v>
      </c>
      <c r="C374" s="39" t="s">
        <v>1221</v>
      </c>
      <c r="D374" s="39" t="s">
        <v>1225</v>
      </c>
      <c r="E374" s="45" t="s">
        <v>882</v>
      </c>
      <c r="F374" s="46"/>
      <c r="G374" s="35"/>
      <c r="H374" s="48" t="s">
        <v>1226</v>
      </c>
      <c r="I374" s="37">
        <v>100</v>
      </c>
      <c r="J374" s="37">
        <v>0</v>
      </c>
      <c r="K374" s="37">
        <v>0</v>
      </c>
      <c r="L374" s="37">
        <v>0</v>
      </c>
      <c r="M374" s="37" t="s">
        <v>1134</v>
      </c>
      <c r="N374" s="37" t="s">
        <v>1227</v>
      </c>
      <c r="O374" s="35"/>
      <c r="P374" s="38"/>
      <c r="Q374" s="38"/>
      <c r="R374" s="38"/>
      <c r="S374" s="38"/>
      <c r="T374" s="38"/>
      <c r="U374" s="38"/>
      <c r="V374" s="38"/>
      <c r="W374" s="38"/>
      <c r="X374" s="38"/>
      <c r="Y374" s="38"/>
      <c r="Z374" s="38"/>
    </row>
    <row r="375" spans="1:26" ht="15.75" customHeight="1" x14ac:dyDescent="0.2">
      <c r="A375" s="45" t="s">
        <v>1228</v>
      </c>
      <c r="B375" s="36" t="s">
        <v>1229</v>
      </c>
      <c r="C375" s="39" t="s">
        <v>1221</v>
      </c>
      <c r="D375" s="39" t="s">
        <v>1230</v>
      </c>
      <c r="E375" s="45" t="s">
        <v>882</v>
      </c>
      <c r="F375" s="46"/>
      <c r="G375" s="35"/>
      <c r="H375" s="48" t="s">
        <v>1231</v>
      </c>
      <c r="I375" s="37">
        <v>100</v>
      </c>
      <c r="J375" s="37">
        <v>0</v>
      </c>
      <c r="K375" s="37">
        <v>0</v>
      </c>
      <c r="L375" s="37">
        <v>0</v>
      </c>
      <c r="M375" s="37" t="s">
        <v>1134</v>
      </c>
      <c r="N375" s="37" t="s">
        <v>1232</v>
      </c>
      <c r="O375" s="35"/>
      <c r="P375" s="38"/>
      <c r="Q375" s="38"/>
      <c r="R375" s="38"/>
      <c r="S375" s="38"/>
      <c r="T375" s="38"/>
      <c r="U375" s="38"/>
      <c r="V375" s="38"/>
      <c r="W375" s="38"/>
      <c r="X375" s="38"/>
      <c r="Y375" s="38"/>
      <c r="Z375" s="38"/>
    </row>
    <row r="376" spans="1:26" ht="15.75" customHeight="1" x14ac:dyDescent="0.2">
      <c r="A376" s="45" t="s">
        <v>1233</v>
      </c>
      <c r="B376" s="36" t="s">
        <v>1234</v>
      </c>
      <c r="C376" s="39" t="s">
        <v>1221</v>
      </c>
      <c r="D376" s="39" t="s">
        <v>1235</v>
      </c>
      <c r="E376" s="45" t="s">
        <v>1134</v>
      </c>
      <c r="F376" s="46"/>
      <c r="G376" s="35"/>
      <c r="H376" s="48" t="s">
        <v>1236</v>
      </c>
      <c r="I376" s="37"/>
      <c r="J376" s="37"/>
      <c r="K376" s="37"/>
      <c r="L376" s="37"/>
      <c r="M376" s="37" t="s">
        <v>1134</v>
      </c>
      <c r="N376" s="37" t="s">
        <v>1237</v>
      </c>
      <c r="O376" s="35"/>
      <c r="P376" s="38"/>
      <c r="Q376" s="38"/>
      <c r="R376" s="38"/>
      <c r="S376" s="38"/>
      <c r="T376" s="38"/>
      <c r="U376" s="38"/>
      <c r="V376" s="38"/>
      <c r="W376" s="38"/>
      <c r="X376" s="38"/>
      <c r="Y376" s="38"/>
      <c r="Z376" s="38"/>
    </row>
    <row r="377" spans="1:26" ht="15.75" customHeight="1" x14ac:dyDescent="0.2">
      <c r="A377" s="45" t="s">
        <v>1238</v>
      </c>
      <c r="B377" s="36" t="s">
        <v>1239</v>
      </c>
      <c r="C377" s="39" t="s">
        <v>1221</v>
      </c>
      <c r="D377" s="39" t="s">
        <v>1240</v>
      </c>
      <c r="E377" s="45" t="s">
        <v>882</v>
      </c>
      <c r="F377" s="46">
        <v>18.12</v>
      </c>
      <c r="G377" s="35"/>
      <c r="H377" s="48" t="s">
        <v>1241</v>
      </c>
      <c r="I377" s="37">
        <v>100</v>
      </c>
      <c r="J377" s="37">
        <v>0</v>
      </c>
      <c r="K377" s="37">
        <v>0</v>
      </c>
      <c r="L377" s="37">
        <v>0</v>
      </c>
      <c r="M377" s="37" t="s">
        <v>1134</v>
      </c>
      <c r="N377" s="37"/>
      <c r="O377" s="35"/>
      <c r="P377" s="38"/>
      <c r="Q377" s="38"/>
      <c r="R377" s="38"/>
      <c r="S377" s="38"/>
      <c r="T377" s="38"/>
      <c r="U377" s="38"/>
      <c r="V377" s="38"/>
      <c r="W377" s="38"/>
      <c r="X377" s="38"/>
      <c r="Y377" s="38"/>
      <c r="Z377" s="38"/>
    </row>
    <row r="378" spans="1:26" ht="15.75" customHeight="1" x14ac:dyDescent="0.2">
      <c r="A378" s="45" t="s">
        <v>1242</v>
      </c>
      <c r="B378" s="36" t="s">
        <v>1243</v>
      </c>
      <c r="C378" s="39" t="s">
        <v>1087</v>
      </c>
      <c r="D378" s="39" t="s">
        <v>1244</v>
      </c>
      <c r="E378" s="45" t="s">
        <v>1245</v>
      </c>
      <c r="F378" s="46"/>
      <c r="G378" s="35"/>
      <c r="H378" s="48"/>
      <c r="I378" s="37">
        <v>100</v>
      </c>
      <c r="J378" s="37">
        <v>0</v>
      </c>
      <c r="K378" s="37">
        <v>0</v>
      </c>
      <c r="L378" s="37">
        <v>0</v>
      </c>
      <c r="M378" s="37" t="s">
        <v>1134</v>
      </c>
      <c r="N378" s="37"/>
      <c r="O378" s="35"/>
      <c r="P378" s="38"/>
      <c r="Q378" s="38"/>
      <c r="R378" s="38"/>
      <c r="S378" s="38"/>
      <c r="T378" s="38"/>
      <c r="U378" s="38"/>
      <c r="V378" s="38"/>
      <c r="W378" s="38"/>
      <c r="X378" s="38"/>
      <c r="Y378" s="38"/>
      <c r="Z378" s="38"/>
    </row>
    <row r="379" spans="1:26" ht="15.75" customHeight="1" x14ac:dyDescent="0.2">
      <c r="A379" s="45" t="s">
        <v>1246</v>
      </c>
      <c r="B379" s="36" t="s">
        <v>1247</v>
      </c>
      <c r="C379" s="39" t="s">
        <v>1248</v>
      </c>
      <c r="D379" s="39" t="s">
        <v>1249</v>
      </c>
      <c r="E379" s="45" t="s">
        <v>1245</v>
      </c>
      <c r="F379" s="46">
        <v>35.6</v>
      </c>
      <c r="G379" s="35"/>
      <c r="H379" s="48" t="s">
        <v>1250</v>
      </c>
      <c r="I379" s="37">
        <v>100</v>
      </c>
      <c r="J379" s="37">
        <v>0</v>
      </c>
      <c r="K379" s="37">
        <v>0</v>
      </c>
      <c r="L379" s="37">
        <v>0</v>
      </c>
      <c r="M379" s="37" t="s">
        <v>1134</v>
      </c>
      <c r="N379" s="37"/>
      <c r="O379" s="35"/>
      <c r="P379" s="38"/>
      <c r="Q379" s="38"/>
      <c r="R379" s="38"/>
      <c r="S379" s="38"/>
      <c r="T379" s="38"/>
      <c r="U379" s="38"/>
      <c r="V379" s="38"/>
      <c r="W379" s="38"/>
      <c r="X379" s="38"/>
      <c r="Y379" s="38"/>
      <c r="Z379" s="38"/>
    </row>
    <row r="380" spans="1:26" ht="15.75" customHeight="1" x14ac:dyDescent="0.2">
      <c r="A380" s="45" t="s">
        <v>1251</v>
      </c>
      <c r="B380" s="49" t="s">
        <v>1252</v>
      </c>
      <c r="C380" s="49" t="s">
        <v>407</v>
      </c>
      <c r="D380" s="43" t="s">
        <v>858</v>
      </c>
      <c r="E380" s="43" t="s">
        <v>1134</v>
      </c>
      <c r="F380" s="50">
        <v>26.33</v>
      </c>
      <c r="G380" s="49"/>
      <c r="H380" s="43" t="s">
        <v>1253</v>
      </c>
      <c r="I380" s="37"/>
      <c r="J380" s="37"/>
      <c r="K380" s="37"/>
      <c r="L380" s="37"/>
      <c r="M380" s="37" t="s">
        <v>1134</v>
      </c>
      <c r="N380" s="51" t="s">
        <v>1254</v>
      </c>
      <c r="O380" s="35"/>
      <c r="P380" s="38"/>
      <c r="Q380" s="38"/>
      <c r="R380" s="38"/>
      <c r="S380" s="38"/>
      <c r="T380" s="38"/>
      <c r="U380" s="38"/>
      <c r="V380" s="38"/>
      <c r="W380" s="38"/>
      <c r="X380" s="38"/>
      <c r="Y380" s="38"/>
      <c r="Z380" s="38"/>
    </row>
    <row r="381" spans="1:26" ht="108" customHeight="1" x14ac:dyDescent="0.2">
      <c r="A381" s="45" t="s">
        <v>1255</v>
      </c>
      <c r="B381" s="49" t="s">
        <v>1256</v>
      </c>
      <c r="C381" s="49" t="s">
        <v>1257</v>
      </c>
      <c r="D381" s="43" t="s">
        <v>1258</v>
      </c>
      <c r="E381" s="43" t="s">
        <v>1134</v>
      </c>
      <c r="F381" s="50">
        <v>94.5</v>
      </c>
      <c r="G381" s="49"/>
      <c r="H381" s="43" t="s">
        <v>1259</v>
      </c>
      <c r="I381" s="37"/>
      <c r="J381" s="37"/>
      <c r="K381" s="37"/>
      <c r="L381" s="37"/>
      <c r="M381" s="37" t="s">
        <v>1134</v>
      </c>
      <c r="N381" s="51" t="s">
        <v>1260</v>
      </c>
      <c r="O381" s="35"/>
      <c r="P381" s="38"/>
      <c r="Q381" s="38"/>
      <c r="R381" s="38"/>
      <c r="S381" s="38"/>
      <c r="T381" s="38"/>
      <c r="U381" s="38"/>
      <c r="V381" s="38"/>
      <c r="W381" s="38"/>
      <c r="X381" s="38"/>
      <c r="Y381" s="38"/>
      <c r="Z381" s="38"/>
    </row>
    <row r="382" spans="1:26" ht="34" x14ac:dyDescent="0.2">
      <c r="A382" s="45" t="s">
        <v>1261</v>
      </c>
      <c r="B382" s="49" t="s">
        <v>1262</v>
      </c>
      <c r="C382" s="49" t="s">
        <v>1263</v>
      </c>
      <c r="D382" s="43" t="s">
        <v>1264</v>
      </c>
      <c r="E382" s="43" t="s">
        <v>1134</v>
      </c>
      <c r="F382" s="50">
        <v>175</v>
      </c>
      <c r="G382" s="49"/>
      <c r="H382" s="43" t="s">
        <v>1265</v>
      </c>
      <c r="I382" s="37">
        <v>100</v>
      </c>
      <c r="J382" s="37">
        <v>0</v>
      </c>
      <c r="K382" s="37">
        <v>0</v>
      </c>
      <c r="L382" s="37">
        <v>0</v>
      </c>
      <c r="M382" s="37" t="s">
        <v>1134</v>
      </c>
      <c r="N382" s="51" t="s">
        <v>1266</v>
      </c>
      <c r="O382" s="35"/>
      <c r="P382" s="38"/>
      <c r="Q382" s="38"/>
      <c r="R382" s="38"/>
      <c r="S382" s="38"/>
      <c r="T382" s="38"/>
      <c r="U382" s="38"/>
      <c r="V382" s="38"/>
      <c r="W382" s="38"/>
      <c r="X382" s="38"/>
      <c r="Y382" s="38"/>
      <c r="Z382" s="38"/>
    </row>
    <row r="383" spans="1:26" ht="15.75" customHeight="1" x14ac:dyDescent="0.2">
      <c r="A383" s="45" t="s">
        <v>1267</v>
      </c>
      <c r="B383" s="49" t="s">
        <v>1268</v>
      </c>
      <c r="C383" s="49" t="s">
        <v>1263</v>
      </c>
      <c r="D383" s="43" t="s">
        <v>1269</v>
      </c>
      <c r="E383" s="43" t="s">
        <v>1134</v>
      </c>
      <c r="F383" s="50">
        <v>80</v>
      </c>
      <c r="G383" s="49"/>
      <c r="H383" s="43" t="s">
        <v>1270</v>
      </c>
      <c r="I383" s="37">
        <v>100</v>
      </c>
      <c r="J383" s="37">
        <v>0</v>
      </c>
      <c r="K383" s="37">
        <v>0</v>
      </c>
      <c r="L383" s="37">
        <v>0</v>
      </c>
      <c r="M383" s="37" t="s">
        <v>1134</v>
      </c>
      <c r="N383" s="51" t="s">
        <v>1271</v>
      </c>
      <c r="O383" s="35"/>
      <c r="P383" s="38"/>
      <c r="Q383" s="38"/>
      <c r="R383" s="38"/>
      <c r="S383" s="38"/>
      <c r="T383" s="38"/>
      <c r="U383" s="38"/>
      <c r="V383" s="38"/>
      <c r="W383" s="38"/>
      <c r="X383" s="38"/>
      <c r="Y383" s="38"/>
      <c r="Z383" s="38"/>
    </row>
    <row r="384" spans="1:26" ht="15.75" customHeight="1" x14ac:dyDescent="0.2">
      <c r="A384" s="45" t="s">
        <v>1272</v>
      </c>
      <c r="B384" s="49" t="s">
        <v>1273</v>
      </c>
      <c r="C384" s="49" t="s">
        <v>1263</v>
      </c>
      <c r="D384" s="43" t="s">
        <v>1274</v>
      </c>
      <c r="E384" s="43" t="s">
        <v>1134</v>
      </c>
      <c r="F384" s="50">
        <v>39</v>
      </c>
      <c r="G384" s="49"/>
      <c r="H384" s="43" t="s">
        <v>1275</v>
      </c>
      <c r="I384" s="37">
        <v>100</v>
      </c>
      <c r="J384" s="37">
        <v>0</v>
      </c>
      <c r="K384" s="37">
        <v>0</v>
      </c>
      <c r="L384" s="37">
        <v>0</v>
      </c>
      <c r="M384" s="37" t="s">
        <v>1134</v>
      </c>
      <c r="N384" s="51" t="s">
        <v>1276</v>
      </c>
      <c r="O384" s="35"/>
      <c r="P384" s="38"/>
      <c r="Q384" s="38"/>
      <c r="R384" s="38"/>
      <c r="S384" s="38"/>
      <c r="T384" s="38"/>
      <c r="U384" s="38"/>
      <c r="V384" s="38"/>
      <c r="W384" s="38"/>
      <c r="X384" s="38"/>
      <c r="Y384" s="38"/>
      <c r="Z384" s="38"/>
    </row>
    <row r="385" spans="1:26" ht="15.75" customHeight="1" x14ac:dyDescent="0.2">
      <c r="A385" s="45" t="s">
        <v>1277</v>
      </c>
      <c r="B385" s="49" t="s">
        <v>1278</v>
      </c>
      <c r="C385" s="49" t="s">
        <v>1263</v>
      </c>
      <c r="D385" s="43" t="s">
        <v>1279</v>
      </c>
      <c r="E385" s="43" t="s">
        <v>1134</v>
      </c>
      <c r="F385" s="50">
        <v>75</v>
      </c>
      <c r="G385" s="49"/>
      <c r="H385" s="43" t="s">
        <v>1280</v>
      </c>
      <c r="I385" s="37">
        <v>100</v>
      </c>
      <c r="J385" s="37">
        <v>0</v>
      </c>
      <c r="K385" s="37">
        <v>0</v>
      </c>
      <c r="L385" s="37">
        <v>0</v>
      </c>
      <c r="M385" s="37" t="s">
        <v>1134</v>
      </c>
      <c r="N385" s="51" t="s">
        <v>1281</v>
      </c>
      <c r="O385" s="35"/>
      <c r="P385" s="38"/>
      <c r="Q385" s="38"/>
      <c r="R385" s="38"/>
      <c r="S385" s="38"/>
      <c r="T385" s="38"/>
      <c r="U385" s="38"/>
      <c r="V385" s="38"/>
      <c r="W385" s="38"/>
      <c r="X385" s="38"/>
      <c r="Y385" s="38"/>
      <c r="Z385" s="38"/>
    </row>
    <row r="386" spans="1:26" ht="15.75" customHeight="1" x14ac:dyDescent="0.2">
      <c r="A386" s="45" t="s">
        <v>1282</v>
      </c>
      <c r="B386" s="49" t="s">
        <v>1283</v>
      </c>
      <c r="C386" s="49" t="s">
        <v>1263</v>
      </c>
      <c r="D386" s="43" t="s">
        <v>1284</v>
      </c>
      <c r="E386" s="43" t="s">
        <v>1134</v>
      </c>
      <c r="F386" s="50">
        <v>80</v>
      </c>
      <c r="G386" s="49"/>
      <c r="H386" s="43"/>
      <c r="I386" s="37">
        <v>100</v>
      </c>
      <c r="J386" s="37">
        <v>0</v>
      </c>
      <c r="K386" s="37">
        <v>0</v>
      </c>
      <c r="L386" s="37">
        <v>0</v>
      </c>
      <c r="M386" s="37" t="s">
        <v>1134</v>
      </c>
      <c r="N386" s="51" t="s">
        <v>1285</v>
      </c>
      <c r="O386" s="35"/>
      <c r="P386" s="38"/>
      <c r="Q386" s="38"/>
      <c r="R386" s="38"/>
      <c r="S386" s="38"/>
      <c r="T386" s="38"/>
      <c r="U386" s="38"/>
      <c r="V386" s="38"/>
      <c r="W386" s="38"/>
      <c r="X386" s="38"/>
      <c r="Y386" s="38"/>
      <c r="Z386" s="38"/>
    </row>
    <row r="387" spans="1:26" ht="15.75" customHeight="1" x14ac:dyDescent="0.2">
      <c r="A387" s="45" t="s">
        <v>1286</v>
      </c>
      <c r="B387" s="49" t="s">
        <v>1287</v>
      </c>
      <c r="C387" s="49" t="s">
        <v>1288</v>
      </c>
      <c r="D387" s="43"/>
      <c r="E387" s="43" t="s">
        <v>882</v>
      </c>
      <c r="F387" s="50">
        <v>22.19</v>
      </c>
      <c r="G387" s="49" t="s">
        <v>486</v>
      </c>
      <c r="H387" s="43" t="s">
        <v>1289</v>
      </c>
      <c r="I387" s="37"/>
      <c r="J387" s="37"/>
      <c r="K387" s="37"/>
      <c r="L387" s="37"/>
      <c r="M387" s="37"/>
      <c r="N387" s="51"/>
      <c r="O387" s="35"/>
      <c r="P387" s="38"/>
      <c r="Q387" s="38"/>
      <c r="R387" s="38"/>
      <c r="S387" s="38"/>
      <c r="T387" s="38"/>
      <c r="U387" s="38"/>
      <c r="V387" s="38"/>
      <c r="W387" s="38"/>
      <c r="X387" s="38"/>
      <c r="Y387" s="38"/>
      <c r="Z387" s="38"/>
    </row>
    <row r="388" spans="1:26" ht="15.75" customHeight="1" x14ac:dyDescent="0.2">
      <c r="A388" s="45" t="s">
        <v>1290</v>
      </c>
      <c r="B388" s="49" t="s">
        <v>1291</v>
      </c>
      <c r="C388" s="49" t="s">
        <v>1292</v>
      </c>
      <c r="D388" s="43"/>
      <c r="E388" s="43" t="s">
        <v>1245</v>
      </c>
      <c r="F388" s="50"/>
      <c r="G388" s="49"/>
      <c r="H388" s="43" t="s">
        <v>1293</v>
      </c>
      <c r="I388" s="37"/>
      <c r="J388" s="37"/>
      <c r="K388" s="37"/>
      <c r="L388" s="37"/>
      <c r="M388" s="37"/>
      <c r="N388" s="51"/>
      <c r="O388" s="35"/>
      <c r="P388" s="38"/>
      <c r="Q388" s="38"/>
      <c r="R388" s="38"/>
      <c r="S388" s="38"/>
      <c r="T388" s="38"/>
      <c r="U388" s="38"/>
      <c r="V388" s="38"/>
      <c r="W388" s="38"/>
      <c r="X388" s="38"/>
      <c r="Y388" s="38"/>
      <c r="Z388" s="38"/>
    </row>
    <row r="389" spans="1:26" ht="15.75" customHeight="1" x14ac:dyDescent="0.2">
      <c r="A389" s="45" t="s">
        <v>1294</v>
      </c>
      <c r="B389" s="49" t="s">
        <v>1295</v>
      </c>
      <c r="C389" s="49" t="s">
        <v>291</v>
      </c>
      <c r="D389" s="43" t="s">
        <v>1296</v>
      </c>
      <c r="E389" s="43" t="s">
        <v>1245</v>
      </c>
      <c r="F389" s="50">
        <v>30.64</v>
      </c>
      <c r="G389" s="49"/>
      <c r="H389" s="43" t="s">
        <v>1297</v>
      </c>
      <c r="I389" s="37">
        <v>100</v>
      </c>
      <c r="J389" s="37">
        <v>100</v>
      </c>
      <c r="K389" s="37">
        <v>0</v>
      </c>
      <c r="L389" s="37">
        <v>0</v>
      </c>
      <c r="M389" s="37" t="s">
        <v>1134</v>
      </c>
      <c r="N389" s="51"/>
      <c r="O389" s="35"/>
      <c r="P389" s="38"/>
      <c r="Q389" s="38"/>
      <c r="R389" s="38"/>
      <c r="S389" s="38"/>
      <c r="T389" s="38"/>
      <c r="U389" s="38"/>
      <c r="V389" s="38"/>
      <c r="W389" s="38"/>
      <c r="X389" s="38"/>
      <c r="Y389" s="38"/>
      <c r="Z389" s="38"/>
    </row>
    <row r="390" spans="1:26" ht="15.75" customHeight="1" x14ac:dyDescent="0.2">
      <c r="A390" s="45" t="s">
        <v>1298</v>
      </c>
      <c r="B390" s="49" t="s">
        <v>1299</v>
      </c>
      <c r="C390" s="49" t="s">
        <v>291</v>
      </c>
      <c r="D390" s="43" t="s">
        <v>1300</v>
      </c>
      <c r="E390" s="43" t="s">
        <v>1245</v>
      </c>
      <c r="F390" s="50"/>
      <c r="G390" s="49"/>
      <c r="H390" s="43"/>
      <c r="I390" s="37">
        <v>100</v>
      </c>
      <c r="J390" s="37">
        <v>100</v>
      </c>
      <c r="K390" s="37">
        <v>0</v>
      </c>
      <c r="L390" s="37">
        <v>0</v>
      </c>
      <c r="M390" s="37" t="s">
        <v>1134</v>
      </c>
      <c r="N390" s="51" t="s">
        <v>1301</v>
      </c>
      <c r="O390" s="35"/>
      <c r="P390" s="38"/>
      <c r="Q390" s="38"/>
      <c r="R390" s="38"/>
      <c r="S390" s="38"/>
      <c r="T390" s="38"/>
      <c r="U390" s="38"/>
      <c r="V390" s="38"/>
      <c r="W390" s="38"/>
      <c r="X390" s="38"/>
      <c r="Y390" s="38"/>
      <c r="Z390" s="38"/>
    </row>
    <row r="391" spans="1:26" ht="15.75" customHeight="1" x14ac:dyDescent="0.2">
      <c r="A391" s="45" t="s">
        <v>1302</v>
      </c>
      <c r="B391" s="49" t="s">
        <v>1303</v>
      </c>
      <c r="C391" s="49" t="s">
        <v>1304</v>
      </c>
      <c r="D391" s="43" t="s">
        <v>1305</v>
      </c>
      <c r="E391" s="43" t="s">
        <v>1306</v>
      </c>
      <c r="F391" s="50"/>
      <c r="G391" s="49"/>
      <c r="H391" s="43"/>
      <c r="I391" s="37"/>
      <c r="J391" s="37"/>
      <c r="K391" s="37"/>
      <c r="L391" s="37"/>
      <c r="M391" s="37"/>
      <c r="N391" s="51"/>
      <c r="O391" s="35"/>
      <c r="P391" s="38"/>
      <c r="Q391" s="38"/>
      <c r="R391" s="38"/>
      <c r="S391" s="38"/>
      <c r="T391" s="38"/>
      <c r="U391" s="38"/>
      <c r="V391" s="38"/>
      <c r="W391" s="38"/>
      <c r="X391" s="38"/>
      <c r="Y391" s="38"/>
      <c r="Z391" s="38"/>
    </row>
    <row r="392" spans="1:26" ht="15.75" customHeight="1" x14ac:dyDescent="0.2">
      <c r="A392" s="45" t="s">
        <v>1307</v>
      </c>
      <c r="B392" s="49" t="s">
        <v>1308</v>
      </c>
      <c r="C392" s="49" t="s">
        <v>1304</v>
      </c>
      <c r="D392" s="43" t="s">
        <v>1309</v>
      </c>
      <c r="E392" s="43" t="s">
        <v>448</v>
      </c>
      <c r="F392" s="50"/>
      <c r="G392" s="49">
        <v>59.7</v>
      </c>
      <c r="H392" s="43" t="s">
        <v>1310</v>
      </c>
      <c r="I392" s="37"/>
      <c r="J392" s="37"/>
      <c r="K392" s="37"/>
      <c r="L392" s="37"/>
      <c r="M392" s="37"/>
      <c r="N392" s="51"/>
      <c r="O392" s="35"/>
      <c r="P392" s="38"/>
      <c r="Q392" s="38"/>
      <c r="R392" s="38"/>
      <c r="S392" s="38"/>
      <c r="T392" s="38"/>
      <c r="U392" s="38"/>
      <c r="V392" s="38"/>
      <c r="W392" s="38"/>
      <c r="X392" s="38"/>
      <c r="Y392" s="38"/>
      <c r="Z392" s="38"/>
    </row>
    <row r="393" spans="1:26" ht="15.75" customHeight="1" x14ac:dyDescent="0.2">
      <c r="A393" s="45" t="s">
        <v>1311</v>
      </c>
      <c r="B393" s="49" t="s">
        <v>1312</v>
      </c>
      <c r="C393" s="49" t="s">
        <v>1304</v>
      </c>
      <c r="D393" s="43" t="s">
        <v>1313</v>
      </c>
      <c r="E393" s="43" t="s">
        <v>448</v>
      </c>
      <c r="F393" s="50">
        <v>54.16</v>
      </c>
      <c r="G393" s="49"/>
      <c r="H393" s="43" t="s">
        <v>1314</v>
      </c>
      <c r="I393" s="37"/>
      <c r="J393" s="37"/>
      <c r="K393" s="37"/>
      <c r="L393" s="37"/>
      <c r="M393" s="37"/>
      <c r="N393" s="51"/>
      <c r="O393" s="35"/>
      <c r="P393" s="38"/>
      <c r="Q393" s="38"/>
      <c r="R393" s="38"/>
      <c r="S393" s="38"/>
      <c r="T393" s="38"/>
      <c r="U393" s="38"/>
      <c r="V393" s="38"/>
      <c r="W393" s="38"/>
      <c r="X393" s="38"/>
      <c r="Y393" s="38"/>
      <c r="Z393" s="38"/>
    </row>
    <row r="394" spans="1:26" ht="85" x14ac:dyDescent="0.2">
      <c r="A394" s="45" t="s">
        <v>1315</v>
      </c>
      <c r="B394" s="49" t="s">
        <v>1316</v>
      </c>
      <c r="C394" s="49" t="s">
        <v>1304</v>
      </c>
      <c r="D394" s="43" t="s">
        <v>1317</v>
      </c>
      <c r="E394" s="43" t="s">
        <v>448</v>
      </c>
      <c r="F394" s="50"/>
      <c r="G394" s="49"/>
      <c r="H394" s="43"/>
      <c r="I394" s="37"/>
      <c r="J394" s="37"/>
      <c r="K394" s="37"/>
      <c r="L394" s="37"/>
      <c r="M394" s="37"/>
      <c r="N394" s="51"/>
      <c r="O394" s="35"/>
      <c r="P394" s="38"/>
      <c r="Q394" s="38"/>
      <c r="R394" s="38"/>
      <c r="S394" s="38"/>
      <c r="T394" s="38"/>
      <c r="U394" s="38"/>
      <c r="V394" s="38"/>
      <c r="W394" s="38"/>
      <c r="X394" s="38"/>
      <c r="Y394" s="38"/>
      <c r="Z394" s="38"/>
    </row>
    <row r="395" spans="1:26" ht="15.75" customHeight="1" x14ac:dyDescent="0.2">
      <c r="A395" s="45" t="s">
        <v>1318</v>
      </c>
      <c r="B395" s="49" t="s">
        <v>1319</v>
      </c>
      <c r="C395" s="49" t="s">
        <v>1304</v>
      </c>
      <c r="D395" s="43" t="s">
        <v>1320</v>
      </c>
      <c r="E395" s="43" t="s">
        <v>448</v>
      </c>
      <c r="F395" s="50"/>
      <c r="G395" s="49"/>
      <c r="H395" s="43"/>
      <c r="I395" s="37"/>
      <c r="J395" s="37"/>
      <c r="K395" s="37"/>
      <c r="L395" s="37"/>
      <c r="M395" s="37"/>
      <c r="N395" s="51"/>
      <c r="O395" s="35"/>
      <c r="P395" s="38"/>
      <c r="Q395" s="38"/>
      <c r="R395" s="38"/>
      <c r="S395" s="38"/>
      <c r="T395" s="38"/>
      <c r="U395" s="38"/>
      <c r="V395" s="38"/>
      <c r="W395" s="38"/>
      <c r="X395" s="38"/>
      <c r="Y395" s="38"/>
      <c r="Z395" s="38"/>
    </row>
    <row r="396" spans="1:26" ht="15.75" customHeight="1" x14ac:dyDescent="0.2">
      <c r="A396" s="45" t="s">
        <v>1321</v>
      </c>
      <c r="B396" s="49" t="s">
        <v>1322</v>
      </c>
      <c r="C396" s="49" t="s">
        <v>1304</v>
      </c>
      <c r="D396" s="43" t="s">
        <v>1323</v>
      </c>
      <c r="E396" s="43" t="s">
        <v>448</v>
      </c>
      <c r="F396" s="50"/>
      <c r="G396" s="49"/>
      <c r="H396" s="43"/>
      <c r="I396" s="37"/>
      <c r="J396" s="37"/>
      <c r="K396" s="37"/>
      <c r="L396" s="37"/>
      <c r="M396" s="37"/>
      <c r="N396" s="51"/>
      <c r="O396" s="35"/>
      <c r="P396" s="38"/>
      <c r="Q396" s="38"/>
      <c r="R396" s="38"/>
      <c r="S396" s="38"/>
      <c r="T396" s="38"/>
      <c r="U396" s="38"/>
      <c r="V396" s="38"/>
      <c r="W396" s="38"/>
      <c r="X396" s="38"/>
      <c r="Y396" s="38"/>
      <c r="Z396" s="38"/>
    </row>
    <row r="397" spans="1:26" ht="15.75" customHeight="1" x14ac:dyDescent="0.2">
      <c r="A397" s="45" t="s">
        <v>1324</v>
      </c>
      <c r="B397" s="49" t="s">
        <v>1325</v>
      </c>
      <c r="C397" s="49" t="s">
        <v>1326</v>
      </c>
      <c r="D397" s="43" t="s">
        <v>1327</v>
      </c>
      <c r="E397" s="43" t="s">
        <v>1328</v>
      </c>
      <c r="F397" s="50">
        <v>2308</v>
      </c>
      <c r="G397" s="49"/>
      <c r="H397" s="43" t="s">
        <v>1329</v>
      </c>
      <c r="I397" s="37">
        <v>100</v>
      </c>
      <c r="J397" s="37">
        <v>0</v>
      </c>
      <c r="K397" s="37">
        <v>0</v>
      </c>
      <c r="L397" s="37">
        <v>0</v>
      </c>
      <c r="M397" s="37" t="s">
        <v>882</v>
      </c>
      <c r="N397" s="51"/>
      <c r="O397" s="35"/>
      <c r="P397" s="38"/>
      <c r="Q397" s="38"/>
      <c r="R397" s="38"/>
      <c r="S397" s="38"/>
      <c r="T397" s="38"/>
      <c r="U397" s="38"/>
      <c r="V397" s="38"/>
      <c r="W397" s="38"/>
      <c r="X397" s="38"/>
      <c r="Y397" s="38"/>
      <c r="Z397" s="38"/>
    </row>
    <row r="398" spans="1:26" ht="114.75" customHeight="1" x14ac:dyDescent="0.2">
      <c r="A398" s="45" t="s">
        <v>1330</v>
      </c>
      <c r="B398" s="49" t="s">
        <v>1331</v>
      </c>
      <c r="C398" s="49" t="s">
        <v>308</v>
      </c>
      <c r="D398" s="43"/>
      <c r="E398" s="43" t="s">
        <v>882</v>
      </c>
      <c r="F398" s="50">
        <v>76</v>
      </c>
      <c r="G398" s="49"/>
      <c r="H398" s="43" t="s">
        <v>1332</v>
      </c>
      <c r="I398" s="37"/>
      <c r="J398" s="37"/>
      <c r="K398" s="37"/>
      <c r="L398" s="37"/>
      <c r="M398" s="37"/>
      <c r="N398" s="51"/>
      <c r="O398" s="35"/>
      <c r="P398" s="38"/>
      <c r="Q398" s="38"/>
      <c r="R398" s="38"/>
      <c r="S398" s="38"/>
      <c r="T398" s="38"/>
      <c r="U398" s="38"/>
      <c r="V398" s="38"/>
      <c r="W398" s="38"/>
      <c r="X398" s="38"/>
      <c r="Y398" s="38"/>
      <c r="Z398" s="38"/>
    </row>
    <row r="399" spans="1:26" ht="114.75" customHeight="1" x14ac:dyDescent="0.2">
      <c r="A399" s="45" t="s">
        <v>1333</v>
      </c>
      <c r="B399" s="49" t="s">
        <v>1334</v>
      </c>
      <c r="C399" s="49" t="s">
        <v>16</v>
      </c>
      <c r="D399" s="43" t="s">
        <v>1335</v>
      </c>
      <c r="E399" s="43" t="s">
        <v>1336</v>
      </c>
      <c r="F399" s="50"/>
      <c r="G399" s="49"/>
      <c r="H399" s="43"/>
      <c r="I399" s="37"/>
      <c r="J399" s="37"/>
      <c r="K399" s="37"/>
      <c r="L399" s="37"/>
      <c r="M399" s="37"/>
      <c r="N399" s="51"/>
      <c r="O399" s="35"/>
      <c r="P399" s="38"/>
      <c r="Q399" s="38"/>
      <c r="R399" s="38"/>
      <c r="S399" s="38"/>
      <c r="T399" s="38"/>
      <c r="U399" s="38"/>
      <c r="V399" s="38"/>
      <c r="W399" s="38"/>
      <c r="X399" s="38"/>
      <c r="Y399" s="38"/>
      <c r="Z399" s="38"/>
    </row>
    <row r="400" spans="1:26" ht="114.75" customHeight="1" x14ac:dyDescent="0.2">
      <c r="A400" s="45" t="s">
        <v>1337</v>
      </c>
      <c r="B400" s="49" t="s">
        <v>1338</v>
      </c>
      <c r="C400" s="49" t="s">
        <v>1339</v>
      </c>
      <c r="D400" s="43" t="s">
        <v>1340</v>
      </c>
      <c r="E400" s="43" t="s">
        <v>1341</v>
      </c>
      <c r="F400" s="50"/>
      <c r="G400" s="49"/>
      <c r="H400" s="43"/>
      <c r="I400" s="37"/>
      <c r="J400" s="37"/>
      <c r="K400" s="37"/>
      <c r="L400" s="37"/>
      <c r="M400" s="37"/>
      <c r="N400" s="51"/>
      <c r="O400" s="35"/>
      <c r="P400" s="38"/>
      <c r="Q400" s="38"/>
      <c r="R400" s="38"/>
      <c r="S400" s="38"/>
      <c r="T400" s="38"/>
      <c r="U400" s="38"/>
      <c r="V400" s="38"/>
      <c r="W400" s="38"/>
      <c r="X400" s="38"/>
      <c r="Y400" s="38"/>
      <c r="Z400" s="38"/>
    </row>
    <row r="401" spans="1:26" ht="60" customHeight="1" x14ac:dyDescent="0.2">
      <c r="A401" s="45" t="s">
        <v>1342</v>
      </c>
      <c r="B401" s="49" t="s">
        <v>1343</v>
      </c>
      <c r="C401" s="49" t="s">
        <v>1344</v>
      </c>
      <c r="D401" s="43" t="s">
        <v>1345</v>
      </c>
      <c r="E401" s="43" t="s">
        <v>1346</v>
      </c>
      <c r="F401" s="50">
        <v>48.55</v>
      </c>
      <c r="G401" s="49"/>
      <c r="H401" s="43" t="s">
        <v>1347</v>
      </c>
      <c r="I401" s="37"/>
      <c r="J401" s="37"/>
      <c r="K401" s="37"/>
      <c r="L401" s="37"/>
      <c r="M401" s="37" t="s">
        <v>1348</v>
      </c>
      <c r="N401" s="51"/>
      <c r="O401" s="35"/>
      <c r="P401" s="38"/>
      <c r="Q401" s="38"/>
      <c r="R401" s="38"/>
      <c r="S401" s="38"/>
      <c r="T401" s="38"/>
      <c r="U401" s="38"/>
      <c r="V401" s="38"/>
      <c r="W401" s="38"/>
      <c r="X401" s="38"/>
      <c r="Y401" s="38"/>
      <c r="Z401" s="38"/>
    </row>
    <row r="402" spans="1:26" ht="60" customHeight="1" x14ac:dyDescent="0.2">
      <c r="A402" s="45" t="s">
        <v>1349</v>
      </c>
      <c r="B402" s="49" t="s">
        <v>1350</v>
      </c>
      <c r="C402" s="49" t="s">
        <v>571</v>
      </c>
      <c r="D402" s="43" t="s">
        <v>1351</v>
      </c>
      <c r="E402" s="43" t="s">
        <v>1352</v>
      </c>
      <c r="F402" s="50">
        <v>19</v>
      </c>
      <c r="G402" s="49"/>
      <c r="H402" s="43" t="s">
        <v>999</v>
      </c>
      <c r="I402" s="37">
        <v>0</v>
      </c>
      <c r="J402" s="37">
        <v>0</v>
      </c>
      <c r="K402" s="37">
        <v>100</v>
      </c>
      <c r="L402" s="37">
        <v>0</v>
      </c>
      <c r="M402" s="37" t="s">
        <v>385</v>
      </c>
      <c r="N402" s="51" t="s">
        <v>1353</v>
      </c>
      <c r="O402" s="35"/>
      <c r="P402" s="38"/>
      <c r="Q402" s="38"/>
      <c r="R402" s="38"/>
      <c r="S402" s="38"/>
      <c r="T402" s="38"/>
      <c r="U402" s="38"/>
      <c r="V402" s="38"/>
      <c r="W402" s="38"/>
      <c r="X402" s="38"/>
      <c r="Y402" s="38"/>
      <c r="Z402" s="38"/>
    </row>
    <row r="403" spans="1:26" ht="60" customHeight="1" x14ac:dyDescent="0.2">
      <c r="A403" s="4" t="s">
        <v>1354</v>
      </c>
      <c r="B403" s="4" t="s">
        <v>1355</v>
      </c>
      <c r="C403" s="4" t="s">
        <v>610</v>
      </c>
      <c r="D403" s="4"/>
      <c r="E403" s="4" t="s">
        <v>577</v>
      </c>
      <c r="F403" s="4"/>
      <c r="G403" s="4"/>
      <c r="H403" s="4"/>
      <c r="I403" s="5"/>
      <c r="J403" s="5"/>
      <c r="K403" s="5"/>
      <c r="L403" s="5"/>
      <c r="M403" s="5"/>
      <c r="N403" s="5"/>
      <c r="O403" s="35"/>
      <c r="P403" s="38"/>
      <c r="Q403" s="38"/>
      <c r="R403" s="38"/>
      <c r="S403" s="38"/>
      <c r="T403" s="38"/>
      <c r="U403" s="38"/>
      <c r="V403" s="38"/>
      <c r="W403" s="38"/>
      <c r="X403" s="38"/>
      <c r="Y403" s="38"/>
      <c r="Z403" s="38"/>
    </row>
    <row r="404" spans="1:26" ht="15.75" customHeight="1" x14ac:dyDescent="0.2">
      <c r="A404" s="4" t="s">
        <v>1356</v>
      </c>
      <c r="B404" s="4" t="s">
        <v>1357</v>
      </c>
      <c r="C404" s="4" t="s">
        <v>291</v>
      </c>
      <c r="D404" s="4" t="s">
        <v>1358</v>
      </c>
      <c r="E404" s="4" t="s">
        <v>752</v>
      </c>
      <c r="F404" s="4"/>
      <c r="G404" s="4"/>
      <c r="H404" s="4"/>
      <c r="I404" s="5"/>
      <c r="J404" s="5"/>
      <c r="K404" s="5"/>
      <c r="L404" s="5"/>
      <c r="M404" s="5"/>
      <c r="N404" s="5"/>
      <c r="O404" s="35"/>
      <c r="P404" s="15"/>
      <c r="Q404" s="15"/>
      <c r="R404" s="15"/>
      <c r="S404" s="15"/>
      <c r="T404" s="15"/>
      <c r="U404" s="15"/>
      <c r="V404" s="15"/>
      <c r="W404" s="15"/>
      <c r="X404" s="15"/>
      <c r="Y404" s="15"/>
      <c r="Z404" s="15"/>
    </row>
    <row r="405" spans="1:26" ht="15.75" customHeight="1" x14ac:dyDescent="0.2">
      <c r="A405" s="52" t="s">
        <v>1359</v>
      </c>
      <c r="B405" s="52" t="s">
        <v>1360</v>
      </c>
      <c r="C405" s="52" t="s">
        <v>873</v>
      </c>
      <c r="D405" s="52"/>
      <c r="E405" s="52"/>
      <c r="F405" s="52"/>
      <c r="G405" s="52" t="s">
        <v>42</v>
      </c>
      <c r="H405" s="52"/>
      <c r="I405" s="53"/>
      <c r="J405" s="53"/>
      <c r="K405" s="53"/>
      <c r="L405" s="53"/>
      <c r="M405" s="53"/>
      <c r="N405" s="53"/>
      <c r="O405" s="35"/>
      <c r="P405" s="38"/>
      <c r="Q405" s="38"/>
      <c r="R405" s="38"/>
      <c r="S405" s="38"/>
      <c r="T405" s="38"/>
      <c r="U405" s="38"/>
      <c r="V405" s="38"/>
      <c r="W405" s="38"/>
      <c r="X405" s="38"/>
      <c r="Y405" s="38"/>
      <c r="Z405" s="38"/>
    </row>
    <row r="406" spans="1:26" ht="15.75" customHeight="1" x14ac:dyDescent="0.2">
      <c r="A406" s="52" t="s">
        <v>1361</v>
      </c>
      <c r="B406" s="52" t="s">
        <v>1362</v>
      </c>
      <c r="C406" s="52" t="s">
        <v>1363</v>
      </c>
      <c r="D406" s="52"/>
      <c r="E406" s="52"/>
      <c r="F406" s="52"/>
      <c r="G406" s="52" t="s">
        <v>42</v>
      </c>
      <c r="H406" s="52"/>
      <c r="I406" s="53"/>
      <c r="J406" s="53"/>
      <c r="K406" s="53"/>
      <c r="L406" s="53"/>
      <c r="M406" s="53"/>
      <c r="N406" s="53"/>
      <c r="O406" s="35"/>
      <c r="P406" s="38"/>
      <c r="Q406" s="38"/>
      <c r="R406" s="38"/>
      <c r="S406" s="38"/>
      <c r="T406" s="38"/>
      <c r="U406" s="38"/>
      <c r="V406" s="38"/>
      <c r="W406" s="38"/>
      <c r="X406" s="38"/>
      <c r="Y406" s="38"/>
      <c r="Z406" s="38"/>
    </row>
    <row r="407" spans="1:26" ht="15.75" customHeight="1" x14ac:dyDescent="0.2">
      <c r="A407" s="52" t="s">
        <v>1364</v>
      </c>
      <c r="B407" s="54" t="s">
        <v>1365</v>
      </c>
      <c r="C407" s="52" t="s">
        <v>873</v>
      </c>
      <c r="D407" s="52"/>
      <c r="E407" s="52"/>
      <c r="F407" s="52"/>
      <c r="G407" s="52" t="s">
        <v>42</v>
      </c>
      <c r="H407" s="52"/>
      <c r="I407" s="53"/>
      <c r="J407" s="53"/>
      <c r="K407" s="53"/>
      <c r="L407" s="53"/>
      <c r="M407" s="53"/>
      <c r="N407" s="53"/>
      <c r="O407" s="4"/>
      <c r="P407" s="38"/>
      <c r="Q407" s="38"/>
      <c r="R407" s="38"/>
      <c r="S407" s="38"/>
      <c r="T407" s="38"/>
      <c r="U407" s="38"/>
      <c r="V407" s="38"/>
      <c r="W407" s="38"/>
      <c r="X407" s="38"/>
      <c r="Y407" s="38"/>
      <c r="Z407" s="38"/>
    </row>
    <row r="408" spans="1:26" ht="15.75" customHeight="1" x14ac:dyDescent="0.2">
      <c r="A408" s="52" t="s">
        <v>1366</v>
      </c>
      <c r="B408" s="52" t="s">
        <v>1367</v>
      </c>
      <c r="C408" s="52" t="s">
        <v>1368</v>
      </c>
      <c r="D408" s="52"/>
      <c r="E408" s="52"/>
      <c r="F408" s="52"/>
      <c r="G408" s="52" t="s">
        <v>42</v>
      </c>
      <c r="H408" s="52"/>
      <c r="I408" s="53"/>
      <c r="J408" s="53"/>
      <c r="K408" s="53"/>
      <c r="L408" s="53"/>
      <c r="M408" s="53"/>
      <c r="N408" s="53"/>
      <c r="O408" s="4"/>
      <c r="P408" s="38"/>
      <c r="Q408" s="38"/>
      <c r="R408" s="38"/>
      <c r="S408" s="38"/>
      <c r="T408" s="38"/>
      <c r="U408" s="38"/>
      <c r="V408" s="38"/>
      <c r="W408" s="38"/>
      <c r="X408" s="38"/>
      <c r="Y408" s="38"/>
      <c r="Z408" s="38"/>
    </row>
    <row r="409" spans="1:26" ht="15.75" customHeight="1" x14ac:dyDescent="0.2">
      <c r="A409" s="52" t="s">
        <v>1369</v>
      </c>
      <c r="B409" s="52" t="s">
        <v>1370</v>
      </c>
      <c r="C409" s="52" t="s">
        <v>1368</v>
      </c>
      <c r="D409" s="55"/>
      <c r="E409" s="52"/>
      <c r="F409" s="52"/>
      <c r="G409" s="52" t="s">
        <v>42</v>
      </c>
      <c r="H409" s="52"/>
      <c r="I409" s="53"/>
      <c r="J409" s="53"/>
      <c r="K409" s="53"/>
      <c r="L409" s="53"/>
      <c r="M409" s="53"/>
      <c r="N409" s="53"/>
      <c r="O409" s="52"/>
      <c r="P409" s="38"/>
      <c r="Q409" s="38"/>
      <c r="R409" s="38"/>
      <c r="S409" s="38"/>
      <c r="T409" s="38"/>
      <c r="U409" s="38"/>
      <c r="V409" s="38"/>
      <c r="W409" s="38"/>
      <c r="X409" s="38"/>
      <c r="Y409" s="38"/>
      <c r="Z409" s="38"/>
    </row>
    <row r="410" spans="1:26" ht="15.75" customHeight="1" x14ac:dyDescent="0.2">
      <c r="A410" s="52" t="s">
        <v>1371</v>
      </c>
      <c r="B410" s="52" t="s">
        <v>1372</v>
      </c>
      <c r="C410" s="52" t="s">
        <v>1368</v>
      </c>
      <c r="D410" s="52"/>
      <c r="E410" s="52"/>
      <c r="F410" s="52"/>
      <c r="G410" s="52" t="s">
        <v>42</v>
      </c>
      <c r="H410" s="52"/>
      <c r="I410" s="53"/>
      <c r="J410" s="53"/>
      <c r="K410" s="53"/>
      <c r="L410" s="53"/>
      <c r="M410" s="53"/>
      <c r="N410" s="53"/>
      <c r="O410" s="52"/>
      <c r="P410" s="38"/>
      <c r="Q410" s="38"/>
      <c r="R410" s="38"/>
      <c r="S410" s="38"/>
      <c r="T410" s="38"/>
      <c r="U410" s="38"/>
      <c r="V410" s="38"/>
      <c r="W410" s="38"/>
      <c r="X410" s="38"/>
      <c r="Y410" s="38"/>
      <c r="Z410" s="38"/>
    </row>
    <row r="411" spans="1:26" ht="16.5" customHeight="1" x14ac:dyDescent="0.2">
      <c r="A411" s="52" t="s">
        <v>1373</v>
      </c>
      <c r="B411" s="52" t="s">
        <v>1374</v>
      </c>
      <c r="C411" s="52" t="s">
        <v>1368</v>
      </c>
      <c r="D411" s="52"/>
      <c r="E411" s="52"/>
      <c r="F411" s="52"/>
      <c r="G411" s="52" t="s">
        <v>42</v>
      </c>
      <c r="H411" s="52"/>
      <c r="I411" s="53"/>
      <c r="J411" s="53"/>
      <c r="K411" s="53"/>
      <c r="L411" s="53"/>
      <c r="M411" s="53"/>
      <c r="N411" s="53"/>
      <c r="O411" s="52"/>
      <c r="P411" s="38"/>
      <c r="Q411" s="38"/>
      <c r="R411" s="38"/>
      <c r="S411" s="38"/>
      <c r="T411" s="38"/>
      <c r="U411" s="38"/>
      <c r="V411" s="38"/>
      <c r="W411" s="38"/>
      <c r="X411" s="38"/>
      <c r="Y411" s="38"/>
      <c r="Z411" s="38"/>
    </row>
    <row r="412" spans="1:26" ht="15.75" customHeight="1" x14ac:dyDescent="0.2">
      <c r="A412" s="52" t="s">
        <v>1375</v>
      </c>
      <c r="B412" s="52" t="s">
        <v>1376</v>
      </c>
      <c r="C412" s="52" t="s">
        <v>1368</v>
      </c>
      <c r="D412" s="52"/>
      <c r="E412" s="52"/>
      <c r="F412" s="52"/>
      <c r="G412" s="52" t="s">
        <v>42</v>
      </c>
      <c r="H412" s="52"/>
      <c r="I412" s="53"/>
      <c r="J412" s="53"/>
      <c r="K412" s="53"/>
      <c r="L412" s="53"/>
      <c r="M412" s="53"/>
      <c r="N412" s="53"/>
      <c r="O412" s="52"/>
      <c r="P412" s="38"/>
      <c r="Q412" s="38"/>
      <c r="R412" s="38"/>
      <c r="S412" s="38"/>
      <c r="T412" s="38"/>
      <c r="U412" s="38"/>
      <c r="V412" s="38"/>
      <c r="W412" s="38"/>
      <c r="X412" s="38"/>
      <c r="Y412" s="38"/>
      <c r="Z412" s="38"/>
    </row>
    <row r="413" spans="1:26" ht="15.75" customHeight="1" x14ac:dyDescent="0.2">
      <c r="A413" s="52" t="s">
        <v>1377</v>
      </c>
      <c r="B413" s="52" t="s">
        <v>1378</v>
      </c>
      <c r="C413" s="52" t="s">
        <v>16</v>
      </c>
      <c r="D413" s="52"/>
      <c r="E413" s="52"/>
      <c r="F413" s="52"/>
      <c r="G413" s="52" t="s">
        <v>42</v>
      </c>
      <c r="H413" s="52"/>
      <c r="I413" s="53"/>
      <c r="J413" s="53"/>
      <c r="K413" s="53"/>
      <c r="L413" s="53"/>
      <c r="M413" s="53"/>
      <c r="N413" s="53"/>
      <c r="O413" s="52"/>
      <c r="P413" s="38"/>
      <c r="Q413" s="38"/>
      <c r="R413" s="38"/>
      <c r="S413" s="38"/>
      <c r="T413" s="38"/>
      <c r="U413" s="38"/>
      <c r="V413" s="38"/>
      <c r="W413" s="38"/>
      <c r="X413" s="38"/>
      <c r="Y413" s="38"/>
      <c r="Z413" s="38"/>
    </row>
    <row r="414" spans="1:26" ht="15.75" customHeight="1" x14ac:dyDescent="0.2">
      <c r="A414" s="52" t="s">
        <v>1379</v>
      </c>
      <c r="B414" s="52" t="s">
        <v>1380</v>
      </c>
      <c r="C414" s="52" t="s">
        <v>1381</v>
      </c>
      <c r="D414" s="52" t="s">
        <v>1382</v>
      </c>
      <c r="E414" s="52" t="s">
        <v>1383</v>
      </c>
      <c r="F414" s="52">
        <v>23.15</v>
      </c>
      <c r="G414" s="52" t="s">
        <v>42</v>
      </c>
      <c r="H414" s="52"/>
      <c r="I414" s="53"/>
      <c r="J414" s="53"/>
      <c r="K414" s="53"/>
      <c r="L414" s="53"/>
      <c r="M414" s="53"/>
      <c r="N414" s="53"/>
      <c r="O414" s="52"/>
      <c r="P414" s="6"/>
      <c r="Q414" s="6"/>
      <c r="R414" s="6"/>
      <c r="S414" s="6"/>
      <c r="T414" s="6"/>
      <c r="U414" s="6"/>
      <c r="V414" s="6"/>
      <c r="W414" s="6"/>
      <c r="X414" s="6"/>
      <c r="Y414" s="6"/>
      <c r="Z414" s="6"/>
    </row>
    <row r="415" spans="1:26" ht="15.75" customHeight="1" x14ac:dyDescent="0.2">
      <c r="A415" s="52" t="s">
        <v>1384</v>
      </c>
      <c r="B415" s="52" t="s">
        <v>1385</v>
      </c>
      <c r="C415" s="52" t="s">
        <v>873</v>
      </c>
      <c r="D415" s="54" t="s">
        <v>1386</v>
      </c>
      <c r="E415" s="52" t="s">
        <v>1383</v>
      </c>
      <c r="F415" s="52"/>
      <c r="G415" s="52" t="s">
        <v>42</v>
      </c>
      <c r="H415" s="52"/>
      <c r="I415" s="53"/>
      <c r="J415" s="53"/>
      <c r="K415" s="53"/>
      <c r="L415" s="53"/>
      <c r="M415" s="53"/>
      <c r="N415" s="53"/>
      <c r="O415" s="52"/>
      <c r="P415" s="6"/>
      <c r="Q415" s="6"/>
      <c r="R415" s="6"/>
      <c r="S415" s="6"/>
      <c r="T415" s="6"/>
      <c r="U415" s="6"/>
      <c r="V415" s="6"/>
      <c r="W415" s="6"/>
      <c r="X415" s="6"/>
      <c r="Y415" s="6"/>
      <c r="Z415" s="6"/>
    </row>
    <row r="416" spans="1:26" ht="15.75" customHeight="1" x14ac:dyDescent="0.2">
      <c r="A416" s="52" t="s">
        <v>1387</v>
      </c>
      <c r="B416" s="52" t="s">
        <v>1388</v>
      </c>
      <c r="C416" s="52" t="s">
        <v>873</v>
      </c>
      <c r="D416" s="54" t="s">
        <v>1386</v>
      </c>
      <c r="E416" s="52" t="s">
        <v>1383</v>
      </c>
      <c r="F416" s="52"/>
      <c r="G416" s="52" t="s">
        <v>42</v>
      </c>
      <c r="H416" s="52"/>
      <c r="I416" s="53"/>
      <c r="J416" s="53"/>
      <c r="K416" s="53"/>
      <c r="L416" s="53"/>
      <c r="M416" s="53"/>
      <c r="N416" s="53"/>
      <c r="O416" s="52"/>
      <c r="P416" s="55"/>
      <c r="Q416" s="55"/>
      <c r="R416" s="55"/>
      <c r="S416" s="55"/>
      <c r="T416" s="55"/>
      <c r="U416" s="55"/>
      <c r="V416" s="55"/>
      <c r="W416" s="55"/>
      <c r="X416" s="55"/>
      <c r="Y416" s="55"/>
      <c r="Z416" s="55"/>
    </row>
    <row r="417" spans="1:26" ht="15.75" customHeight="1" x14ac:dyDescent="0.2">
      <c r="A417" s="52" t="s">
        <v>1389</v>
      </c>
      <c r="B417" s="52" t="s">
        <v>1390</v>
      </c>
      <c r="C417" s="52" t="s">
        <v>873</v>
      </c>
      <c r="D417" s="56" t="s">
        <v>1391</v>
      </c>
      <c r="E417" s="52" t="s">
        <v>1383</v>
      </c>
      <c r="F417" s="52"/>
      <c r="G417" s="52"/>
      <c r="H417" s="52"/>
      <c r="I417" s="53"/>
      <c r="J417" s="53"/>
      <c r="K417" s="53"/>
      <c r="L417" s="53"/>
      <c r="M417" s="53"/>
      <c r="N417" s="53"/>
      <c r="O417" s="52"/>
      <c r="P417" s="55"/>
      <c r="Q417" s="55"/>
      <c r="R417" s="55"/>
      <c r="S417" s="55"/>
      <c r="T417" s="55"/>
      <c r="U417" s="55"/>
      <c r="V417" s="55"/>
      <c r="W417" s="55"/>
      <c r="X417" s="55"/>
      <c r="Y417" s="55"/>
      <c r="Z417" s="55"/>
    </row>
    <row r="418" spans="1:26" ht="15.75" customHeight="1" x14ac:dyDescent="0.2">
      <c r="A418" s="52" t="s">
        <v>1392</v>
      </c>
      <c r="B418" s="52" t="s">
        <v>1393</v>
      </c>
      <c r="C418" s="52" t="s">
        <v>597</v>
      </c>
      <c r="D418" s="56"/>
      <c r="E418" s="52" t="s">
        <v>1383</v>
      </c>
      <c r="F418" s="52">
        <v>11.93</v>
      </c>
      <c r="G418" s="52"/>
      <c r="H418" s="52"/>
      <c r="I418" s="53"/>
      <c r="J418" s="53"/>
      <c r="K418" s="53"/>
      <c r="L418" s="53"/>
      <c r="M418" s="53"/>
      <c r="N418" s="53"/>
      <c r="O418" s="52"/>
      <c r="P418" s="55"/>
      <c r="Q418" s="55"/>
      <c r="R418" s="55"/>
      <c r="S418" s="55"/>
      <c r="T418" s="55"/>
      <c r="U418" s="55"/>
      <c r="V418" s="55"/>
      <c r="W418" s="55"/>
      <c r="X418" s="55"/>
      <c r="Y418" s="55"/>
      <c r="Z418" s="55"/>
    </row>
    <row r="419" spans="1:26" ht="15.75" customHeight="1" x14ac:dyDescent="0.2">
      <c r="A419" s="52" t="s">
        <v>1394</v>
      </c>
      <c r="B419" s="52" t="s">
        <v>1395</v>
      </c>
      <c r="C419" s="52" t="s">
        <v>597</v>
      </c>
      <c r="D419" s="56"/>
      <c r="E419" s="52" t="s">
        <v>1383</v>
      </c>
      <c r="F419" s="52">
        <v>11.93</v>
      </c>
      <c r="G419" s="52"/>
      <c r="H419" s="52"/>
      <c r="I419" s="53"/>
      <c r="J419" s="53"/>
      <c r="K419" s="53"/>
      <c r="L419" s="53"/>
      <c r="M419" s="53"/>
      <c r="N419" s="53"/>
      <c r="O419" s="52"/>
      <c r="P419" s="55"/>
      <c r="Q419" s="55"/>
      <c r="R419" s="55"/>
      <c r="S419" s="55"/>
      <c r="T419" s="55"/>
      <c r="U419" s="55"/>
      <c r="V419" s="55"/>
      <c r="W419" s="55"/>
      <c r="X419" s="55"/>
      <c r="Y419" s="55"/>
      <c r="Z419" s="55"/>
    </row>
    <row r="420" spans="1:26" ht="15.75" customHeight="1" x14ac:dyDescent="0.2">
      <c r="A420" s="52" t="s">
        <v>1396</v>
      </c>
      <c r="B420" s="52" t="s">
        <v>1397</v>
      </c>
      <c r="C420" s="52" t="s">
        <v>597</v>
      </c>
      <c r="D420" s="56"/>
      <c r="E420" s="52" t="s">
        <v>1383</v>
      </c>
      <c r="F420" s="52">
        <v>11.93</v>
      </c>
      <c r="G420" s="52"/>
      <c r="H420" s="52"/>
      <c r="I420" s="53"/>
      <c r="J420" s="53"/>
      <c r="K420" s="53"/>
      <c r="L420" s="53"/>
      <c r="M420" s="53"/>
      <c r="N420" s="53"/>
      <c r="O420" s="52"/>
      <c r="P420" s="55"/>
      <c r="Q420" s="55"/>
      <c r="R420" s="55"/>
      <c r="S420" s="55"/>
      <c r="T420" s="55"/>
      <c r="U420" s="55"/>
      <c r="V420" s="55"/>
      <c r="W420" s="55"/>
      <c r="X420" s="55"/>
      <c r="Y420" s="55"/>
      <c r="Z420" s="55"/>
    </row>
    <row r="421" spans="1:26" ht="15.75" customHeight="1" x14ac:dyDescent="0.2">
      <c r="A421" s="52" t="s">
        <v>1398</v>
      </c>
      <c r="B421" s="52" t="s">
        <v>1399</v>
      </c>
      <c r="C421" s="52" t="s">
        <v>597</v>
      </c>
      <c r="D421" s="56"/>
      <c r="E421" s="52" t="s">
        <v>1383</v>
      </c>
      <c r="F421" s="52">
        <v>11.93</v>
      </c>
      <c r="G421" s="52"/>
      <c r="H421" s="52"/>
      <c r="I421" s="53"/>
      <c r="J421" s="53"/>
      <c r="K421" s="53"/>
      <c r="L421" s="53"/>
      <c r="M421" s="53"/>
      <c r="N421" s="53"/>
      <c r="O421" s="52"/>
      <c r="P421" s="55"/>
      <c r="Q421" s="55"/>
      <c r="R421" s="55"/>
      <c r="S421" s="55"/>
      <c r="T421" s="55"/>
      <c r="U421" s="55"/>
      <c r="V421" s="55"/>
      <c r="W421" s="55"/>
      <c r="X421" s="55"/>
      <c r="Y421" s="55"/>
      <c r="Z421" s="55"/>
    </row>
    <row r="422" spans="1:26" ht="15.75" customHeight="1" x14ac:dyDescent="0.2">
      <c r="A422" s="52" t="s">
        <v>1400</v>
      </c>
      <c r="B422" s="52" t="s">
        <v>1401</v>
      </c>
      <c r="C422" s="52" t="s">
        <v>855</v>
      </c>
      <c r="D422" s="56"/>
      <c r="E422" s="52" t="s">
        <v>1383</v>
      </c>
      <c r="F422" s="52">
        <v>11.93</v>
      </c>
      <c r="G422" s="52" t="s">
        <v>42</v>
      </c>
      <c r="H422" s="52"/>
      <c r="I422" s="53"/>
      <c r="J422" s="53"/>
      <c r="K422" s="53"/>
      <c r="L422" s="53"/>
      <c r="M422" s="53"/>
      <c r="N422" s="53"/>
      <c r="O422" s="52"/>
      <c r="P422" s="55"/>
      <c r="Q422" s="55"/>
      <c r="R422" s="55"/>
      <c r="S422" s="55"/>
      <c r="T422" s="55"/>
      <c r="U422" s="55"/>
      <c r="V422" s="55"/>
      <c r="W422" s="55"/>
      <c r="X422" s="55"/>
      <c r="Y422" s="55"/>
      <c r="Z422" s="55"/>
    </row>
    <row r="423" spans="1:26" ht="15.75" customHeight="1" x14ac:dyDescent="0.2">
      <c r="A423" s="52" t="s">
        <v>1402</v>
      </c>
      <c r="B423" s="52" t="s">
        <v>1403</v>
      </c>
      <c r="C423" s="52" t="s">
        <v>597</v>
      </c>
      <c r="D423" s="56"/>
      <c r="E423" s="52" t="s">
        <v>1383</v>
      </c>
      <c r="F423" s="52">
        <v>11.93</v>
      </c>
      <c r="G423" s="52"/>
      <c r="H423" s="52"/>
      <c r="I423" s="53"/>
      <c r="J423" s="53"/>
      <c r="K423" s="53"/>
      <c r="L423" s="53"/>
      <c r="M423" s="53"/>
      <c r="N423" s="53"/>
      <c r="O423" s="52"/>
      <c r="P423" s="55"/>
      <c r="Q423" s="55"/>
      <c r="R423" s="55"/>
      <c r="S423" s="55"/>
      <c r="T423" s="55"/>
      <c r="U423" s="55"/>
      <c r="V423" s="55"/>
      <c r="W423" s="55"/>
      <c r="X423" s="55"/>
      <c r="Y423" s="55"/>
      <c r="Z423" s="55"/>
    </row>
    <row r="424" spans="1:26" ht="15.75" customHeight="1" x14ac:dyDescent="0.2">
      <c r="A424" s="52" t="s">
        <v>1404</v>
      </c>
      <c r="B424" s="52" t="s">
        <v>1405</v>
      </c>
      <c r="C424" s="52" t="s">
        <v>597</v>
      </c>
      <c r="D424" s="56"/>
      <c r="E424" s="52" t="s">
        <v>1383</v>
      </c>
      <c r="F424" s="52">
        <v>11.93</v>
      </c>
      <c r="G424" s="52"/>
      <c r="H424" s="52"/>
      <c r="I424" s="53"/>
      <c r="J424" s="53"/>
      <c r="K424" s="53"/>
      <c r="L424" s="53"/>
      <c r="M424" s="53"/>
      <c r="N424" s="53"/>
      <c r="O424" s="52"/>
      <c r="P424" s="55"/>
      <c r="Q424" s="55"/>
      <c r="R424" s="55"/>
      <c r="S424" s="55"/>
      <c r="T424" s="55"/>
      <c r="U424" s="55"/>
      <c r="V424" s="55"/>
      <c r="W424" s="55"/>
      <c r="X424" s="55"/>
      <c r="Y424" s="55"/>
      <c r="Z424" s="55"/>
    </row>
    <row r="425" spans="1:26" ht="15.75" customHeight="1" x14ac:dyDescent="0.2">
      <c r="A425" s="52" t="s">
        <v>1406</v>
      </c>
      <c r="B425" s="52" t="s">
        <v>1407</v>
      </c>
      <c r="C425" s="52" t="s">
        <v>597</v>
      </c>
      <c r="D425" s="56"/>
      <c r="E425" s="52" t="s">
        <v>1383</v>
      </c>
      <c r="F425" s="52">
        <v>11.93</v>
      </c>
      <c r="G425" s="52"/>
      <c r="H425" s="52"/>
      <c r="I425" s="53"/>
      <c r="J425" s="53"/>
      <c r="K425" s="53"/>
      <c r="L425" s="53"/>
      <c r="M425" s="53"/>
      <c r="N425" s="53"/>
      <c r="O425" s="52"/>
      <c r="P425" s="55"/>
      <c r="Q425" s="55"/>
      <c r="R425" s="55"/>
      <c r="S425" s="55"/>
      <c r="T425" s="55"/>
      <c r="U425" s="55"/>
      <c r="V425" s="55"/>
      <c r="W425" s="55"/>
      <c r="X425" s="55"/>
      <c r="Y425" s="55"/>
      <c r="Z425" s="55"/>
    </row>
    <row r="426" spans="1:26" ht="39" customHeight="1" x14ac:dyDescent="0.2">
      <c r="A426" s="52" t="s">
        <v>1408</v>
      </c>
      <c r="B426" s="52" t="s">
        <v>1409</v>
      </c>
      <c r="C426" s="52" t="s">
        <v>597</v>
      </c>
      <c r="D426" s="56"/>
      <c r="E426" s="52" t="s">
        <v>1383</v>
      </c>
      <c r="F426" s="52">
        <v>11.93</v>
      </c>
      <c r="G426" s="52"/>
      <c r="H426" s="52"/>
      <c r="I426" s="53"/>
      <c r="J426" s="53"/>
      <c r="K426" s="53"/>
      <c r="L426" s="53"/>
      <c r="M426" s="53"/>
      <c r="N426" s="53"/>
      <c r="O426" s="52"/>
      <c r="P426" s="55"/>
      <c r="Q426" s="55"/>
      <c r="R426" s="55"/>
      <c r="S426" s="55"/>
      <c r="T426" s="55"/>
      <c r="U426" s="55"/>
      <c r="V426" s="55"/>
      <c r="W426" s="55"/>
      <c r="X426" s="55"/>
      <c r="Y426" s="55"/>
      <c r="Z426" s="55"/>
    </row>
    <row r="427" spans="1:26" ht="70.5" customHeight="1" x14ac:dyDescent="0.2">
      <c r="A427" s="52" t="s">
        <v>1410</v>
      </c>
      <c r="B427" s="52" t="s">
        <v>1411</v>
      </c>
      <c r="C427" s="52" t="s">
        <v>597</v>
      </c>
      <c r="D427" s="56"/>
      <c r="E427" s="52" t="s">
        <v>1383</v>
      </c>
      <c r="F427" s="52">
        <v>11.93</v>
      </c>
      <c r="G427" s="52"/>
      <c r="H427" s="52"/>
      <c r="I427" s="53"/>
      <c r="J427" s="53"/>
      <c r="K427" s="53"/>
      <c r="L427" s="53"/>
      <c r="M427" s="53"/>
      <c r="N427" s="53"/>
      <c r="O427" s="52"/>
      <c r="P427" s="55"/>
      <c r="Q427" s="55"/>
      <c r="R427" s="55"/>
      <c r="S427" s="55"/>
      <c r="T427" s="55"/>
      <c r="U427" s="55"/>
      <c r="V427" s="55"/>
      <c r="W427" s="55"/>
      <c r="X427" s="55"/>
      <c r="Y427" s="55"/>
      <c r="Z427" s="55"/>
    </row>
    <row r="428" spans="1:26" ht="0.75" customHeight="1" x14ac:dyDescent="0.2">
      <c r="A428" s="52" t="s">
        <v>1412</v>
      </c>
      <c r="B428" s="52" t="s">
        <v>1413</v>
      </c>
      <c r="C428" s="52" t="s">
        <v>597</v>
      </c>
      <c r="D428" s="56"/>
      <c r="E428" s="52" t="s">
        <v>1383</v>
      </c>
      <c r="F428" s="52">
        <v>11.93</v>
      </c>
      <c r="G428" s="52"/>
      <c r="H428" s="52"/>
      <c r="I428" s="53"/>
      <c r="J428" s="53"/>
      <c r="K428" s="53"/>
      <c r="L428" s="53"/>
      <c r="M428" s="53"/>
      <c r="N428" s="53"/>
      <c r="O428" s="52"/>
      <c r="P428" s="55"/>
      <c r="Q428" s="55"/>
      <c r="R428" s="55"/>
      <c r="S428" s="55"/>
      <c r="T428" s="55"/>
      <c r="U428" s="55"/>
      <c r="V428" s="55"/>
      <c r="W428" s="55"/>
      <c r="X428" s="55"/>
      <c r="Y428" s="55"/>
      <c r="Z428" s="55"/>
    </row>
    <row r="429" spans="1:26" ht="15.75" customHeight="1" x14ac:dyDescent="0.2">
      <c r="A429" s="52" t="s">
        <v>1414</v>
      </c>
      <c r="B429" s="52" t="s">
        <v>1405</v>
      </c>
      <c r="C429" s="52" t="s">
        <v>873</v>
      </c>
      <c r="D429" s="56"/>
      <c r="E429" s="52" t="s">
        <v>1383</v>
      </c>
      <c r="F429" s="52"/>
      <c r="G429" s="52"/>
      <c r="H429" s="52"/>
      <c r="I429" s="53"/>
      <c r="J429" s="53"/>
      <c r="K429" s="53"/>
      <c r="L429" s="53"/>
      <c r="M429" s="53"/>
      <c r="N429" s="53"/>
      <c r="O429" s="52"/>
      <c r="P429" s="55"/>
      <c r="Q429" s="55"/>
      <c r="R429" s="55"/>
      <c r="S429" s="55"/>
      <c r="T429" s="55"/>
      <c r="U429" s="55"/>
      <c r="V429" s="55"/>
      <c r="W429" s="55"/>
      <c r="X429" s="55"/>
      <c r="Y429" s="55"/>
      <c r="Z429" s="55"/>
    </row>
    <row r="430" spans="1:26" ht="15.75" customHeight="1" x14ac:dyDescent="0.2">
      <c r="A430" s="52" t="s">
        <v>1415</v>
      </c>
      <c r="B430" s="52" t="s">
        <v>1416</v>
      </c>
      <c r="C430" s="52" t="s">
        <v>855</v>
      </c>
      <c r="D430" s="56"/>
      <c r="E430" s="52"/>
      <c r="F430" s="52"/>
      <c r="G430" s="52" t="s">
        <v>42</v>
      </c>
      <c r="H430" s="52"/>
      <c r="I430" s="53"/>
      <c r="J430" s="53"/>
      <c r="K430" s="53"/>
      <c r="L430" s="53"/>
      <c r="M430" s="53"/>
      <c r="N430" s="53"/>
      <c r="O430" s="52"/>
      <c r="P430" s="55"/>
      <c r="Q430" s="55"/>
      <c r="R430" s="55"/>
      <c r="S430" s="55"/>
      <c r="T430" s="55"/>
      <c r="U430" s="55"/>
      <c r="V430" s="55"/>
      <c r="W430" s="55"/>
      <c r="X430" s="55"/>
      <c r="Y430" s="55"/>
      <c r="Z430" s="55"/>
    </row>
    <row r="431" spans="1:26" ht="15.75" customHeight="1" x14ac:dyDescent="0.2">
      <c r="A431" s="52" t="s">
        <v>1417</v>
      </c>
      <c r="B431" s="52" t="s">
        <v>1418</v>
      </c>
      <c r="C431" s="52" t="s">
        <v>597</v>
      </c>
      <c r="D431" s="56"/>
      <c r="E431" s="52" t="s">
        <v>1383</v>
      </c>
      <c r="F431" s="52">
        <v>11.93</v>
      </c>
      <c r="G431" s="52"/>
      <c r="H431" s="52"/>
      <c r="I431" s="53"/>
      <c r="J431" s="53"/>
      <c r="K431" s="53"/>
      <c r="L431" s="53"/>
      <c r="M431" s="53"/>
      <c r="N431" s="53"/>
      <c r="O431" s="52"/>
      <c r="P431" s="55"/>
      <c r="Q431" s="55"/>
      <c r="R431" s="55"/>
      <c r="S431" s="55"/>
      <c r="T431" s="55"/>
      <c r="U431" s="55"/>
      <c r="V431" s="55"/>
      <c r="W431" s="55"/>
      <c r="X431" s="55"/>
      <c r="Y431" s="55"/>
      <c r="Z431" s="55"/>
    </row>
    <row r="432" spans="1:26" ht="15.75" customHeight="1" x14ac:dyDescent="0.2">
      <c r="A432" s="52" t="s">
        <v>1419</v>
      </c>
      <c r="B432" s="52" t="s">
        <v>1420</v>
      </c>
      <c r="C432" s="52" t="s">
        <v>597</v>
      </c>
      <c r="D432" s="56"/>
      <c r="E432" s="52" t="s">
        <v>1383</v>
      </c>
      <c r="F432" s="52">
        <v>11.18</v>
      </c>
      <c r="G432" s="52"/>
      <c r="H432" s="52"/>
      <c r="I432" s="53"/>
      <c r="J432" s="53"/>
      <c r="K432" s="53"/>
      <c r="L432" s="53"/>
      <c r="M432" s="53"/>
      <c r="N432" s="53"/>
      <c r="O432" s="52"/>
      <c r="P432" s="55"/>
      <c r="Q432" s="55"/>
      <c r="R432" s="55"/>
      <c r="S432" s="55"/>
      <c r="T432" s="55"/>
      <c r="U432" s="55"/>
      <c r="V432" s="55"/>
      <c r="W432" s="55"/>
      <c r="X432" s="55"/>
      <c r="Y432" s="55"/>
      <c r="Z432" s="55"/>
    </row>
    <row r="433" spans="1:26" ht="15.75" customHeight="1" x14ac:dyDescent="0.2">
      <c r="A433" s="52" t="s">
        <v>1421</v>
      </c>
      <c r="B433" s="52" t="s">
        <v>1422</v>
      </c>
      <c r="C433" s="52" t="s">
        <v>597</v>
      </c>
      <c r="D433" s="56"/>
      <c r="E433" s="52" t="s">
        <v>1383</v>
      </c>
      <c r="F433" s="52">
        <v>11.93</v>
      </c>
      <c r="G433" s="52"/>
      <c r="H433" s="52"/>
      <c r="I433" s="53"/>
      <c r="J433" s="53"/>
      <c r="K433" s="53"/>
      <c r="L433" s="53"/>
      <c r="M433" s="53"/>
      <c r="N433" s="53"/>
      <c r="O433" s="52"/>
      <c r="P433" s="55"/>
      <c r="Q433" s="55"/>
      <c r="R433" s="55"/>
      <c r="S433" s="55"/>
      <c r="T433" s="55"/>
      <c r="U433" s="55"/>
      <c r="V433" s="55"/>
      <c r="W433" s="55"/>
      <c r="X433" s="55"/>
      <c r="Y433" s="55"/>
      <c r="Z433" s="55"/>
    </row>
    <row r="434" spans="1:26" ht="15.75" customHeight="1" x14ac:dyDescent="0.2">
      <c r="A434" s="52" t="s">
        <v>1423</v>
      </c>
      <c r="B434" s="52" t="s">
        <v>1424</v>
      </c>
      <c r="C434" s="52" t="s">
        <v>597</v>
      </c>
      <c r="D434" s="56"/>
      <c r="E434" s="52" t="s">
        <v>1383</v>
      </c>
      <c r="F434" s="52">
        <v>11.93</v>
      </c>
      <c r="G434" s="52"/>
      <c r="H434" s="52"/>
      <c r="I434" s="53"/>
      <c r="J434" s="53"/>
      <c r="K434" s="53"/>
      <c r="L434" s="53"/>
      <c r="M434" s="53"/>
      <c r="N434" s="53"/>
      <c r="O434" s="52"/>
      <c r="P434" s="55"/>
      <c r="Q434" s="55"/>
      <c r="R434" s="55"/>
      <c r="S434" s="55"/>
      <c r="T434" s="55"/>
      <c r="U434" s="55"/>
      <c r="V434" s="55"/>
      <c r="W434" s="55"/>
      <c r="X434" s="55"/>
      <c r="Y434" s="55"/>
      <c r="Z434" s="55"/>
    </row>
    <row r="435" spans="1:26" ht="15.75" customHeight="1" x14ac:dyDescent="0.2">
      <c r="A435" s="52" t="s">
        <v>1425</v>
      </c>
      <c r="B435" s="52" t="s">
        <v>1426</v>
      </c>
      <c r="C435" s="52" t="s">
        <v>597</v>
      </c>
      <c r="D435" s="56"/>
      <c r="E435" s="52" t="s">
        <v>1383</v>
      </c>
      <c r="F435" s="52">
        <v>11.18</v>
      </c>
      <c r="G435" s="52"/>
      <c r="H435" s="52"/>
      <c r="I435" s="53"/>
      <c r="J435" s="53"/>
      <c r="K435" s="53"/>
      <c r="L435" s="53"/>
      <c r="M435" s="53"/>
      <c r="N435" s="53"/>
      <c r="O435" s="52"/>
      <c r="P435" s="55"/>
      <c r="Q435" s="55"/>
      <c r="R435" s="55"/>
      <c r="S435" s="55"/>
      <c r="T435" s="55"/>
      <c r="U435" s="55"/>
      <c r="V435" s="55"/>
      <c r="W435" s="55"/>
      <c r="X435" s="55"/>
      <c r="Y435" s="55"/>
      <c r="Z435" s="55"/>
    </row>
    <row r="436" spans="1:26" ht="15.75" customHeight="1" x14ac:dyDescent="0.2">
      <c r="A436" s="52" t="s">
        <v>1427</v>
      </c>
      <c r="B436" s="52" t="s">
        <v>1428</v>
      </c>
      <c r="C436" s="52" t="s">
        <v>873</v>
      </c>
      <c r="D436" s="56"/>
      <c r="E436" s="52" t="s">
        <v>1383</v>
      </c>
      <c r="F436" s="52">
        <v>4.9400000000000004</v>
      </c>
      <c r="G436" s="52"/>
      <c r="H436" s="52"/>
      <c r="I436" s="53"/>
      <c r="J436" s="53"/>
      <c r="K436" s="53"/>
      <c r="L436" s="53"/>
      <c r="M436" s="53"/>
      <c r="N436" s="53"/>
      <c r="O436" s="52"/>
      <c r="P436" s="55"/>
      <c r="Q436" s="55"/>
      <c r="R436" s="55"/>
      <c r="S436" s="55"/>
      <c r="T436" s="55"/>
      <c r="U436" s="55"/>
      <c r="V436" s="55"/>
      <c r="W436" s="55"/>
      <c r="X436" s="55"/>
      <c r="Y436" s="55"/>
      <c r="Z436" s="55"/>
    </row>
    <row r="437" spans="1:26" ht="15.75" customHeight="1" x14ac:dyDescent="0.2">
      <c r="A437" s="52" t="s">
        <v>1429</v>
      </c>
      <c r="B437" s="52" t="s">
        <v>1430</v>
      </c>
      <c r="C437" s="52" t="s">
        <v>873</v>
      </c>
      <c r="D437" s="56"/>
      <c r="E437" s="52" t="s">
        <v>1383</v>
      </c>
      <c r="F437" s="52">
        <v>9.32</v>
      </c>
      <c r="G437" s="52"/>
      <c r="H437" s="52"/>
      <c r="I437" s="53"/>
      <c r="J437" s="53"/>
      <c r="K437" s="53"/>
      <c r="L437" s="53"/>
      <c r="M437" s="53"/>
      <c r="N437" s="53"/>
      <c r="O437" s="52"/>
      <c r="P437" s="55"/>
      <c r="Q437" s="55"/>
      <c r="R437" s="55"/>
      <c r="S437" s="55"/>
      <c r="T437" s="55"/>
      <c r="U437" s="55"/>
      <c r="V437" s="55"/>
      <c r="W437" s="55"/>
      <c r="X437" s="55"/>
      <c r="Y437" s="55"/>
      <c r="Z437" s="55"/>
    </row>
    <row r="438" spans="1:26" ht="15.75" customHeight="1" x14ac:dyDescent="0.2">
      <c r="A438" s="52" t="s">
        <v>1431</v>
      </c>
      <c r="B438" s="52" t="s">
        <v>1432</v>
      </c>
      <c r="C438" s="52" t="s">
        <v>873</v>
      </c>
      <c r="D438" s="56"/>
      <c r="E438" s="52" t="s">
        <v>1383</v>
      </c>
      <c r="F438" s="52">
        <v>8.33</v>
      </c>
      <c r="G438" s="52"/>
      <c r="H438" s="52"/>
      <c r="I438" s="53"/>
      <c r="J438" s="53"/>
      <c r="K438" s="53"/>
      <c r="L438" s="53"/>
      <c r="M438" s="53"/>
      <c r="N438" s="53"/>
      <c r="O438" s="52"/>
      <c r="P438" s="55"/>
      <c r="Q438" s="55"/>
      <c r="R438" s="55"/>
      <c r="S438" s="55"/>
      <c r="T438" s="55"/>
      <c r="U438" s="55"/>
      <c r="V438" s="55"/>
      <c r="W438" s="55"/>
      <c r="X438" s="55"/>
      <c r="Y438" s="55"/>
      <c r="Z438" s="55"/>
    </row>
    <row r="439" spans="1:26" ht="15.75" customHeight="1" x14ac:dyDescent="0.2">
      <c r="A439" s="52" t="s">
        <v>1433</v>
      </c>
      <c r="B439" s="52" t="s">
        <v>1434</v>
      </c>
      <c r="C439" s="52" t="s">
        <v>597</v>
      </c>
      <c r="D439" s="56"/>
      <c r="E439" s="52" t="s">
        <v>1383</v>
      </c>
      <c r="F439" s="52"/>
      <c r="G439" s="52"/>
      <c r="H439" s="52"/>
      <c r="I439" s="53"/>
      <c r="J439" s="53"/>
      <c r="K439" s="53"/>
      <c r="L439" s="53"/>
      <c r="M439" s="53"/>
      <c r="N439" s="53"/>
      <c r="O439" s="52"/>
      <c r="P439" s="55"/>
      <c r="Q439" s="55"/>
      <c r="R439" s="55"/>
      <c r="S439" s="55"/>
      <c r="T439" s="55"/>
      <c r="U439" s="55"/>
      <c r="V439" s="55"/>
      <c r="W439" s="55"/>
      <c r="X439" s="55"/>
      <c r="Y439" s="55"/>
      <c r="Z439" s="55"/>
    </row>
    <row r="440" spans="1:26" ht="15.75" customHeight="1" x14ac:dyDescent="0.2">
      <c r="A440" s="52" t="s">
        <v>1435</v>
      </c>
      <c r="B440" s="52" t="s">
        <v>1436</v>
      </c>
      <c r="C440" s="52" t="s">
        <v>1437</v>
      </c>
      <c r="D440" s="56"/>
      <c r="E440" s="52" t="s">
        <v>1383</v>
      </c>
      <c r="F440" s="52"/>
      <c r="G440" s="52"/>
      <c r="H440" s="52" t="s">
        <v>1438</v>
      </c>
      <c r="I440" s="53"/>
      <c r="J440" s="53"/>
      <c r="K440" s="53"/>
      <c r="L440" s="53"/>
      <c r="M440" s="53"/>
      <c r="N440" s="53"/>
      <c r="O440" s="52"/>
      <c r="P440" s="55"/>
      <c r="Q440" s="55"/>
      <c r="R440" s="55"/>
      <c r="S440" s="55"/>
      <c r="T440" s="55"/>
      <c r="U440" s="55"/>
      <c r="V440" s="55"/>
      <c r="W440" s="55"/>
      <c r="X440" s="55"/>
      <c r="Y440" s="55"/>
      <c r="Z440" s="55"/>
    </row>
    <row r="441" spans="1:26" ht="15.75" customHeight="1" x14ac:dyDescent="0.2">
      <c r="A441" s="52" t="s">
        <v>1439</v>
      </c>
      <c r="B441" s="52" t="s">
        <v>1440</v>
      </c>
      <c r="C441" s="52" t="s">
        <v>1437</v>
      </c>
      <c r="D441" s="56"/>
      <c r="E441" s="52" t="s">
        <v>1383</v>
      </c>
      <c r="F441" s="52"/>
      <c r="G441" s="52"/>
      <c r="H441" s="52"/>
      <c r="I441" s="53"/>
      <c r="J441" s="53"/>
      <c r="K441" s="53"/>
      <c r="L441" s="53"/>
      <c r="M441" s="53"/>
      <c r="N441" s="53"/>
      <c r="O441" s="52"/>
      <c r="P441" s="55"/>
      <c r="Q441" s="55"/>
      <c r="R441" s="55"/>
      <c r="S441" s="55"/>
      <c r="T441" s="55"/>
      <c r="U441" s="55"/>
      <c r="V441" s="55"/>
      <c r="W441" s="55"/>
      <c r="X441" s="55"/>
      <c r="Y441" s="55"/>
      <c r="Z441" s="55"/>
    </row>
    <row r="442" spans="1:26" ht="15.75" customHeight="1" x14ac:dyDescent="0.2">
      <c r="A442" s="52" t="s">
        <v>1441</v>
      </c>
      <c r="B442" s="52" t="s">
        <v>1442</v>
      </c>
      <c r="C442" s="52" t="s">
        <v>347</v>
      </c>
      <c r="D442" s="56" t="s">
        <v>1443</v>
      </c>
      <c r="E442" s="52" t="s">
        <v>1444</v>
      </c>
      <c r="F442" s="52"/>
      <c r="G442" s="52"/>
      <c r="H442" s="54" t="s">
        <v>1445</v>
      </c>
      <c r="I442" s="53"/>
      <c r="J442" s="53"/>
      <c r="K442" s="53"/>
      <c r="L442" s="53"/>
      <c r="M442" s="53"/>
      <c r="N442" s="53"/>
      <c r="O442" s="52"/>
      <c r="P442" s="55"/>
      <c r="Q442" s="55"/>
      <c r="R442" s="55"/>
      <c r="S442" s="55"/>
      <c r="T442" s="55"/>
      <c r="U442" s="55"/>
      <c r="V442" s="55"/>
      <c r="W442" s="55"/>
      <c r="X442" s="55"/>
      <c r="Y442" s="55"/>
      <c r="Z442" s="55"/>
    </row>
    <row r="443" spans="1:26" ht="15.75" customHeight="1" x14ac:dyDescent="0.2">
      <c r="A443" s="52" t="s">
        <v>1446</v>
      </c>
      <c r="B443" s="52" t="s">
        <v>1447</v>
      </c>
      <c r="C443" s="52" t="s">
        <v>1448</v>
      </c>
      <c r="D443" s="56" t="s">
        <v>1449</v>
      </c>
      <c r="E443" s="52" t="s">
        <v>1383</v>
      </c>
      <c r="F443" s="52"/>
      <c r="G443" s="52"/>
      <c r="H443" s="52"/>
      <c r="I443" s="53"/>
      <c r="J443" s="53"/>
      <c r="K443" s="53"/>
      <c r="L443" s="53"/>
      <c r="M443" s="53"/>
      <c r="N443" s="53"/>
      <c r="O443" s="52"/>
      <c r="P443" s="55"/>
      <c r="Q443" s="55"/>
      <c r="R443" s="55"/>
      <c r="S443" s="55"/>
      <c r="T443" s="55"/>
      <c r="U443" s="55"/>
      <c r="V443" s="55"/>
      <c r="W443" s="55"/>
      <c r="X443" s="55"/>
      <c r="Y443" s="55"/>
      <c r="Z443" s="55"/>
    </row>
    <row r="444" spans="1:26" ht="15.75" customHeight="1" x14ac:dyDescent="0.2">
      <c r="A444" s="52" t="s">
        <v>1450</v>
      </c>
      <c r="B444" s="52" t="s">
        <v>1451</v>
      </c>
      <c r="C444" s="52" t="s">
        <v>1448</v>
      </c>
      <c r="D444" s="56" t="s">
        <v>1452</v>
      </c>
      <c r="E444" s="52" t="s">
        <v>1383</v>
      </c>
      <c r="F444" s="52"/>
      <c r="G444" s="52"/>
      <c r="H444" s="52" t="s">
        <v>1453</v>
      </c>
      <c r="I444" s="53"/>
      <c r="J444" s="53"/>
      <c r="K444" s="53"/>
      <c r="L444" s="53"/>
      <c r="M444" s="53" t="s">
        <v>1383</v>
      </c>
      <c r="N444" s="53" t="s">
        <v>1454</v>
      </c>
      <c r="O444" s="52"/>
      <c r="P444" s="55"/>
      <c r="Q444" s="55"/>
      <c r="R444" s="55"/>
      <c r="S444" s="55"/>
      <c r="T444" s="55"/>
      <c r="U444" s="55"/>
      <c r="V444" s="55"/>
      <c r="W444" s="55"/>
      <c r="X444" s="55"/>
      <c r="Y444" s="55"/>
      <c r="Z444" s="55"/>
    </row>
    <row r="445" spans="1:26" ht="15.75" customHeight="1" x14ac:dyDescent="0.2">
      <c r="A445" s="4" t="s">
        <v>1455</v>
      </c>
      <c r="B445" s="4" t="s">
        <v>1456</v>
      </c>
      <c r="C445" s="4" t="s">
        <v>610</v>
      </c>
      <c r="D445" s="4"/>
      <c r="E445" s="4"/>
      <c r="F445" s="4"/>
      <c r="G445" s="4"/>
      <c r="H445" s="4"/>
      <c r="I445" s="5"/>
      <c r="J445" s="5"/>
      <c r="K445" s="5"/>
      <c r="L445" s="5"/>
      <c r="M445" s="5"/>
      <c r="N445" s="5"/>
      <c r="O445" s="4"/>
      <c r="P445" s="55"/>
      <c r="Q445" s="55"/>
      <c r="R445" s="55"/>
      <c r="S445" s="55"/>
      <c r="T445" s="55"/>
      <c r="U445" s="55"/>
      <c r="V445" s="55"/>
      <c r="W445" s="55"/>
      <c r="X445" s="55"/>
      <c r="Y445" s="55"/>
      <c r="Z445" s="55"/>
    </row>
    <row r="446" spans="1:26" ht="15.75" customHeight="1" x14ac:dyDescent="0.2">
      <c r="A446" s="4" t="s">
        <v>1457</v>
      </c>
      <c r="B446" s="4" t="s">
        <v>1458</v>
      </c>
      <c r="C446" s="4" t="s">
        <v>20</v>
      </c>
      <c r="D446" s="4" t="s">
        <v>1459</v>
      </c>
      <c r="E446" s="4" t="s">
        <v>21</v>
      </c>
      <c r="F446" s="4">
        <v>1850</v>
      </c>
      <c r="G446" s="4"/>
      <c r="H446" s="4"/>
      <c r="I446" s="5">
        <v>100</v>
      </c>
      <c r="J446" s="5">
        <v>100</v>
      </c>
      <c r="K446" s="5">
        <v>0</v>
      </c>
      <c r="L446" s="5">
        <v>0</v>
      </c>
      <c r="M446" s="5"/>
      <c r="N446" s="5"/>
      <c r="O446" s="4"/>
      <c r="P446" s="55"/>
      <c r="Q446" s="55"/>
      <c r="R446" s="55"/>
      <c r="S446" s="55"/>
      <c r="T446" s="55"/>
      <c r="U446" s="55"/>
      <c r="V446" s="55"/>
      <c r="W446" s="55"/>
      <c r="X446" s="55"/>
      <c r="Y446" s="55"/>
      <c r="Z446" s="55"/>
    </row>
    <row r="447" spans="1:26" ht="15.75" customHeight="1" x14ac:dyDescent="0.2">
      <c r="A447" s="4" t="s">
        <v>1460</v>
      </c>
      <c r="B447" s="4" t="s">
        <v>1461</v>
      </c>
      <c r="C447" s="4" t="s">
        <v>16</v>
      </c>
      <c r="D447" s="4"/>
      <c r="E447" s="4"/>
      <c r="F447" s="4"/>
      <c r="G447" s="4"/>
      <c r="H447" s="4"/>
      <c r="I447" s="5"/>
      <c r="J447" s="5"/>
      <c r="K447" s="5"/>
      <c r="L447" s="5"/>
      <c r="M447" s="5"/>
      <c r="N447" s="5"/>
      <c r="O447" s="4"/>
      <c r="P447" s="55"/>
      <c r="Q447" s="55"/>
      <c r="R447" s="55"/>
      <c r="S447" s="55"/>
      <c r="T447" s="55"/>
      <c r="U447" s="55"/>
      <c r="V447" s="55"/>
      <c r="W447" s="55"/>
      <c r="X447" s="55"/>
      <c r="Y447" s="55"/>
      <c r="Z447" s="55"/>
    </row>
    <row r="448" spans="1:26" ht="15.75" customHeight="1" x14ac:dyDescent="0.2">
      <c r="A448" s="4" t="s">
        <v>1462</v>
      </c>
      <c r="B448" s="4" t="s">
        <v>1463</v>
      </c>
      <c r="C448" s="4" t="s">
        <v>610</v>
      </c>
      <c r="D448" s="4"/>
      <c r="E448" s="4"/>
      <c r="F448" s="4"/>
      <c r="G448" s="4"/>
      <c r="H448" s="4"/>
      <c r="I448" s="5"/>
      <c r="J448" s="5"/>
      <c r="K448" s="5"/>
      <c r="L448" s="5"/>
      <c r="M448" s="5"/>
      <c r="N448" s="5"/>
      <c r="O448" s="4"/>
      <c r="P448" s="55"/>
      <c r="Q448" s="55"/>
      <c r="R448" s="55"/>
      <c r="S448" s="55"/>
      <c r="T448" s="55"/>
      <c r="U448" s="55"/>
      <c r="V448" s="55"/>
      <c r="W448" s="55"/>
      <c r="X448" s="55"/>
      <c r="Y448" s="55"/>
      <c r="Z448" s="55"/>
    </row>
    <row r="449" spans="1:26" ht="15.75" customHeight="1" x14ac:dyDescent="0.2">
      <c r="A449" s="4" t="s">
        <v>1464</v>
      </c>
      <c r="B449" s="4" t="s">
        <v>1465</v>
      </c>
      <c r="C449" s="4" t="s">
        <v>656</v>
      </c>
      <c r="D449" s="4"/>
      <c r="E449" s="4"/>
      <c r="F449" s="4"/>
      <c r="G449" s="4"/>
      <c r="H449" s="4"/>
      <c r="I449" s="5"/>
      <c r="J449" s="5"/>
      <c r="K449" s="5"/>
      <c r="L449" s="5"/>
      <c r="M449" s="5"/>
      <c r="N449" s="5"/>
      <c r="O449" s="4"/>
      <c r="P449" s="55"/>
      <c r="Q449" s="55"/>
      <c r="R449" s="55"/>
      <c r="S449" s="55"/>
      <c r="T449" s="55"/>
      <c r="U449" s="55"/>
      <c r="V449" s="55"/>
      <c r="W449" s="55"/>
      <c r="X449" s="55"/>
      <c r="Y449" s="55"/>
      <c r="Z449" s="55"/>
    </row>
    <row r="450" spans="1:26" ht="15.75" customHeight="1" x14ac:dyDescent="0.2">
      <c r="A450" s="4" t="s">
        <v>1466</v>
      </c>
      <c r="B450" s="4" t="s">
        <v>1467</v>
      </c>
      <c r="C450" s="4" t="s">
        <v>594</v>
      </c>
      <c r="D450" s="4"/>
      <c r="E450" s="4"/>
      <c r="F450" s="4">
        <v>8000</v>
      </c>
      <c r="G450" s="4"/>
      <c r="H450" s="4" t="s">
        <v>1468</v>
      </c>
      <c r="I450" s="5"/>
      <c r="J450" s="5"/>
      <c r="K450" s="5"/>
      <c r="L450" s="5"/>
      <c r="M450" s="5"/>
      <c r="N450" s="5"/>
      <c r="O450" s="4"/>
      <c r="P450" s="55"/>
      <c r="Q450" s="55"/>
      <c r="R450" s="55"/>
      <c r="S450" s="55"/>
      <c r="T450" s="55"/>
      <c r="U450" s="55"/>
      <c r="V450" s="55"/>
      <c r="W450" s="55"/>
      <c r="X450" s="55"/>
      <c r="Y450" s="55"/>
      <c r="Z450" s="55"/>
    </row>
    <row r="451" spans="1:26" ht="15.75" customHeight="1" x14ac:dyDescent="0.2">
      <c r="A451" s="4" t="s">
        <v>1469</v>
      </c>
      <c r="B451" s="4" t="s">
        <v>1470</v>
      </c>
      <c r="C451" s="4" t="s">
        <v>16</v>
      </c>
      <c r="D451" s="4"/>
      <c r="E451" s="4" t="s">
        <v>752</v>
      </c>
      <c r="F451" s="4"/>
      <c r="G451" s="4"/>
      <c r="H451" s="4"/>
      <c r="I451" s="5"/>
      <c r="J451" s="5"/>
      <c r="K451" s="5"/>
      <c r="L451" s="5"/>
      <c r="M451" s="5"/>
      <c r="N451" s="5"/>
      <c r="O451" s="4"/>
      <c r="P451" s="55"/>
      <c r="Q451" s="55"/>
      <c r="R451" s="55"/>
      <c r="S451" s="55"/>
      <c r="T451" s="55"/>
      <c r="U451" s="55"/>
      <c r="V451" s="55"/>
      <c r="W451" s="55"/>
      <c r="X451" s="55"/>
      <c r="Y451" s="55"/>
      <c r="Z451" s="55"/>
    </row>
    <row r="452" spans="1:26" ht="15.75" customHeight="1" x14ac:dyDescent="0.2">
      <c r="A452" s="4" t="s">
        <v>1471</v>
      </c>
      <c r="B452" s="4" t="s">
        <v>1472</v>
      </c>
      <c r="C452" s="4" t="s">
        <v>26</v>
      </c>
      <c r="D452" s="4"/>
      <c r="E452" s="4"/>
      <c r="F452" s="4"/>
      <c r="G452" s="4" t="s">
        <v>42</v>
      </c>
      <c r="H452" s="4"/>
      <c r="I452" s="5"/>
      <c r="J452" s="5"/>
      <c r="K452" s="5"/>
      <c r="L452" s="5"/>
      <c r="M452" s="5"/>
      <c r="N452" s="5"/>
      <c r="O452" s="4"/>
      <c r="P452" s="55"/>
      <c r="Q452" s="55"/>
      <c r="R452" s="55"/>
      <c r="S452" s="55"/>
      <c r="T452" s="55"/>
      <c r="U452" s="55"/>
      <c r="V452" s="55"/>
      <c r="W452" s="55"/>
      <c r="X452" s="55"/>
      <c r="Y452" s="55"/>
      <c r="Z452" s="55"/>
    </row>
    <row r="453" spans="1:26" ht="15.75" customHeight="1" x14ac:dyDescent="0.2">
      <c r="A453" s="4" t="s">
        <v>1473</v>
      </c>
      <c r="B453" s="4" t="s">
        <v>1474</v>
      </c>
      <c r="C453" s="4" t="s">
        <v>656</v>
      </c>
      <c r="D453" s="4"/>
      <c r="E453" s="4"/>
      <c r="F453" s="4"/>
      <c r="G453" s="4" t="s">
        <v>42</v>
      </c>
      <c r="H453" s="4"/>
      <c r="I453" s="5"/>
      <c r="J453" s="5"/>
      <c r="K453" s="5"/>
      <c r="L453" s="5"/>
      <c r="M453" s="5"/>
      <c r="N453" s="5"/>
      <c r="O453" s="4"/>
      <c r="P453" s="55"/>
      <c r="Q453" s="55"/>
      <c r="R453" s="55"/>
      <c r="S453" s="55"/>
      <c r="T453" s="55"/>
      <c r="U453" s="55"/>
      <c r="V453" s="55"/>
      <c r="W453" s="55"/>
      <c r="X453" s="55"/>
      <c r="Y453" s="55"/>
      <c r="Z453" s="55"/>
    </row>
    <row r="454" spans="1:26" ht="15.75" customHeight="1" x14ac:dyDescent="0.2">
      <c r="A454" s="4" t="s">
        <v>1475</v>
      </c>
      <c r="B454" s="4" t="s">
        <v>1476</v>
      </c>
      <c r="C454" s="4" t="s">
        <v>1477</v>
      </c>
      <c r="D454" s="4" t="s">
        <v>1478</v>
      </c>
      <c r="E454" s="4" t="s">
        <v>21</v>
      </c>
      <c r="F454" s="4"/>
      <c r="G454" s="4"/>
      <c r="H454" s="4" t="s">
        <v>1479</v>
      </c>
      <c r="I454" s="5"/>
      <c r="J454" s="5"/>
      <c r="K454" s="5"/>
      <c r="L454" s="5"/>
      <c r="M454" s="5"/>
      <c r="N454" s="5"/>
      <c r="O454" s="4"/>
      <c r="P454" s="55"/>
      <c r="Q454" s="55"/>
      <c r="R454" s="55"/>
      <c r="S454" s="55"/>
      <c r="T454" s="55"/>
      <c r="U454" s="55"/>
      <c r="V454" s="55"/>
      <c r="W454" s="55"/>
      <c r="X454" s="55"/>
      <c r="Y454" s="55"/>
      <c r="Z454" s="55"/>
    </row>
    <row r="455" spans="1:26" ht="15.75" customHeight="1" x14ac:dyDescent="0.2">
      <c r="A455" s="4" t="s">
        <v>1480</v>
      </c>
      <c r="B455" s="4" t="s">
        <v>1481</v>
      </c>
      <c r="C455" s="4" t="s">
        <v>1477</v>
      </c>
      <c r="D455" s="4" t="s">
        <v>1482</v>
      </c>
      <c r="E455" s="4" t="s">
        <v>21</v>
      </c>
      <c r="F455" s="4"/>
      <c r="G455" s="4"/>
      <c r="H455" s="4" t="s">
        <v>1479</v>
      </c>
      <c r="I455" s="5"/>
      <c r="J455" s="5"/>
      <c r="K455" s="5"/>
      <c r="L455" s="5"/>
      <c r="M455" s="5"/>
      <c r="N455" s="5"/>
      <c r="O455" s="4"/>
      <c r="P455" s="55"/>
      <c r="Q455" s="55"/>
      <c r="R455" s="55"/>
      <c r="S455" s="55"/>
      <c r="T455" s="55"/>
      <c r="U455" s="55"/>
      <c r="V455" s="55"/>
      <c r="W455" s="55"/>
      <c r="X455" s="55"/>
      <c r="Y455" s="55"/>
      <c r="Z455" s="55"/>
    </row>
    <row r="456" spans="1:26" ht="15.75" customHeight="1" x14ac:dyDescent="0.2">
      <c r="A456" s="4" t="s">
        <v>1483</v>
      </c>
      <c r="B456" s="4" t="s">
        <v>1484</v>
      </c>
      <c r="C456" s="4" t="s">
        <v>16</v>
      </c>
      <c r="D456" s="4" t="s">
        <v>1485</v>
      </c>
      <c r="E456" s="4" t="s">
        <v>21</v>
      </c>
      <c r="F456" s="4"/>
      <c r="G456" s="4"/>
      <c r="H456" s="4"/>
      <c r="I456" s="5"/>
      <c r="J456" s="5"/>
      <c r="K456" s="5"/>
      <c r="L456" s="5"/>
      <c r="M456" s="5"/>
      <c r="N456" s="5"/>
      <c r="O456" s="4"/>
      <c r="P456" s="55"/>
      <c r="Q456" s="55"/>
      <c r="R456" s="55"/>
      <c r="S456" s="55"/>
      <c r="T456" s="55"/>
      <c r="U456" s="55"/>
      <c r="V456" s="55"/>
      <c r="W456" s="55"/>
      <c r="X456" s="55"/>
      <c r="Y456" s="55"/>
      <c r="Z456" s="55"/>
    </row>
    <row r="457" spans="1:26" ht="15.75" customHeight="1" x14ac:dyDescent="0.2">
      <c r="A457" s="4" t="s">
        <v>1486</v>
      </c>
      <c r="B457" s="4" t="s">
        <v>1487</v>
      </c>
      <c r="C457" s="4" t="s">
        <v>329</v>
      </c>
      <c r="D457" s="4" t="s">
        <v>1488</v>
      </c>
      <c r="E457" s="4" t="s">
        <v>17</v>
      </c>
      <c r="F457" s="4">
        <v>10439</v>
      </c>
      <c r="G457" s="4"/>
      <c r="H457" s="4" t="s">
        <v>1489</v>
      </c>
      <c r="I457" s="5"/>
      <c r="J457" s="5"/>
      <c r="K457" s="5"/>
      <c r="L457" s="5"/>
      <c r="M457" s="5"/>
      <c r="N457" s="5"/>
      <c r="O457" s="4"/>
      <c r="P457" s="55"/>
      <c r="Q457" s="55"/>
      <c r="R457" s="55"/>
      <c r="S457" s="55"/>
      <c r="T457" s="55"/>
      <c r="U457" s="55"/>
      <c r="V457" s="55"/>
      <c r="W457" s="55"/>
      <c r="X457" s="55"/>
      <c r="Y457" s="55"/>
      <c r="Z457" s="55"/>
    </row>
    <row r="458" spans="1:26" ht="15.75" customHeight="1" x14ac:dyDescent="0.2">
      <c r="A458" s="57" t="s">
        <v>1490</v>
      </c>
      <c r="B458" s="57" t="s">
        <v>1491</v>
      </c>
      <c r="C458" s="57" t="s">
        <v>1381</v>
      </c>
      <c r="D458" s="57"/>
      <c r="E458" s="57"/>
      <c r="F458" s="57"/>
      <c r="G458" s="57"/>
      <c r="H458" s="57"/>
      <c r="I458" s="58"/>
      <c r="J458" s="58"/>
      <c r="K458" s="58"/>
      <c r="L458" s="58"/>
      <c r="M458" s="58"/>
      <c r="N458" s="58"/>
      <c r="O458" s="4"/>
      <c r="P458" s="55"/>
      <c r="Q458" s="55"/>
      <c r="R458" s="55"/>
      <c r="S458" s="55"/>
      <c r="T458" s="55"/>
      <c r="U458" s="55"/>
      <c r="V458" s="55"/>
      <c r="W458" s="55"/>
      <c r="X458" s="55"/>
      <c r="Y458" s="55"/>
      <c r="Z458" s="55"/>
    </row>
    <row r="459" spans="1:26" ht="15.75" customHeight="1" x14ac:dyDescent="0.2">
      <c r="A459" s="57" t="s">
        <v>1492</v>
      </c>
      <c r="B459" s="57" t="s">
        <v>1493</v>
      </c>
      <c r="C459" s="57" t="s">
        <v>1381</v>
      </c>
      <c r="D459" s="57"/>
      <c r="E459" s="57"/>
      <c r="F459" s="57"/>
      <c r="G459" s="57"/>
      <c r="H459" s="57"/>
      <c r="I459" s="58"/>
      <c r="J459" s="58"/>
      <c r="K459" s="58"/>
      <c r="L459" s="58"/>
      <c r="M459" s="58"/>
      <c r="N459" s="58"/>
      <c r="O459" s="4"/>
      <c r="P459" s="55"/>
      <c r="Q459" s="55"/>
      <c r="R459" s="55"/>
      <c r="S459" s="55"/>
      <c r="T459" s="55"/>
      <c r="U459" s="55"/>
      <c r="V459" s="55"/>
      <c r="W459" s="55"/>
      <c r="X459" s="55"/>
      <c r="Y459" s="55"/>
      <c r="Z459" s="55"/>
    </row>
    <row r="460" spans="1:26" ht="15.75" customHeight="1" x14ac:dyDescent="0.2">
      <c r="A460" s="57" t="s">
        <v>1494</v>
      </c>
      <c r="B460" s="57" t="s">
        <v>1495</v>
      </c>
      <c r="C460" s="57" t="s">
        <v>896</v>
      </c>
      <c r="D460" s="57"/>
      <c r="E460" s="57"/>
      <c r="F460" s="57"/>
      <c r="G460" s="57" t="s">
        <v>42</v>
      </c>
      <c r="H460" s="57"/>
      <c r="I460" s="58"/>
      <c r="J460" s="58"/>
      <c r="K460" s="58"/>
      <c r="L460" s="58"/>
      <c r="M460" s="58"/>
      <c r="N460" s="58"/>
      <c r="O460" s="4"/>
      <c r="P460" s="6"/>
      <c r="Q460" s="6"/>
      <c r="R460" s="6"/>
      <c r="S460" s="6"/>
      <c r="T460" s="6"/>
      <c r="U460" s="6"/>
      <c r="V460" s="6"/>
      <c r="W460" s="6"/>
      <c r="X460" s="6"/>
      <c r="Y460" s="6"/>
      <c r="Z460" s="6"/>
    </row>
    <row r="461" spans="1:26" ht="15.75" customHeight="1" x14ac:dyDescent="0.2">
      <c r="A461" s="57" t="s">
        <v>1496</v>
      </c>
      <c r="B461" s="57" t="s">
        <v>1497</v>
      </c>
      <c r="C461" s="57" t="s">
        <v>896</v>
      </c>
      <c r="D461" s="57"/>
      <c r="E461" s="57"/>
      <c r="F461" s="57"/>
      <c r="G461" s="57" t="s">
        <v>42</v>
      </c>
      <c r="H461" s="57"/>
      <c r="I461" s="58"/>
      <c r="J461" s="58"/>
      <c r="K461" s="58"/>
      <c r="L461" s="58"/>
      <c r="M461" s="58"/>
      <c r="N461" s="58"/>
      <c r="O461" s="4"/>
      <c r="P461" s="6"/>
      <c r="Q461" s="6"/>
      <c r="R461" s="6"/>
      <c r="S461" s="6"/>
      <c r="T461" s="6"/>
      <c r="U461" s="6"/>
      <c r="V461" s="6"/>
      <c r="W461" s="6"/>
      <c r="X461" s="6"/>
      <c r="Y461" s="6"/>
      <c r="Z461" s="6"/>
    </row>
    <row r="462" spans="1:26" ht="15.75" customHeight="1" x14ac:dyDescent="0.2">
      <c r="A462" s="57" t="s">
        <v>1498</v>
      </c>
      <c r="B462" s="57" t="s">
        <v>1499</v>
      </c>
      <c r="C462" s="57" t="s">
        <v>102</v>
      </c>
      <c r="D462" s="57"/>
      <c r="E462" s="57"/>
      <c r="F462" s="57">
        <v>229.6</v>
      </c>
      <c r="G462" s="57" t="s">
        <v>42</v>
      </c>
      <c r="H462" s="57" t="s">
        <v>1500</v>
      </c>
      <c r="I462" s="58"/>
      <c r="J462" s="58"/>
      <c r="K462" s="58"/>
      <c r="L462" s="58"/>
      <c r="M462" s="58"/>
      <c r="N462" s="58"/>
      <c r="O462" s="57"/>
      <c r="P462" s="6"/>
      <c r="Q462" s="6"/>
      <c r="R462" s="6"/>
      <c r="S462" s="6"/>
      <c r="T462" s="6"/>
      <c r="U462" s="6"/>
      <c r="V462" s="6"/>
      <c r="W462" s="6"/>
      <c r="X462" s="6"/>
      <c r="Y462" s="6"/>
      <c r="Z462" s="6"/>
    </row>
    <row r="463" spans="1:26" ht="15.75" customHeight="1" x14ac:dyDescent="0.2">
      <c r="A463" s="57" t="s">
        <v>1501</v>
      </c>
      <c r="B463" s="57" t="s">
        <v>1502</v>
      </c>
      <c r="C463" s="57" t="s">
        <v>896</v>
      </c>
      <c r="D463" s="57"/>
      <c r="E463" s="57"/>
      <c r="F463" s="57"/>
      <c r="G463" s="57" t="s">
        <v>42</v>
      </c>
      <c r="H463" s="57"/>
      <c r="I463" s="58"/>
      <c r="J463" s="58"/>
      <c r="K463" s="58"/>
      <c r="L463" s="58"/>
      <c r="M463" s="58"/>
      <c r="N463" s="58"/>
      <c r="O463" s="57"/>
      <c r="P463" s="6"/>
      <c r="Q463" s="6"/>
      <c r="R463" s="6"/>
      <c r="S463" s="6"/>
      <c r="T463" s="6"/>
      <c r="U463" s="6"/>
      <c r="V463" s="6"/>
      <c r="W463" s="6"/>
      <c r="X463" s="6"/>
      <c r="Y463" s="6"/>
      <c r="Z463" s="6"/>
    </row>
    <row r="464" spans="1:26" ht="15.75" customHeight="1" x14ac:dyDescent="0.2">
      <c r="A464" s="57" t="s">
        <v>1503</v>
      </c>
      <c r="B464" s="57" t="s">
        <v>1504</v>
      </c>
      <c r="C464" s="57" t="s">
        <v>896</v>
      </c>
      <c r="D464" s="57"/>
      <c r="E464" s="57"/>
      <c r="F464" s="57"/>
      <c r="G464" s="57" t="s">
        <v>42</v>
      </c>
      <c r="H464" s="57"/>
      <c r="I464" s="58"/>
      <c r="J464" s="58"/>
      <c r="K464" s="58"/>
      <c r="L464" s="58"/>
      <c r="M464" s="58"/>
      <c r="N464" s="58"/>
      <c r="O464" s="57"/>
      <c r="P464" s="6"/>
      <c r="Q464" s="6"/>
      <c r="R464" s="6"/>
      <c r="S464" s="6"/>
      <c r="T464" s="6"/>
      <c r="U464" s="6"/>
      <c r="V464" s="6"/>
      <c r="W464" s="6"/>
      <c r="X464" s="6"/>
      <c r="Y464" s="6"/>
      <c r="Z464" s="6"/>
    </row>
    <row r="465" spans="1:26" ht="15.75" customHeight="1" x14ac:dyDescent="0.2">
      <c r="A465" s="57" t="s">
        <v>1505</v>
      </c>
      <c r="B465" s="57" t="s">
        <v>1506</v>
      </c>
      <c r="C465" s="57" t="s">
        <v>102</v>
      </c>
      <c r="D465" s="57"/>
      <c r="E465" s="57"/>
      <c r="F465" s="57"/>
      <c r="G465" s="57" t="s">
        <v>42</v>
      </c>
      <c r="H465" s="57"/>
      <c r="I465" s="58"/>
      <c r="J465" s="58"/>
      <c r="K465" s="58"/>
      <c r="L465" s="58"/>
      <c r="M465" s="58"/>
      <c r="N465" s="58"/>
      <c r="O465" s="57"/>
      <c r="P465" s="6"/>
      <c r="Q465" s="6"/>
      <c r="R465" s="6"/>
      <c r="S465" s="6"/>
      <c r="T465" s="6"/>
      <c r="U465" s="6"/>
      <c r="V465" s="6"/>
      <c r="W465" s="6"/>
      <c r="X465" s="6"/>
      <c r="Y465" s="6"/>
      <c r="Z465" s="6"/>
    </row>
    <row r="466" spans="1:26" ht="15.75" customHeight="1" x14ac:dyDescent="0.2">
      <c r="A466" s="57" t="s">
        <v>1507</v>
      </c>
      <c r="B466" s="57" t="s">
        <v>1508</v>
      </c>
      <c r="C466" s="57" t="s">
        <v>102</v>
      </c>
      <c r="D466" s="57"/>
      <c r="E466" s="57"/>
      <c r="F466" s="57"/>
      <c r="G466" s="57"/>
      <c r="H466" s="57"/>
      <c r="I466" s="58"/>
      <c r="J466" s="58"/>
      <c r="K466" s="58"/>
      <c r="L466" s="58"/>
      <c r="M466" s="58"/>
      <c r="N466" s="58"/>
      <c r="O466" s="57"/>
      <c r="P466" s="6"/>
      <c r="Q466" s="6"/>
      <c r="R466" s="6"/>
      <c r="S466" s="6"/>
      <c r="T466" s="6"/>
      <c r="U466" s="6"/>
      <c r="V466" s="6"/>
      <c r="W466" s="6"/>
      <c r="X466" s="6"/>
      <c r="Y466" s="6"/>
      <c r="Z466" s="6"/>
    </row>
    <row r="467" spans="1:26" ht="15.75" customHeight="1" x14ac:dyDescent="0.2">
      <c r="A467" s="57" t="s">
        <v>1509</v>
      </c>
      <c r="B467" s="57" t="s">
        <v>1510</v>
      </c>
      <c r="C467" s="57" t="s">
        <v>102</v>
      </c>
      <c r="D467" s="57"/>
      <c r="E467" s="57"/>
      <c r="F467" s="57"/>
      <c r="G467" s="57" t="s">
        <v>42</v>
      </c>
      <c r="H467" s="59" t="s">
        <v>1511</v>
      </c>
      <c r="I467" s="58"/>
      <c r="J467" s="58"/>
      <c r="K467" s="58"/>
      <c r="L467" s="58"/>
      <c r="M467" s="58"/>
      <c r="N467" s="58"/>
      <c r="O467" s="57"/>
      <c r="P467" s="6"/>
      <c r="Q467" s="6"/>
      <c r="R467" s="6"/>
      <c r="S467" s="6"/>
      <c r="T467" s="6"/>
      <c r="U467" s="6"/>
      <c r="V467" s="6"/>
      <c r="W467" s="6"/>
      <c r="X467" s="6"/>
      <c r="Y467" s="6"/>
      <c r="Z467" s="6"/>
    </row>
    <row r="468" spans="1:26" ht="15.75" customHeight="1" x14ac:dyDescent="0.2">
      <c r="A468" s="57" t="s">
        <v>1512</v>
      </c>
      <c r="B468" s="57" t="s">
        <v>1513</v>
      </c>
      <c r="C468" s="57" t="s">
        <v>102</v>
      </c>
      <c r="D468" s="57"/>
      <c r="E468" s="57"/>
      <c r="F468" s="57"/>
      <c r="G468" s="57" t="s">
        <v>42</v>
      </c>
      <c r="H468" s="57"/>
      <c r="I468" s="58"/>
      <c r="J468" s="58"/>
      <c r="K468" s="58"/>
      <c r="L468" s="58"/>
      <c r="M468" s="58"/>
      <c r="N468" s="58"/>
      <c r="O468" s="57"/>
      <c r="P468" s="6"/>
      <c r="Q468" s="6"/>
      <c r="R468" s="6"/>
      <c r="S468" s="6"/>
      <c r="T468" s="6"/>
      <c r="U468" s="6"/>
      <c r="V468" s="6"/>
      <c r="W468" s="6"/>
      <c r="X468" s="6"/>
      <c r="Y468" s="6"/>
      <c r="Z468" s="6"/>
    </row>
    <row r="469" spans="1:26" ht="15.75" customHeight="1" x14ac:dyDescent="0.2">
      <c r="A469" s="57" t="s">
        <v>1514</v>
      </c>
      <c r="B469" s="57" t="s">
        <v>1515</v>
      </c>
      <c r="C469" s="57" t="s">
        <v>102</v>
      </c>
      <c r="D469" s="57"/>
      <c r="E469" s="57"/>
      <c r="F469" s="57"/>
      <c r="G469" s="57"/>
      <c r="H469" s="57"/>
      <c r="I469" s="58"/>
      <c r="J469" s="58"/>
      <c r="K469" s="58"/>
      <c r="L469" s="58"/>
      <c r="M469" s="58"/>
      <c r="N469" s="58"/>
      <c r="O469" s="57"/>
      <c r="P469" s="6"/>
      <c r="Q469" s="6"/>
      <c r="R469" s="6"/>
      <c r="S469" s="6"/>
      <c r="T469" s="6"/>
      <c r="U469" s="6"/>
      <c r="V469" s="6"/>
      <c r="W469" s="6"/>
      <c r="X469" s="6"/>
      <c r="Y469" s="6"/>
      <c r="Z469" s="6"/>
    </row>
    <row r="470" spans="1:26" ht="15.75" customHeight="1" x14ac:dyDescent="0.2">
      <c r="A470" s="57" t="s">
        <v>1516</v>
      </c>
      <c r="B470" s="57" t="s">
        <v>1517</v>
      </c>
      <c r="C470" s="57" t="s">
        <v>16</v>
      </c>
      <c r="D470" s="57"/>
      <c r="E470" s="57"/>
      <c r="F470" s="57"/>
      <c r="G470" s="57" t="s">
        <v>42</v>
      </c>
      <c r="H470" s="57"/>
      <c r="I470" s="58"/>
      <c r="J470" s="58"/>
      <c r="K470" s="58"/>
      <c r="L470" s="58"/>
      <c r="M470" s="58"/>
      <c r="N470" s="58"/>
      <c r="O470" s="57"/>
      <c r="P470" s="60"/>
      <c r="Q470" s="60"/>
      <c r="R470" s="60"/>
      <c r="S470" s="60"/>
      <c r="T470" s="60"/>
      <c r="U470" s="60"/>
      <c r="V470" s="60"/>
      <c r="W470" s="60"/>
      <c r="X470" s="60"/>
      <c r="Y470" s="60"/>
      <c r="Z470" s="60"/>
    </row>
    <row r="471" spans="1:26" ht="15.75" customHeight="1" x14ac:dyDescent="0.2">
      <c r="A471" s="57" t="s">
        <v>1518</v>
      </c>
      <c r="B471" s="57" t="s">
        <v>1519</v>
      </c>
      <c r="C471" s="57" t="s">
        <v>1381</v>
      </c>
      <c r="D471" s="57"/>
      <c r="E471" s="57"/>
      <c r="F471" s="57"/>
      <c r="G471" s="57" t="s">
        <v>42</v>
      </c>
      <c r="H471" s="57"/>
      <c r="I471" s="58"/>
      <c r="J471" s="58"/>
      <c r="K471" s="58"/>
      <c r="L471" s="58"/>
      <c r="M471" s="58"/>
      <c r="N471" s="58"/>
      <c r="O471" s="57"/>
      <c r="P471" s="60"/>
      <c r="Q471" s="60"/>
      <c r="R471" s="60"/>
      <c r="S471" s="60"/>
      <c r="T471" s="60"/>
      <c r="U471" s="60"/>
      <c r="V471" s="60"/>
      <c r="W471" s="60"/>
      <c r="X471" s="60"/>
      <c r="Y471" s="60"/>
      <c r="Z471" s="60"/>
    </row>
    <row r="472" spans="1:26" ht="15.75" customHeight="1" x14ac:dyDescent="0.2">
      <c r="A472" s="57" t="s">
        <v>1520</v>
      </c>
      <c r="B472" s="57" t="s">
        <v>1521</v>
      </c>
      <c r="C472" s="57" t="s">
        <v>1381</v>
      </c>
      <c r="D472" s="57"/>
      <c r="E472" s="57"/>
      <c r="F472" s="57"/>
      <c r="G472" s="57"/>
      <c r="H472" s="57"/>
      <c r="I472" s="58"/>
      <c r="J472" s="58"/>
      <c r="K472" s="58"/>
      <c r="L472" s="58"/>
      <c r="M472" s="58"/>
      <c r="N472" s="58"/>
      <c r="O472" s="57"/>
      <c r="P472" s="60"/>
      <c r="Q472" s="60"/>
      <c r="R472" s="60"/>
      <c r="S472" s="60"/>
      <c r="T472" s="60"/>
      <c r="U472" s="60"/>
      <c r="V472" s="60"/>
      <c r="W472" s="60"/>
      <c r="X472" s="60"/>
      <c r="Y472" s="60"/>
      <c r="Z472" s="60"/>
    </row>
    <row r="473" spans="1:26" ht="15.75" customHeight="1" x14ac:dyDescent="0.2">
      <c r="A473" s="57" t="s">
        <v>1522</v>
      </c>
      <c r="B473" s="57" t="s">
        <v>1523</v>
      </c>
      <c r="C473" s="57" t="s">
        <v>1381</v>
      </c>
      <c r="D473" s="57"/>
      <c r="E473" s="57"/>
      <c r="F473" s="57"/>
      <c r="G473" s="57"/>
      <c r="H473" s="57"/>
      <c r="I473" s="58"/>
      <c r="J473" s="58"/>
      <c r="K473" s="58"/>
      <c r="L473" s="58"/>
      <c r="M473" s="58"/>
      <c r="N473" s="58"/>
      <c r="O473" s="57"/>
      <c r="P473" s="60"/>
      <c r="Q473" s="60"/>
      <c r="R473" s="60"/>
      <c r="S473" s="60"/>
      <c r="T473" s="60"/>
      <c r="U473" s="60"/>
      <c r="V473" s="60"/>
      <c r="W473" s="60"/>
      <c r="X473" s="60"/>
      <c r="Y473" s="60"/>
      <c r="Z473" s="60"/>
    </row>
    <row r="474" spans="1:26" ht="15.75" customHeight="1" x14ac:dyDescent="0.2">
      <c r="A474" s="57" t="s">
        <v>1524</v>
      </c>
      <c r="B474" s="57" t="s">
        <v>1525</v>
      </c>
      <c r="C474" s="57" t="s">
        <v>16</v>
      </c>
      <c r="D474" s="57"/>
      <c r="E474" s="57"/>
      <c r="F474" s="57"/>
      <c r="G474" s="57" t="s">
        <v>42</v>
      </c>
      <c r="H474" s="57"/>
      <c r="I474" s="58"/>
      <c r="J474" s="58"/>
      <c r="K474" s="58"/>
      <c r="L474" s="58"/>
      <c r="M474" s="58"/>
      <c r="N474" s="58"/>
      <c r="O474" s="57"/>
      <c r="P474" s="60"/>
      <c r="Q474" s="60"/>
      <c r="R474" s="60"/>
      <c r="S474" s="60"/>
      <c r="T474" s="60"/>
      <c r="U474" s="60"/>
      <c r="V474" s="60"/>
      <c r="W474" s="60"/>
      <c r="X474" s="60"/>
      <c r="Y474" s="60"/>
      <c r="Z474" s="60"/>
    </row>
    <row r="475" spans="1:26" ht="15.75" customHeight="1" x14ac:dyDescent="0.2">
      <c r="A475" s="57" t="s">
        <v>1526</v>
      </c>
      <c r="B475" s="57" t="s">
        <v>1527</v>
      </c>
      <c r="C475" s="57" t="s">
        <v>896</v>
      </c>
      <c r="D475" s="59" t="s">
        <v>1528</v>
      </c>
      <c r="E475" s="57" t="s">
        <v>1529</v>
      </c>
      <c r="F475" s="61">
        <v>71.3</v>
      </c>
      <c r="G475" s="57" t="s">
        <v>42</v>
      </c>
      <c r="H475" s="59" t="s">
        <v>1530</v>
      </c>
      <c r="I475" s="58"/>
      <c r="J475" s="58"/>
      <c r="K475" s="58"/>
      <c r="L475" s="58"/>
      <c r="M475" s="58"/>
      <c r="N475" s="58"/>
      <c r="O475" s="57"/>
      <c r="P475" s="60"/>
      <c r="Q475" s="60"/>
      <c r="R475" s="60"/>
      <c r="S475" s="60"/>
      <c r="T475" s="60"/>
      <c r="U475" s="60"/>
      <c r="V475" s="60"/>
      <c r="W475" s="60"/>
      <c r="X475" s="60"/>
      <c r="Y475" s="60"/>
      <c r="Z475" s="60"/>
    </row>
    <row r="476" spans="1:26" ht="15.75" customHeight="1" x14ac:dyDescent="0.2">
      <c r="A476" s="57" t="s">
        <v>1531</v>
      </c>
      <c r="B476" s="57" t="s">
        <v>1532</v>
      </c>
      <c r="C476" s="57" t="s">
        <v>1533</v>
      </c>
      <c r="D476" s="59" t="s">
        <v>1534</v>
      </c>
      <c r="E476" s="57" t="s">
        <v>1529</v>
      </c>
      <c r="F476" s="61">
        <v>70.400000000000006</v>
      </c>
      <c r="G476" s="57" t="s">
        <v>42</v>
      </c>
      <c r="H476" s="59" t="s">
        <v>1535</v>
      </c>
      <c r="I476" s="58"/>
      <c r="J476" s="58"/>
      <c r="K476" s="58"/>
      <c r="L476" s="58"/>
      <c r="M476" s="58"/>
      <c r="N476" s="58"/>
      <c r="O476" s="57"/>
      <c r="P476" s="60"/>
      <c r="Q476" s="60"/>
      <c r="R476" s="60"/>
      <c r="S476" s="60"/>
      <c r="T476" s="60"/>
      <c r="U476" s="60"/>
      <c r="V476" s="60"/>
      <c r="W476" s="60"/>
      <c r="X476" s="60"/>
      <c r="Y476" s="60"/>
      <c r="Z476" s="60"/>
    </row>
    <row r="477" spans="1:26" ht="15.75" customHeight="1" x14ac:dyDescent="0.2">
      <c r="A477" s="57" t="s">
        <v>1536</v>
      </c>
      <c r="B477" s="57" t="s">
        <v>1537</v>
      </c>
      <c r="C477" s="57" t="s">
        <v>1533</v>
      </c>
      <c r="D477" s="59" t="s">
        <v>1538</v>
      </c>
      <c r="E477" s="57"/>
      <c r="F477" s="57">
        <v>61.6</v>
      </c>
      <c r="G477" s="57" t="s">
        <v>42</v>
      </c>
      <c r="H477" s="57"/>
      <c r="I477" s="58"/>
      <c r="J477" s="58"/>
      <c r="K477" s="58"/>
      <c r="L477" s="58"/>
      <c r="M477" s="58"/>
      <c r="N477" s="58"/>
      <c r="O477" s="57"/>
      <c r="P477" s="60"/>
      <c r="Q477" s="60"/>
      <c r="R477" s="60"/>
      <c r="S477" s="60"/>
      <c r="T477" s="60"/>
      <c r="U477" s="60"/>
      <c r="V477" s="60"/>
      <c r="W477" s="60"/>
      <c r="X477" s="60"/>
      <c r="Y477" s="60"/>
      <c r="Z477" s="60"/>
    </row>
    <row r="478" spans="1:26" ht="15.75" customHeight="1" x14ac:dyDescent="0.2">
      <c r="A478" s="57" t="s">
        <v>1539</v>
      </c>
      <c r="B478" s="57" t="s">
        <v>1540</v>
      </c>
      <c r="C478" s="57" t="s">
        <v>241</v>
      </c>
      <c r="D478" s="57"/>
      <c r="E478" s="57"/>
      <c r="F478" s="57"/>
      <c r="G478" s="57"/>
      <c r="H478" s="57"/>
      <c r="I478" s="58"/>
      <c r="J478" s="58"/>
      <c r="K478" s="58"/>
      <c r="L478" s="58"/>
      <c r="M478" s="58"/>
      <c r="N478" s="58"/>
      <c r="O478" s="57"/>
      <c r="P478" s="60"/>
      <c r="Q478" s="60"/>
      <c r="R478" s="60"/>
      <c r="S478" s="60"/>
      <c r="T478" s="60"/>
      <c r="U478" s="60"/>
      <c r="V478" s="60"/>
      <c r="W478" s="60"/>
      <c r="X478" s="60"/>
      <c r="Y478" s="60"/>
      <c r="Z478" s="60"/>
    </row>
    <row r="479" spans="1:26" ht="15.75" customHeight="1" x14ac:dyDescent="0.2">
      <c r="A479" s="57" t="s">
        <v>1541</v>
      </c>
      <c r="B479" s="57" t="s">
        <v>1542</v>
      </c>
      <c r="C479" s="57" t="s">
        <v>102</v>
      </c>
      <c r="D479" s="59" t="s">
        <v>1543</v>
      </c>
      <c r="E479" s="57"/>
      <c r="F479" s="57"/>
      <c r="G479" s="57" t="s">
        <v>42</v>
      </c>
      <c r="H479" s="57"/>
      <c r="I479" s="58"/>
      <c r="J479" s="58"/>
      <c r="K479" s="58"/>
      <c r="L479" s="58"/>
      <c r="M479" s="58"/>
      <c r="N479" s="58"/>
      <c r="O479" s="57"/>
      <c r="P479" s="60"/>
      <c r="Q479" s="60"/>
      <c r="R479" s="60"/>
      <c r="S479" s="60"/>
      <c r="T479" s="60"/>
      <c r="U479" s="60"/>
      <c r="V479" s="60"/>
      <c r="W479" s="60"/>
      <c r="X479" s="60"/>
      <c r="Y479" s="60"/>
      <c r="Z479" s="60"/>
    </row>
    <row r="480" spans="1:26" ht="15.75" customHeight="1" x14ac:dyDescent="0.2">
      <c r="A480" s="57" t="s">
        <v>1544</v>
      </c>
      <c r="B480" s="57" t="s">
        <v>1545</v>
      </c>
      <c r="C480" s="57" t="s">
        <v>102</v>
      </c>
      <c r="D480" s="57" t="s">
        <v>1546</v>
      </c>
      <c r="E480" s="57"/>
      <c r="F480" s="57"/>
      <c r="G480" s="57"/>
      <c r="H480" s="57"/>
      <c r="I480" s="58"/>
      <c r="J480" s="58"/>
      <c r="K480" s="58"/>
      <c r="L480" s="58"/>
      <c r="M480" s="58"/>
      <c r="N480" s="58"/>
      <c r="O480" s="57"/>
      <c r="P480" s="60"/>
      <c r="Q480" s="60"/>
      <c r="R480" s="60"/>
      <c r="S480" s="60"/>
      <c r="T480" s="60"/>
      <c r="U480" s="60"/>
      <c r="V480" s="60"/>
      <c r="W480" s="60"/>
      <c r="X480" s="60"/>
      <c r="Y480" s="60"/>
      <c r="Z480" s="60"/>
    </row>
    <row r="481" spans="1:26" ht="15.75" customHeight="1" x14ac:dyDescent="0.2">
      <c r="A481" s="57" t="s">
        <v>1547</v>
      </c>
      <c r="B481" s="57" t="s">
        <v>1548</v>
      </c>
      <c r="C481" s="57" t="s">
        <v>1381</v>
      </c>
      <c r="D481" s="59" t="s">
        <v>1549</v>
      </c>
      <c r="E481" s="57"/>
      <c r="F481" s="57"/>
      <c r="G481" s="57" t="s">
        <v>42</v>
      </c>
      <c r="H481" s="57"/>
      <c r="I481" s="58"/>
      <c r="J481" s="58"/>
      <c r="K481" s="58"/>
      <c r="L481" s="58"/>
      <c r="M481" s="58"/>
      <c r="N481" s="58"/>
      <c r="O481" s="57"/>
      <c r="P481" s="60"/>
      <c r="Q481" s="60"/>
      <c r="R481" s="60"/>
      <c r="S481" s="60"/>
      <c r="T481" s="60"/>
      <c r="U481" s="60"/>
      <c r="V481" s="60"/>
      <c r="W481" s="60"/>
      <c r="X481" s="60"/>
      <c r="Y481" s="60"/>
      <c r="Z481" s="60"/>
    </row>
    <row r="482" spans="1:26" ht="15.75" customHeight="1" x14ac:dyDescent="0.2">
      <c r="A482" s="57" t="s">
        <v>1550</v>
      </c>
      <c r="B482" s="57" t="s">
        <v>1551</v>
      </c>
      <c r="C482" s="57" t="s">
        <v>1381</v>
      </c>
      <c r="D482" s="59" t="s">
        <v>1552</v>
      </c>
      <c r="E482" s="57"/>
      <c r="F482" s="57"/>
      <c r="G482" s="57" t="s">
        <v>42</v>
      </c>
      <c r="H482" s="57"/>
      <c r="I482" s="58"/>
      <c r="J482" s="58"/>
      <c r="K482" s="58"/>
      <c r="L482" s="58"/>
      <c r="M482" s="58"/>
      <c r="N482" s="58"/>
      <c r="O482" s="57"/>
      <c r="P482" s="60"/>
      <c r="Q482" s="60"/>
      <c r="R482" s="60"/>
      <c r="S482" s="60"/>
      <c r="T482" s="60"/>
      <c r="U482" s="60"/>
      <c r="V482" s="60"/>
      <c r="W482" s="60"/>
      <c r="X482" s="60"/>
      <c r="Y482" s="60"/>
      <c r="Z482" s="60"/>
    </row>
    <row r="483" spans="1:26" ht="15.75" customHeight="1" x14ac:dyDescent="0.2">
      <c r="A483" s="57" t="s">
        <v>1553</v>
      </c>
      <c r="B483" s="57" t="s">
        <v>1554</v>
      </c>
      <c r="C483" s="57" t="s">
        <v>1555</v>
      </c>
      <c r="D483" s="59" t="s">
        <v>1556</v>
      </c>
      <c r="E483" s="57" t="s">
        <v>1557</v>
      </c>
      <c r="F483" s="57"/>
      <c r="G483" s="57"/>
      <c r="H483" s="57"/>
      <c r="I483" s="58"/>
      <c r="J483" s="58"/>
      <c r="K483" s="58"/>
      <c r="L483" s="58"/>
      <c r="M483" s="58"/>
      <c r="N483" s="58"/>
      <c r="O483" s="57"/>
      <c r="P483" s="60"/>
      <c r="Q483" s="60"/>
      <c r="R483" s="60"/>
      <c r="S483" s="60"/>
      <c r="T483" s="60"/>
      <c r="U483" s="60"/>
      <c r="V483" s="60"/>
      <c r="W483" s="60"/>
      <c r="X483" s="60"/>
      <c r="Y483" s="60"/>
      <c r="Z483" s="60"/>
    </row>
    <row r="484" spans="1:26" ht="15.75" customHeight="1" x14ac:dyDescent="0.2">
      <c r="A484" s="57" t="s">
        <v>1558</v>
      </c>
      <c r="B484" s="57" t="s">
        <v>1559</v>
      </c>
      <c r="C484" s="57" t="s">
        <v>1560</v>
      </c>
      <c r="D484" s="59" t="s">
        <v>1561</v>
      </c>
      <c r="E484" s="57" t="s">
        <v>1529</v>
      </c>
      <c r="F484" s="57">
        <v>35.4</v>
      </c>
      <c r="G484" s="57"/>
      <c r="H484" s="57"/>
      <c r="I484" s="58">
        <v>7</v>
      </c>
      <c r="J484" s="58">
        <v>0</v>
      </c>
      <c r="K484" s="58">
        <v>82.53</v>
      </c>
      <c r="L484" s="58">
        <v>0</v>
      </c>
      <c r="M484" s="58"/>
      <c r="N484" s="58"/>
      <c r="O484" s="57"/>
      <c r="P484" s="60"/>
      <c r="Q484" s="60"/>
      <c r="R484" s="60"/>
      <c r="S484" s="60"/>
      <c r="T484" s="60"/>
      <c r="U484" s="60"/>
      <c r="V484" s="60"/>
      <c r="W484" s="60"/>
      <c r="X484" s="60"/>
      <c r="Y484" s="60"/>
      <c r="Z484" s="60"/>
    </row>
    <row r="485" spans="1:26" ht="15.75" customHeight="1" x14ac:dyDescent="0.2">
      <c r="A485" s="57" t="s">
        <v>1562</v>
      </c>
      <c r="B485" s="57" t="s">
        <v>1563</v>
      </c>
      <c r="C485" s="57" t="s">
        <v>1555</v>
      </c>
      <c r="D485" s="59" t="s">
        <v>1564</v>
      </c>
      <c r="E485" s="57" t="s">
        <v>1565</v>
      </c>
      <c r="F485" s="57">
        <v>223</v>
      </c>
      <c r="G485" s="57"/>
      <c r="H485" s="57"/>
      <c r="I485" s="58"/>
      <c r="J485" s="58"/>
      <c r="K485" s="58"/>
      <c r="L485" s="58"/>
      <c r="M485" s="58"/>
      <c r="N485" s="58"/>
      <c r="O485" s="57"/>
      <c r="P485" s="60"/>
      <c r="Q485" s="60"/>
      <c r="R485" s="60"/>
      <c r="S485" s="60"/>
      <c r="T485" s="60"/>
      <c r="U485" s="60"/>
      <c r="V485" s="60"/>
      <c r="W485" s="60"/>
      <c r="X485" s="60"/>
      <c r="Y485" s="60"/>
      <c r="Z485" s="60"/>
    </row>
    <row r="486" spans="1:26" ht="15.75" customHeight="1" x14ac:dyDescent="0.2">
      <c r="A486" s="57" t="s">
        <v>1566</v>
      </c>
      <c r="B486" s="57" t="s">
        <v>1567</v>
      </c>
      <c r="C486" s="57"/>
      <c r="D486" s="59" t="s">
        <v>1568</v>
      </c>
      <c r="E486" s="57" t="s">
        <v>1569</v>
      </c>
      <c r="F486" s="57"/>
      <c r="G486" s="57" t="s">
        <v>42</v>
      </c>
      <c r="H486" s="57"/>
      <c r="I486" s="58"/>
      <c r="J486" s="58"/>
      <c r="K486" s="58"/>
      <c r="L486" s="58"/>
      <c r="M486" s="58"/>
      <c r="N486" s="58"/>
      <c r="O486" s="57"/>
      <c r="P486" s="60"/>
      <c r="Q486" s="60"/>
      <c r="R486" s="60"/>
      <c r="S486" s="60"/>
      <c r="T486" s="60"/>
      <c r="U486" s="60"/>
      <c r="V486" s="60"/>
      <c r="W486" s="60"/>
      <c r="X486" s="60"/>
      <c r="Y486" s="60"/>
      <c r="Z486" s="60"/>
    </row>
    <row r="487" spans="1:26" ht="15.75" customHeight="1" x14ac:dyDescent="0.2">
      <c r="A487" s="57" t="s">
        <v>1570</v>
      </c>
      <c r="B487" s="57" t="s">
        <v>1571</v>
      </c>
      <c r="C487" s="57" t="s">
        <v>1381</v>
      </c>
      <c r="D487" s="59" t="s">
        <v>1572</v>
      </c>
      <c r="E487" s="57" t="s">
        <v>1529</v>
      </c>
      <c r="F487" s="57">
        <v>160.1</v>
      </c>
      <c r="G487" s="57"/>
      <c r="H487" s="57" t="s">
        <v>1573</v>
      </c>
      <c r="I487" s="58"/>
      <c r="J487" s="58"/>
      <c r="K487" s="58"/>
      <c r="L487" s="58"/>
      <c r="M487" s="58"/>
      <c r="N487" s="58"/>
      <c r="O487" s="57"/>
      <c r="P487" s="60"/>
      <c r="Q487" s="60"/>
      <c r="R487" s="60"/>
      <c r="S487" s="60"/>
      <c r="T487" s="60"/>
      <c r="U487" s="60"/>
      <c r="V487" s="60"/>
      <c r="W487" s="60"/>
      <c r="X487" s="60"/>
      <c r="Y487" s="60"/>
      <c r="Z487" s="60"/>
    </row>
    <row r="488" spans="1:26" ht="15.75" customHeight="1" x14ac:dyDescent="0.2">
      <c r="A488" s="57" t="s">
        <v>1574</v>
      </c>
      <c r="B488" s="57" t="s">
        <v>1575</v>
      </c>
      <c r="C488" s="57" t="s">
        <v>1381</v>
      </c>
      <c r="D488" s="59" t="s">
        <v>1576</v>
      </c>
      <c r="E488" s="57" t="s">
        <v>1529</v>
      </c>
      <c r="F488" s="57"/>
      <c r="G488" s="57" t="s">
        <v>42</v>
      </c>
      <c r="H488" s="57" t="s">
        <v>1577</v>
      </c>
      <c r="I488" s="58"/>
      <c r="J488" s="58"/>
      <c r="K488" s="58"/>
      <c r="L488" s="58"/>
      <c r="M488" s="58"/>
      <c r="N488" s="58"/>
      <c r="O488" s="57"/>
      <c r="P488" s="60"/>
      <c r="Q488" s="60"/>
      <c r="R488" s="60"/>
      <c r="S488" s="60"/>
      <c r="T488" s="60"/>
      <c r="U488" s="60"/>
      <c r="V488" s="60"/>
      <c r="W488" s="60"/>
      <c r="X488" s="60"/>
      <c r="Y488" s="60"/>
      <c r="Z488" s="60"/>
    </row>
    <row r="489" spans="1:26" ht="15.75" customHeight="1" x14ac:dyDescent="0.2">
      <c r="A489" s="57" t="s">
        <v>1578</v>
      </c>
      <c r="B489" s="57" t="s">
        <v>1579</v>
      </c>
      <c r="C489" s="57" t="s">
        <v>1381</v>
      </c>
      <c r="D489" s="59" t="s">
        <v>1580</v>
      </c>
      <c r="E489" s="57" t="s">
        <v>1529</v>
      </c>
      <c r="F489" s="57"/>
      <c r="G489" s="57"/>
      <c r="H489" s="59" t="s">
        <v>1581</v>
      </c>
      <c r="I489" s="58"/>
      <c r="J489" s="58"/>
      <c r="K489" s="58"/>
      <c r="L489" s="58"/>
      <c r="M489" s="58"/>
      <c r="N489" s="58"/>
      <c r="O489" s="57"/>
      <c r="P489" s="60"/>
      <c r="Q489" s="60"/>
      <c r="R489" s="60"/>
      <c r="S489" s="60"/>
      <c r="T489" s="60"/>
      <c r="U489" s="60"/>
      <c r="V489" s="60"/>
      <c r="W489" s="60"/>
      <c r="X489" s="60"/>
      <c r="Y489" s="60"/>
      <c r="Z489" s="60"/>
    </row>
    <row r="490" spans="1:26" ht="15.75" customHeight="1" x14ac:dyDescent="0.2">
      <c r="A490" s="57" t="s">
        <v>1582</v>
      </c>
      <c r="B490" s="57" t="s">
        <v>1583</v>
      </c>
      <c r="C490" s="57" t="s">
        <v>1381</v>
      </c>
      <c r="D490" s="59" t="s">
        <v>1584</v>
      </c>
      <c r="E490" s="57" t="s">
        <v>1529</v>
      </c>
      <c r="F490" s="57">
        <v>342.06</v>
      </c>
      <c r="G490" s="57"/>
      <c r="H490" s="59" t="s">
        <v>1585</v>
      </c>
      <c r="I490" s="58"/>
      <c r="J490" s="58"/>
      <c r="K490" s="58"/>
      <c r="L490" s="58"/>
      <c r="M490" s="58"/>
      <c r="N490" s="58"/>
      <c r="O490" s="57"/>
      <c r="P490" s="60"/>
      <c r="Q490" s="60"/>
      <c r="R490" s="60"/>
      <c r="S490" s="60"/>
      <c r="T490" s="60"/>
      <c r="U490" s="60"/>
      <c r="V490" s="60"/>
      <c r="W490" s="60"/>
      <c r="X490" s="60"/>
      <c r="Y490" s="60"/>
      <c r="Z490" s="60"/>
    </row>
    <row r="491" spans="1:26" ht="15.75" customHeight="1" x14ac:dyDescent="0.2">
      <c r="A491" s="57" t="s">
        <v>1586</v>
      </c>
      <c r="B491" s="57" t="s">
        <v>1587</v>
      </c>
      <c r="C491" s="57" t="s">
        <v>1588</v>
      </c>
      <c r="D491" s="59" t="s">
        <v>1589</v>
      </c>
      <c r="E491" s="57" t="s">
        <v>1529</v>
      </c>
      <c r="F491" s="57">
        <v>555</v>
      </c>
      <c r="G491" s="57"/>
      <c r="H491" s="57" t="s">
        <v>1590</v>
      </c>
      <c r="I491" s="58"/>
      <c r="J491" s="58"/>
      <c r="K491" s="58"/>
      <c r="L491" s="58"/>
      <c r="M491" s="58"/>
      <c r="N491" s="58"/>
      <c r="O491" s="57"/>
      <c r="P491" s="60"/>
      <c r="Q491" s="60"/>
      <c r="R491" s="60"/>
      <c r="S491" s="60"/>
      <c r="T491" s="60"/>
      <c r="U491" s="60"/>
      <c r="V491" s="60"/>
      <c r="W491" s="60"/>
      <c r="X491" s="60"/>
      <c r="Y491" s="60"/>
      <c r="Z491" s="60"/>
    </row>
    <row r="492" spans="1:26" ht="15.75" customHeight="1" x14ac:dyDescent="0.2">
      <c r="A492" s="57" t="s">
        <v>1591</v>
      </c>
      <c r="B492" s="57" t="s">
        <v>1592</v>
      </c>
      <c r="C492" s="57" t="s">
        <v>1588</v>
      </c>
      <c r="D492" s="59" t="s">
        <v>1593</v>
      </c>
      <c r="E492" s="57" t="s">
        <v>1529</v>
      </c>
      <c r="F492" s="57">
        <v>555</v>
      </c>
      <c r="G492" s="57"/>
      <c r="H492" s="57" t="s">
        <v>1590</v>
      </c>
      <c r="I492" s="58"/>
      <c r="J492" s="58"/>
      <c r="K492" s="58"/>
      <c r="L492" s="58"/>
      <c r="M492" s="58"/>
      <c r="N492" s="58"/>
      <c r="O492" s="57"/>
      <c r="P492" s="60"/>
      <c r="Q492" s="60"/>
      <c r="R492" s="60"/>
      <c r="S492" s="60"/>
      <c r="T492" s="60"/>
      <c r="U492" s="60"/>
      <c r="V492" s="60"/>
      <c r="W492" s="60"/>
      <c r="X492" s="60"/>
      <c r="Y492" s="60"/>
      <c r="Z492" s="60"/>
    </row>
    <row r="493" spans="1:26" ht="15.75" customHeight="1" x14ac:dyDescent="0.2">
      <c r="A493" s="57" t="s">
        <v>1594</v>
      </c>
      <c r="B493" s="57" t="s">
        <v>1595</v>
      </c>
      <c r="C493" s="57" t="s">
        <v>1588</v>
      </c>
      <c r="D493" s="59" t="s">
        <v>1596</v>
      </c>
      <c r="E493" s="57" t="s">
        <v>1529</v>
      </c>
      <c r="F493" s="57">
        <v>535</v>
      </c>
      <c r="G493" s="57"/>
      <c r="H493" s="57"/>
      <c r="I493" s="58"/>
      <c r="J493" s="58"/>
      <c r="K493" s="58"/>
      <c r="L493" s="58"/>
      <c r="M493" s="58"/>
      <c r="N493" s="58"/>
      <c r="O493" s="57"/>
      <c r="P493" s="60"/>
      <c r="Q493" s="60"/>
      <c r="R493" s="60"/>
      <c r="S493" s="60"/>
      <c r="T493" s="60"/>
      <c r="U493" s="60"/>
      <c r="V493" s="60"/>
      <c r="W493" s="60"/>
      <c r="X493" s="60"/>
      <c r="Y493" s="60"/>
      <c r="Z493" s="60"/>
    </row>
    <row r="494" spans="1:26" ht="15.75" customHeight="1" x14ac:dyDescent="0.2">
      <c r="A494" s="57" t="s">
        <v>1597</v>
      </c>
      <c r="B494" s="57" t="s">
        <v>1598</v>
      </c>
      <c r="C494" s="57" t="s">
        <v>1588</v>
      </c>
      <c r="D494" s="59" t="s">
        <v>1599</v>
      </c>
      <c r="E494" s="57" t="s">
        <v>1529</v>
      </c>
      <c r="F494" s="57">
        <v>535</v>
      </c>
      <c r="G494" s="57"/>
      <c r="H494" s="57"/>
      <c r="I494" s="58"/>
      <c r="J494" s="58"/>
      <c r="K494" s="58"/>
      <c r="L494" s="58"/>
      <c r="M494" s="58"/>
      <c r="N494" s="58"/>
      <c r="O494" s="57"/>
      <c r="P494" s="60"/>
      <c r="Q494" s="60"/>
      <c r="R494" s="60"/>
      <c r="S494" s="60"/>
      <c r="T494" s="60"/>
      <c r="U494" s="60"/>
      <c r="V494" s="60"/>
      <c r="W494" s="60"/>
      <c r="X494" s="60"/>
      <c r="Y494" s="60"/>
      <c r="Z494" s="60"/>
    </row>
    <row r="495" spans="1:26" ht="15.75" customHeight="1" x14ac:dyDescent="0.2">
      <c r="A495" s="57" t="s">
        <v>1600</v>
      </c>
      <c r="B495" s="57" t="s">
        <v>1601</v>
      </c>
      <c r="C495" s="57" t="s">
        <v>214</v>
      </c>
      <c r="D495" s="57" t="s">
        <v>1602</v>
      </c>
      <c r="E495" s="57" t="s">
        <v>1529</v>
      </c>
      <c r="F495" s="57">
        <v>12.63</v>
      </c>
      <c r="G495" s="57"/>
      <c r="H495" s="59" t="s">
        <v>1603</v>
      </c>
      <c r="I495" s="58"/>
      <c r="J495" s="58"/>
      <c r="K495" s="58"/>
      <c r="L495" s="58"/>
      <c r="M495" s="58"/>
      <c r="N495" s="58"/>
      <c r="O495" s="57"/>
      <c r="P495" s="60"/>
      <c r="Q495" s="60"/>
      <c r="R495" s="60"/>
      <c r="S495" s="60"/>
      <c r="T495" s="60"/>
      <c r="U495" s="60"/>
      <c r="V495" s="60"/>
      <c r="W495" s="60"/>
      <c r="X495" s="60"/>
      <c r="Y495" s="60"/>
      <c r="Z495" s="60"/>
    </row>
    <row r="496" spans="1:26" ht="15.75" customHeight="1" x14ac:dyDescent="0.2">
      <c r="A496" s="57" t="s">
        <v>1604</v>
      </c>
      <c r="B496" s="57" t="s">
        <v>1605</v>
      </c>
      <c r="C496" s="57" t="s">
        <v>214</v>
      </c>
      <c r="D496" s="57" t="s">
        <v>1606</v>
      </c>
      <c r="E496" s="57"/>
      <c r="F496" s="57">
        <v>5.7</v>
      </c>
      <c r="G496" s="57"/>
      <c r="H496" s="59"/>
      <c r="I496" s="58"/>
      <c r="J496" s="58"/>
      <c r="K496" s="58"/>
      <c r="L496" s="58"/>
      <c r="M496" s="58"/>
      <c r="N496" s="58"/>
      <c r="O496" s="57"/>
      <c r="P496" s="60"/>
      <c r="Q496" s="60"/>
      <c r="R496" s="60"/>
      <c r="S496" s="60"/>
      <c r="T496" s="60"/>
      <c r="U496" s="60"/>
      <c r="V496" s="60"/>
      <c r="W496" s="60"/>
      <c r="X496" s="60"/>
      <c r="Y496" s="60"/>
      <c r="Z496" s="60"/>
    </row>
    <row r="497" spans="1:26" ht="15.75" customHeight="1" x14ac:dyDescent="0.2">
      <c r="A497" s="57" t="s">
        <v>1607</v>
      </c>
      <c r="B497" s="57" t="s">
        <v>1608</v>
      </c>
      <c r="C497" s="57" t="s">
        <v>163</v>
      </c>
      <c r="D497" s="57"/>
      <c r="E497" s="57"/>
      <c r="F497" s="57"/>
      <c r="G497" s="57"/>
      <c r="H497" s="59"/>
      <c r="I497" s="58"/>
      <c r="J497" s="58"/>
      <c r="K497" s="58"/>
      <c r="L497" s="58"/>
      <c r="M497" s="58"/>
      <c r="N497" s="58"/>
      <c r="O497" s="57"/>
      <c r="P497" s="60"/>
      <c r="Q497" s="60"/>
      <c r="R497" s="60"/>
      <c r="S497" s="60"/>
      <c r="T497" s="60"/>
      <c r="U497" s="60"/>
      <c r="V497" s="60"/>
      <c r="W497" s="60"/>
      <c r="X497" s="60"/>
      <c r="Y497" s="60"/>
      <c r="Z497" s="60"/>
    </row>
    <row r="498" spans="1:26" ht="15.75" customHeight="1" x14ac:dyDescent="0.2">
      <c r="A498" s="62" t="s">
        <v>1609</v>
      </c>
      <c r="B498" s="62" t="s">
        <v>1610</v>
      </c>
      <c r="C498" s="62" t="s">
        <v>214</v>
      </c>
      <c r="D498" s="62"/>
      <c r="E498" s="62"/>
      <c r="F498" s="62"/>
      <c r="G498" s="62" t="s">
        <v>42</v>
      </c>
      <c r="H498" s="63"/>
      <c r="I498" s="64"/>
      <c r="J498" s="64"/>
      <c r="K498" s="64"/>
      <c r="L498" s="64"/>
      <c r="M498" s="64"/>
      <c r="N498" s="64"/>
      <c r="O498" s="57"/>
      <c r="P498" s="60"/>
      <c r="Q498" s="60"/>
      <c r="R498" s="60"/>
      <c r="S498" s="60"/>
      <c r="T498" s="60"/>
      <c r="U498" s="60"/>
      <c r="V498" s="60"/>
      <c r="W498" s="60"/>
      <c r="X498" s="60"/>
      <c r="Y498" s="60"/>
      <c r="Z498" s="60"/>
    </row>
    <row r="499" spans="1:26" ht="15.75" customHeight="1" x14ac:dyDescent="0.2">
      <c r="A499" s="57" t="s">
        <v>1611</v>
      </c>
      <c r="B499" s="57" t="s">
        <v>1612</v>
      </c>
      <c r="C499" s="57" t="s">
        <v>214</v>
      </c>
      <c r="D499" s="57" t="s">
        <v>1613</v>
      </c>
      <c r="E499" s="57"/>
      <c r="F499" s="57"/>
      <c r="G499" s="57"/>
      <c r="H499" s="59"/>
      <c r="I499" s="58"/>
      <c r="J499" s="58"/>
      <c r="K499" s="58"/>
      <c r="L499" s="58"/>
      <c r="M499" s="58"/>
      <c r="N499" s="58"/>
      <c r="O499" s="57"/>
      <c r="P499" s="60"/>
      <c r="Q499" s="60"/>
      <c r="R499" s="60"/>
      <c r="S499" s="60"/>
      <c r="T499" s="60"/>
      <c r="U499" s="60"/>
      <c r="V499" s="60"/>
      <c r="W499" s="60"/>
      <c r="X499" s="60"/>
      <c r="Y499" s="60"/>
      <c r="Z499" s="60"/>
    </row>
    <row r="500" spans="1:26" ht="15.75" customHeight="1" x14ac:dyDescent="0.2">
      <c r="A500" s="57" t="s">
        <v>1614</v>
      </c>
      <c r="B500" s="57" t="s">
        <v>1615</v>
      </c>
      <c r="C500" s="57" t="s">
        <v>163</v>
      </c>
      <c r="D500" s="57"/>
      <c r="E500" s="57"/>
      <c r="F500" s="57"/>
      <c r="G500" s="57"/>
      <c r="H500" s="59"/>
      <c r="I500" s="58"/>
      <c r="J500" s="58"/>
      <c r="K500" s="58"/>
      <c r="L500" s="58"/>
      <c r="M500" s="58"/>
      <c r="N500" s="58"/>
      <c r="O500" s="57"/>
      <c r="P500" s="60"/>
      <c r="Q500" s="60"/>
      <c r="R500" s="60"/>
      <c r="S500" s="60"/>
      <c r="T500" s="60"/>
      <c r="U500" s="60"/>
      <c r="V500" s="60"/>
      <c r="W500" s="60"/>
      <c r="X500" s="60"/>
      <c r="Y500" s="60"/>
      <c r="Z500" s="60"/>
    </row>
    <row r="501" spans="1:26" ht="15.75" customHeight="1" x14ac:dyDescent="0.2">
      <c r="A501" s="57" t="s">
        <v>1616</v>
      </c>
      <c r="B501" s="57" t="s">
        <v>1617</v>
      </c>
      <c r="C501" s="57" t="s">
        <v>163</v>
      </c>
      <c r="D501" s="57"/>
      <c r="E501" s="57"/>
      <c r="F501" s="57"/>
      <c r="G501" s="57"/>
      <c r="H501" s="59"/>
      <c r="I501" s="58"/>
      <c r="J501" s="58"/>
      <c r="K501" s="58"/>
      <c r="L501" s="58"/>
      <c r="M501" s="58"/>
      <c r="N501" s="58"/>
      <c r="O501" s="57"/>
      <c r="P501" s="60"/>
      <c r="Q501" s="60"/>
      <c r="R501" s="60"/>
      <c r="S501" s="60"/>
      <c r="T501" s="60"/>
      <c r="U501" s="60"/>
      <c r="V501" s="60"/>
      <c r="W501" s="60"/>
      <c r="X501" s="60"/>
      <c r="Y501" s="60"/>
      <c r="Z501" s="60"/>
    </row>
    <row r="502" spans="1:26" ht="216" customHeight="1" x14ac:dyDescent="0.2">
      <c r="A502" s="57" t="s">
        <v>1618</v>
      </c>
      <c r="B502" s="57" t="s">
        <v>1619</v>
      </c>
      <c r="C502" s="57" t="s">
        <v>855</v>
      </c>
      <c r="D502" s="57"/>
      <c r="E502" s="57"/>
      <c r="F502" s="57"/>
      <c r="G502" s="57" t="s">
        <v>42</v>
      </c>
      <c r="H502" s="59"/>
      <c r="I502" s="58"/>
      <c r="J502" s="58"/>
      <c r="K502" s="58"/>
      <c r="L502" s="58"/>
      <c r="M502" s="58"/>
      <c r="N502" s="58"/>
      <c r="O502" s="57"/>
      <c r="P502" s="60"/>
      <c r="Q502" s="60"/>
      <c r="R502" s="60"/>
      <c r="S502" s="60"/>
      <c r="T502" s="60"/>
      <c r="U502" s="60"/>
      <c r="V502" s="60"/>
      <c r="W502" s="60"/>
      <c r="X502" s="60"/>
      <c r="Y502" s="60"/>
      <c r="Z502" s="60"/>
    </row>
    <row r="503" spans="1:26" ht="15.75" customHeight="1" x14ac:dyDescent="0.2">
      <c r="A503" s="57" t="s">
        <v>1620</v>
      </c>
      <c r="B503" s="57" t="s">
        <v>1621</v>
      </c>
      <c r="C503" s="57"/>
      <c r="D503" s="57"/>
      <c r="E503" s="57"/>
      <c r="F503" s="57"/>
      <c r="G503" s="57" t="s">
        <v>42</v>
      </c>
      <c r="H503" s="59"/>
      <c r="I503" s="58"/>
      <c r="J503" s="58"/>
      <c r="K503" s="58"/>
      <c r="L503" s="58"/>
      <c r="M503" s="58"/>
      <c r="N503" s="58"/>
      <c r="O503" s="62"/>
      <c r="P503" s="60"/>
      <c r="Q503" s="60"/>
      <c r="R503" s="60"/>
      <c r="S503" s="60"/>
      <c r="T503" s="60"/>
      <c r="U503" s="60"/>
      <c r="V503" s="60"/>
      <c r="W503" s="60"/>
      <c r="X503" s="60"/>
      <c r="Y503" s="60"/>
      <c r="Z503" s="60"/>
    </row>
    <row r="504" spans="1:26" ht="15.75" customHeight="1" x14ac:dyDescent="0.2">
      <c r="A504" s="57" t="s">
        <v>1622</v>
      </c>
      <c r="B504" s="57" t="s">
        <v>1623</v>
      </c>
      <c r="C504" s="57"/>
      <c r="D504" s="57"/>
      <c r="E504" s="57"/>
      <c r="F504" s="57"/>
      <c r="G504" s="57" t="s">
        <v>42</v>
      </c>
      <c r="H504" s="59"/>
      <c r="I504" s="58"/>
      <c r="J504" s="58"/>
      <c r="K504" s="58"/>
      <c r="L504" s="58"/>
      <c r="M504" s="58"/>
      <c r="N504" s="58"/>
      <c r="O504" s="57"/>
      <c r="P504" s="60"/>
      <c r="Q504" s="60"/>
      <c r="R504" s="60"/>
      <c r="S504" s="60"/>
      <c r="T504" s="60"/>
      <c r="U504" s="60"/>
      <c r="V504" s="60"/>
      <c r="W504" s="60"/>
      <c r="X504" s="60"/>
      <c r="Y504" s="60"/>
      <c r="Z504" s="60"/>
    </row>
    <row r="505" spans="1:26" ht="15.75" customHeight="1" x14ac:dyDescent="0.2">
      <c r="A505" s="57" t="s">
        <v>1624</v>
      </c>
      <c r="B505" s="57" t="s">
        <v>1625</v>
      </c>
      <c r="C505" s="57"/>
      <c r="D505" s="57"/>
      <c r="E505" s="57"/>
      <c r="F505" s="57"/>
      <c r="G505" s="57" t="s">
        <v>42</v>
      </c>
      <c r="H505" s="59"/>
      <c r="I505" s="58"/>
      <c r="J505" s="58"/>
      <c r="K505" s="58"/>
      <c r="L505" s="58"/>
      <c r="M505" s="58"/>
      <c r="N505" s="58"/>
      <c r="O505" s="57"/>
      <c r="P505" s="60"/>
      <c r="Q505" s="60"/>
      <c r="R505" s="60"/>
      <c r="S505" s="60"/>
      <c r="T505" s="60"/>
      <c r="U505" s="60"/>
      <c r="V505" s="60"/>
      <c r="W505" s="60"/>
      <c r="X505" s="60"/>
      <c r="Y505" s="60"/>
      <c r="Z505" s="60"/>
    </row>
    <row r="506" spans="1:26" ht="15.75" customHeight="1" x14ac:dyDescent="0.2">
      <c r="A506" s="57" t="s">
        <v>1626</v>
      </c>
      <c r="B506" s="57" t="s">
        <v>1627</v>
      </c>
      <c r="C506" s="57" t="s">
        <v>855</v>
      </c>
      <c r="D506" s="57"/>
      <c r="E506" s="57"/>
      <c r="F506" s="57"/>
      <c r="G506" s="57"/>
      <c r="H506" s="59" t="s">
        <v>1628</v>
      </c>
      <c r="I506" s="58"/>
      <c r="J506" s="58"/>
      <c r="K506" s="58"/>
      <c r="L506" s="58"/>
      <c r="M506" s="58"/>
      <c r="N506" s="58"/>
      <c r="O506" s="57"/>
      <c r="P506" s="60"/>
      <c r="Q506" s="60"/>
      <c r="R506" s="60"/>
      <c r="S506" s="60"/>
      <c r="T506" s="60"/>
      <c r="U506" s="60"/>
      <c r="V506" s="60"/>
      <c r="W506" s="60"/>
      <c r="X506" s="60"/>
      <c r="Y506" s="60"/>
      <c r="Z506" s="60"/>
    </row>
    <row r="507" spans="1:26" ht="15.75" customHeight="1" x14ac:dyDescent="0.2">
      <c r="A507" s="57" t="s">
        <v>1629</v>
      </c>
      <c r="B507" s="57" t="s">
        <v>1630</v>
      </c>
      <c r="C507" s="57" t="s">
        <v>158</v>
      </c>
      <c r="D507" s="59" t="s">
        <v>1631</v>
      </c>
      <c r="E507" s="57" t="s">
        <v>932</v>
      </c>
      <c r="F507" s="57">
        <v>115</v>
      </c>
      <c r="G507" s="57"/>
      <c r="H507" s="59" t="s">
        <v>1632</v>
      </c>
      <c r="I507" s="58"/>
      <c r="J507" s="58"/>
      <c r="K507" s="58"/>
      <c r="L507" s="58"/>
      <c r="M507" s="58"/>
      <c r="N507" s="58"/>
      <c r="O507" s="57"/>
      <c r="P507" s="60"/>
      <c r="Q507" s="60"/>
      <c r="R507" s="60"/>
      <c r="S507" s="60"/>
      <c r="T507" s="60"/>
      <c r="U507" s="60"/>
      <c r="V507" s="60"/>
      <c r="W507" s="60"/>
      <c r="X507" s="60"/>
      <c r="Y507" s="60"/>
      <c r="Z507" s="60"/>
    </row>
    <row r="508" spans="1:26" ht="15.75" customHeight="1" x14ac:dyDescent="0.2">
      <c r="A508" s="57" t="s">
        <v>1633</v>
      </c>
      <c r="B508" s="57" t="s">
        <v>1634</v>
      </c>
      <c r="C508" s="57" t="s">
        <v>577</v>
      </c>
      <c r="D508" s="57" t="s">
        <v>1635</v>
      </c>
      <c r="E508" s="57"/>
      <c r="F508" s="57">
        <v>227.85</v>
      </c>
      <c r="G508" s="57" t="s">
        <v>42</v>
      </c>
      <c r="H508" s="59" t="s">
        <v>1636</v>
      </c>
      <c r="I508" s="58"/>
      <c r="J508" s="58"/>
      <c r="K508" s="58"/>
      <c r="L508" s="58"/>
      <c r="M508" s="58"/>
      <c r="N508" s="58"/>
      <c r="O508" s="57"/>
      <c r="P508" s="60"/>
      <c r="Q508" s="60"/>
      <c r="R508" s="60"/>
      <c r="S508" s="60"/>
      <c r="T508" s="60"/>
      <c r="U508" s="60"/>
      <c r="V508" s="60"/>
      <c r="W508" s="60"/>
      <c r="X508" s="60"/>
      <c r="Y508" s="60"/>
      <c r="Z508" s="60"/>
    </row>
    <row r="509" spans="1:26" ht="15.75" customHeight="1" x14ac:dyDescent="0.2">
      <c r="A509" s="57" t="s">
        <v>1637</v>
      </c>
      <c r="B509" s="57" t="s">
        <v>1638</v>
      </c>
      <c r="C509" s="57" t="s">
        <v>1639</v>
      </c>
      <c r="D509" s="57"/>
      <c r="E509" s="57"/>
      <c r="F509" s="57"/>
      <c r="G509" s="57"/>
      <c r="H509" s="59"/>
      <c r="I509" s="58"/>
      <c r="J509" s="58"/>
      <c r="K509" s="58"/>
      <c r="L509" s="58"/>
      <c r="M509" s="58"/>
      <c r="N509" s="58"/>
      <c r="O509" s="57"/>
      <c r="P509" s="60"/>
      <c r="Q509" s="60"/>
      <c r="R509" s="60"/>
      <c r="S509" s="60"/>
      <c r="T509" s="60"/>
      <c r="U509" s="60"/>
      <c r="V509" s="60"/>
      <c r="W509" s="60"/>
      <c r="X509" s="60"/>
      <c r="Y509" s="60"/>
      <c r="Z509" s="60"/>
    </row>
    <row r="510" spans="1:26" ht="15.75" customHeight="1" x14ac:dyDescent="0.2">
      <c r="A510" s="57" t="s">
        <v>1640</v>
      </c>
      <c r="B510" s="57" t="s">
        <v>1641</v>
      </c>
      <c r="C510" s="57" t="s">
        <v>1639</v>
      </c>
      <c r="D510" s="57"/>
      <c r="E510" s="57"/>
      <c r="F510" s="57"/>
      <c r="G510" s="57"/>
      <c r="H510" s="59"/>
      <c r="I510" s="58"/>
      <c r="J510" s="58"/>
      <c r="K510" s="58"/>
      <c r="L510" s="58"/>
      <c r="M510" s="58"/>
      <c r="N510" s="58"/>
      <c r="O510" s="57"/>
      <c r="P510" s="65"/>
      <c r="Q510" s="65"/>
      <c r="R510" s="65"/>
      <c r="S510" s="65"/>
      <c r="T510" s="65"/>
      <c r="U510" s="65"/>
      <c r="V510" s="65"/>
      <c r="W510" s="65"/>
      <c r="X510" s="65"/>
      <c r="Y510" s="65"/>
      <c r="Z510" s="65"/>
    </row>
    <row r="511" spans="1:26" ht="15.75" customHeight="1" x14ac:dyDescent="0.2">
      <c r="A511" s="57" t="s">
        <v>1642</v>
      </c>
      <c r="B511" s="57" t="s">
        <v>1643</v>
      </c>
      <c r="C511" s="57" t="s">
        <v>1639</v>
      </c>
      <c r="D511" s="57"/>
      <c r="E511" s="57"/>
      <c r="F511" s="57"/>
      <c r="G511" s="57"/>
      <c r="H511" s="59"/>
      <c r="I511" s="58"/>
      <c r="J511" s="58"/>
      <c r="K511" s="58"/>
      <c r="L511" s="58"/>
      <c r="M511" s="58"/>
      <c r="N511" s="58"/>
      <c r="O511" s="57"/>
      <c r="P511" s="60"/>
      <c r="Q511" s="60"/>
      <c r="R511" s="60"/>
      <c r="S511" s="60"/>
      <c r="T511" s="60"/>
      <c r="U511" s="60"/>
      <c r="V511" s="60"/>
      <c r="W511" s="60"/>
      <c r="X511" s="60"/>
      <c r="Y511" s="60"/>
      <c r="Z511" s="60"/>
    </row>
    <row r="512" spans="1:26" ht="15.75" customHeight="1" x14ac:dyDescent="0.2">
      <c r="A512" s="57" t="s">
        <v>1644</v>
      </c>
      <c r="B512" s="57" t="s">
        <v>1645</v>
      </c>
      <c r="C512" s="57" t="s">
        <v>1639</v>
      </c>
      <c r="D512" s="57"/>
      <c r="E512" s="57"/>
      <c r="F512" s="57"/>
      <c r="G512" s="57" t="s">
        <v>42</v>
      </c>
      <c r="H512" s="59"/>
      <c r="I512" s="58"/>
      <c r="J512" s="58"/>
      <c r="K512" s="58"/>
      <c r="L512" s="58"/>
      <c r="M512" s="58"/>
      <c r="N512" s="58"/>
      <c r="O512" s="57"/>
      <c r="P512" s="60"/>
      <c r="Q512" s="60"/>
      <c r="R512" s="60"/>
      <c r="S512" s="60"/>
      <c r="T512" s="60"/>
      <c r="U512" s="60"/>
      <c r="V512" s="60"/>
      <c r="W512" s="60"/>
      <c r="X512" s="60"/>
      <c r="Y512" s="60"/>
      <c r="Z512" s="60"/>
    </row>
    <row r="513" spans="1:26" ht="15.75" customHeight="1" x14ac:dyDescent="0.2">
      <c r="A513" s="57" t="s">
        <v>1646</v>
      </c>
      <c r="B513" s="57" t="s">
        <v>1647</v>
      </c>
      <c r="C513" s="57" t="s">
        <v>855</v>
      </c>
      <c r="D513" s="57" t="s">
        <v>1648</v>
      </c>
      <c r="E513" s="57"/>
      <c r="F513" s="57"/>
      <c r="G513" s="57" t="s">
        <v>42</v>
      </c>
      <c r="H513" s="59"/>
      <c r="I513" s="58"/>
      <c r="J513" s="58"/>
      <c r="K513" s="58"/>
      <c r="L513" s="58"/>
      <c r="M513" s="58"/>
      <c r="N513" s="58"/>
      <c r="O513" s="57"/>
      <c r="P513" s="60"/>
      <c r="Q513" s="60"/>
      <c r="R513" s="60"/>
      <c r="S513" s="60"/>
      <c r="T513" s="60"/>
      <c r="U513" s="60"/>
      <c r="V513" s="60"/>
      <c r="W513" s="60"/>
      <c r="X513" s="60"/>
      <c r="Y513" s="60"/>
      <c r="Z513" s="60"/>
    </row>
    <row r="514" spans="1:26" ht="15.75" customHeight="1" x14ac:dyDescent="0.2">
      <c r="A514" s="57" t="s">
        <v>1649</v>
      </c>
      <c r="B514" s="57" t="s">
        <v>1650</v>
      </c>
      <c r="C514" s="57" t="s">
        <v>855</v>
      </c>
      <c r="D514" s="57" t="s">
        <v>1651</v>
      </c>
      <c r="E514" s="57"/>
      <c r="F514" s="57"/>
      <c r="G514" s="57" t="s">
        <v>42</v>
      </c>
      <c r="H514" s="59"/>
      <c r="I514" s="58"/>
      <c r="J514" s="58"/>
      <c r="K514" s="58"/>
      <c r="L514" s="58"/>
      <c r="M514" s="58"/>
      <c r="N514" s="58"/>
      <c r="O514" s="57"/>
      <c r="P514" s="60"/>
      <c r="Q514" s="60"/>
      <c r="R514" s="60"/>
      <c r="S514" s="60"/>
      <c r="T514" s="60"/>
      <c r="U514" s="60"/>
      <c r="V514" s="60"/>
      <c r="W514" s="60"/>
      <c r="X514" s="60"/>
      <c r="Y514" s="60"/>
      <c r="Z514" s="60"/>
    </row>
    <row r="515" spans="1:26" ht="15.75" customHeight="1" x14ac:dyDescent="0.2">
      <c r="A515" s="57" t="s">
        <v>1652</v>
      </c>
      <c r="B515" s="57" t="s">
        <v>1653</v>
      </c>
      <c r="C515" s="57" t="s">
        <v>16</v>
      </c>
      <c r="D515" s="59" t="s">
        <v>1654</v>
      </c>
      <c r="E515" s="57"/>
      <c r="F515" s="57"/>
      <c r="G515" s="57"/>
      <c r="H515" s="59"/>
      <c r="I515" s="58"/>
      <c r="J515" s="58"/>
      <c r="K515" s="58"/>
      <c r="L515" s="58"/>
      <c r="M515" s="58"/>
      <c r="N515" s="58"/>
      <c r="O515" s="57"/>
      <c r="P515" s="60"/>
      <c r="Q515" s="60"/>
      <c r="R515" s="60"/>
      <c r="S515" s="60"/>
      <c r="T515" s="60"/>
      <c r="U515" s="60"/>
      <c r="V515" s="60"/>
      <c r="W515" s="60"/>
      <c r="X515" s="60"/>
      <c r="Y515" s="60"/>
      <c r="Z515" s="60"/>
    </row>
    <row r="516" spans="1:26" ht="15.75" customHeight="1" x14ac:dyDescent="0.2">
      <c r="A516" s="57" t="s">
        <v>1655</v>
      </c>
      <c r="B516" s="57" t="s">
        <v>1656</v>
      </c>
      <c r="C516" s="57" t="s">
        <v>16</v>
      </c>
      <c r="D516" s="59" t="s">
        <v>1657</v>
      </c>
      <c r="E516" s="57" t="s">
        <v>1658</v>
      </c>
      <c r="F516" s="57"/>
      <c r="G516" s="57" t="s">
        <v>42</v>
      </c>
      <c r="H516" s="59" t="s">
        <v>1659</v>
      </c>
      <c r="I516" s="58"/>
      <c r="J516" s="58"/>
      <c r="K516" s="58"/>
      <c r="L516" s="58"/>
      <c r="M516" s="58"/>
      <c r="N516" s="58"/>
      <c r="O516" s="57"/>
      <c r="P516" s="60"/>
      <c r="Q516" s="60"/>
      <c r="R516" s="60"/>
      <c r="S516" s="60"/>
      <c r="T516" s="60"/>
      <c r="U516" s="60"/>
      <c r="V516" s="60"/>
      <c r="W516" s="60"/>
      <c r="X516" s="60"/>
      <c r="Y516" s="60"/>
      <c r="Z516" s="60"/>
    </row>
    <row r="517" spans="1:26" ht="15.75" customHeight="1" x14ac:dyDescent="0.2">
      <c r="A517" s="57" t="s">
        <v>1660</v>
      </c>
      <c r="B517" s="57" t="s">
        <v>1661</v>
      </c>
      <c r="C517" s="57" t="s">
        <v>507</v>
      </c>
      <c r="D517" s="59" t="s">
        <v>1662</v>
      </c>
      <c r="E517" s="57" t="s">
        <v>1663</v>
      </c>
      <c r="F517" s="59">
        <v>236.26</v>
      </c>
      <c r="G517" s="57"/>
      <c r="H517" s="59" t="s">
        <v>1664</v>
      </c>
      <c r="I517" s="58"/>
      <c r="J517" s="58"/>
      <c r="K517" s="58"/>
      <c r="L517" s="58"/>
      <c r="M517" s="58"/>
      <c r="N517" s="58"/>
      <c r="O517" s="57"/>
      <c r="P517" s="60"/>
      <c r="Q517" s="60"/>
      <c r="R517" s="60"/>
      <c r="S517" s="60"/>
      <c r="T517" s="60"/>
      <c r="U517" s="60"/>
      <c r="V517" s="60"/>
      <c r="W517" s="60"/>
      <c r="X517" s="60"/>
      <c r="Y517" s="60"/>
      <c r="Z517" s="60"/>
    </row>
    <row r="518" spans="1:26" ht="15.75" customHeight="1" x14ac:dyDescent="0.2">
      <c r="A518" s="57" t="s">
        <v>1665</v>
      </c>
      <c r="B518" s="57" t="s">
        <v>1666</v>
      </c>
      <c r="C518" s="57" t="s">
        <v>1667</v>
      </c>
      <c r="D518" s="57" t="s">
        <v>1668</v>
      </c>
      <c r="E518" s="57" t="s">
        <v>1669</v>
      </c>
      <c r="F518" s="57"/>
      <c r="G518" s="57"/>
      <c r="H518" s="59" t="s">
        <v>1670</v>
      </c>
      <c r="I518" s="58">
        <v>0.3</v>
      </c>
      <c r="J518" s="58"/>
      <c r="K518" s="58">
        <v>99.7</v>
      </c>
      <c r="L518" s="58"/>
      <c r="M518" s="58"/>
      <c r="N518" s="58"/>
      <c r="O518" s="57"/>
      <c r="P518" s="60"/>
      <c r="Q518" s="60"/>
      <c r="R518" s="60"/>
      <c r="S518" s="60"/>
      <c r="T518" s="60"/>
      <c r="U518" s="60"/>
      <c r="V518" s="60"/>
      <c r="W518" s="60"/>
      <c r="X518" s="60"/>
      <c r="Y518" s="60"/>
      <c r="Z518" s="60"/>
    </row>
    <row r="519" spans="1:26" ht="15.75" customHeight="1" x14ac:dyDescent="0.2">
      <c r="A519" s="57" t="s">
        <v>1671</v>
      </c>
      <c r="B519" s="57" t="s">
        <v>1672</v>
      </c>
      <c r="C519" s="57" t="s">
        <v>1667</v>
      </c>
      <c r="D519" s="59" t="s">
        <v>1673</v>
      </c>
      <c r="E519" s="59" t="s">
        <v>1674</v>
      </c>
      <c r="F519" s="57"/>
      <c r="G519" s="57"/>
      <c r="H519" s="59" t="s">
        <v>1675</v>
      </c>
      <c r="I519" s="58">
        <v>27.05</v>
      </c>
      <c r="J519" s="58"/>
      <c r="K519" s="58">
        <v>72.8</v>
      </c>
      <c r="L519" s="58"/>
      <c r="M519" s="58"/>
      <c r="N519" s="58"/>
      <c r="O519" s="57"/>
      <c r="P519" s="60"/>
      <c r="Q519" s="60"/>
      <c r="R519" s="60"/>
      <c r="S519" s="60"/>
      <c r="T519" s="60"/>
      <c r="U519" s="60"/>
      <c r="V519" s="60"/>
      <c r="W519" s="60"/>
      <c r="X519" s="60"/>
      <c r="Y519" s="60"/>
      <c r="Z519" s="60"/>
    </row>
    <row r="520" spans="1:26" ht="15.75" customHeight="1" x14ac:dyDescent="0.2">
      <c r="A520" s="57" t="s">
        <v>1676</v>
      </c>
      <c r="B520" s="57" t="s">
        <v>1677</v>
      </c>
      <c r="C520" s="57" t="s">
        <v>1678</v>
      </c>
      <c r="D520" s="57"/>
      <c r="E520" s="59" t="s">
        <v>1679</v>
      </c>
      <c r="F520" s="57"/>
      <c r="G520" s="57"/>
      <c r="H520" s="59"/>
      <c r="I520" s="58"/>
      <c r="J520" s="58"/>
      <c r="K520" s="58"/>
      <c r="L520" s="58"/>
      <c r="M520" s="58"/>
      <c r="N520" s="58"/>
      <c r="O520" s="57"/>
      <c r="P520" s="60"/>
      <c r="Q520" s="60"/>
      <c r="R520" s="60"/>
      <c r="S520" s="60"/>
      <c r="T520" s="60"/>
      <c r="U520" s="60"/>
      <c r="V520" s="60"/>
      <c r="W520" s="60"/>
      <c r="X520" s="60"/>
      <c r="Y520" s="60"/>
      <c r="Z520" s="60"/>
    </row>
    <row r="521" spans="1:26" ht="15.75" customHeight="1" x14ac:dyDescent="0.2">
      <c r="A521" s="57" t="s">
        <v>1680</v>
      </c>
      <c r="B521" s="57" t="s">
        <v>1681</v>
      </c>
      <c r="C521" s="57"/>
      <c r="D521" s="57"/>
      <c r="E521" s="59"/>
      <c r="F521" s="59"/>
      <c r="G521" s="57"/>
      <c r="H521" s="59"/>
      <c r="I521" s="58"/>
      <c r="J521" s="58"/>
      <c r="K521" s="58"/>
      <c r="L521" s="58"/>
      <c r="M521" s="58"/>
      <c r="N521" s="58"/>
      <c r="O521" s="57"/>
      <c r="P521" s="60"/>
      <c r="Q521" s="60"/>
      <c r="R521" s="60"/>
      <c r="S521" s="60"/>
      <c r="T521" s="60"/>
      <c r="U521" s="60"/>
      <c r="V521" s="60"/>
      <c r="W521" s="60"/>
      <c r="X521" s="60"/>
      <c r="Y521" s="60"/>
      <c r="Z521" s="60"/>
    </row>
    <row r="522" spans="1:26" ht="15.75" customHeight="1" x14ac:dyDescent="0.2">
      <c r="A522" s="57" t="s">
        <v>1682</v>
      </c>
      <c r="B522" s="57" t="s">
        <v>1683</v>
      </c>
      <c r="C522" s="57" t="s">
        <v>1684</v>
      </c>
      <c r="D522" s="59" t="s">
        <v>1685</v>
      </c>
      <c r="E522" s="59" t="s">
        <v>1686</v>
      </c>
      <c r="F522" s="59">
        <v>65.95</v>
      </c>
      <c r="G522" s="57"/>
      <c r="H522" s="59" t="s">
        <v>1687</v>
      </c>
      <c r="I522" s="58"/>
      <c r="J522" s="58"/>
      <c r="K522" s="58"/>
      <c r="L522" s="58"/>
      <c r="M522" s="58"/>
      <c r="N522" s="58"/>
      <c r="O522" s="57"/>
      <c r="P522" s="60"/>
      <c r="Q522" s="60"/>
      <c r="R522" s="60"/>
      <c r="S522" s="60"/>
      <c r="T522" s="60"/>
      <c r="U522" s="60"/>
      <c r="V522" s="60"/>
      <c r="W522" s="60"/>
      <c r="X522" s="60"/>
      <c r="Y522" s="60"/>
      <c r="Z522" s="60"/>
    </row>
    <row r="523" spans="1:26" ht="15.75" customHeight="1" x14ac:dyDescent="0.2">
      <c r="A523" s="57" t="s">
        <v>1688</v>
      </c>
      <c r="B523" s="57" t="s">
        <v>1689</v>
      </c>
      <c r="C523" s="57" t="s">
        <v>1381</v>
      </c>
      <c r="D523" s="59" t="s">
        <v>1690</v>
      </c>
      <c r="E523" s="59">
        <v>112.72</v>
      </c>
      <c r="F523" s="59">
        <v>112.72</v>
      </c>
      <c r="G523" s="57"/>
      <c r="H523" s="59" t="s">
        <v>1332</v>
      </c>
      <c r="I523" s="58"/>
      <c r="J523" s="58"/>
      <c r="K523" s="58"/>
      <c r="L523" s="58"/>
      <c r="M523" s="58"/>
      <c r="N523" s="58"/>
      <c r="O523" s="57"/>
      <c r="P523" s="60"/>
      <c r="Q523" s="60"/>
      <c r="R523" s="60"/>
      <c r="S523" s="60"/>
      <c r="T523" s="60"/>
      <c r="U523" s="60"/>
      <c r="V523" s="60"/>
      <c r="W523" s="60"/>
      <c r="X523" s="60"/>
      <c r="Y523" s="60"/>
      <c r="Z523" s="60"/>
    </row>
    <row r="524" spans="1:26" ht="15.75" customHeight="1" x14ac:dyDescent="0.2">
      <c r="A524" s="57" t="s">
        <v>1691</v>
      </c>
      <c r="B524" s="57" t="s">
        <v>1692</v>
      </c>
      <c r="C524" s="57" t="s">
        <v>855</v>
      </c>
      <c r="D524" s="57" t="s">
        <v>1693</v>
      </c>
      <c r="E524" s="59"/>
      <c r="F524" s="59">
        <v>0.41199999999999998</v>
      </c>
      <c r="G524" s="57"/>
      <c r="H524" s="59" t="s">
        <v>1694</v>
      </c>
      <c r="I524" s="58"/>
      <c r="J524" s="58"/>
      <c r="K524" s="58"/>
      <c r="L524" s="58"/>
      <c r="M524" s="58" t="s">
        <v>1695</v>
      </c>
      <c r="N524" s="58"/>
      <c r="O524" s="57"/>
      <c r="P524" s="60"/>
      <c r="Q524" s="60"/>
      <c r="R524" s="60"/>
      <c r="S524" s="60"/>
      <c r="T524" s="60"/>
      <c r="U524" s="60"/>
      <c r="V524" s="60"/>
      <c r="W524" s="60"/>
      <c r="X524" s="60"/>
      <c r="Y524" s="60"/>
      <c r="Z524" s="60"/>
    </row>
    <row r="525" spans="1:26" ht="15.75" customHeight="1" x14ac:dyDescent="0.2">
      <c r="A525" s="57" t="s">
        <v>1696</v>
      </c>
      <c r="B525" s="57" t="s">
        <v>1697</v>
      </c>
      <c r="C525" s="57" t="s">
        <v>1698</v>
      </c>
      <c r="D525" s="57"/>
      <c r="E525" s="59"/>
      <c r="F525" s="59"/>
      <c r="G525" s="57" t="s">
        <v>42</v>
      </c>
      <c r="H525" s="59"/>
      <c r="I525" s="58"/>
      <c r="J525" s="58"/>
      <c r="K525" s="58"/>
      <c r="L525" s="58"/>
      <c r="M525" s="58"/>
      <c r="N525" s="58"/>
      <c r="O525" s="57"/>
      <c r="P525" s="60"/>
      <c r="Q525" s="60"/>
      <c r="R525" s="60"/>
      <c r="S525" s="60"/>
      <c r="T525" s="60"/>
      <c r="U525" s="60"/>
      <c r="V525" s="60"/>
      <c r="W525" s="60"/>
      <c r="X525" s="60"/>
      <c r="Y525" s="60"/>
      <c r="Z525" s="60"/>
    </row>
    <row r="526" spans="1:26" ht="15.75" customHeight="1" x14ac:dyDescent="0.2">
      <c r="A526" s="57" t="s">
        <v>1699</v>
      </c>
      <c r="B526" s="57" t="s">
        <v>1700</v>
      </c>
      <c r="C526" s="57" t="s">
        <v>1698</v>
      </c>
      <c r="D526" s="57"/>
      <c r="E526" s="59"/>
      <c r="F526" s="59"/>
      <c r="G526" s="57" t="s">
        <v>42</v>
      </c>
      <c r="H526" s="59"/>
      <c r="I526" s="58"/>
      <c r="J526" s="58"/>
      <c r="K526" s="58"/>
      <c r="L526" s="58"/>
      <c r="M526" s="58"/>
      <c r="N526" s="58"/>
      <c r="O526" s="57"/>
      <c r="P526" s="60"/>
      <c r="Q526" s="60"/>
      <c r="R526" s="60"/>
      <c r="S526" s="60"/>
      <c r="T526" s="60"/>
      <c r="U526" s="60"/>
      <c r="V526" s="60"/>
      <c r="W526" s="60"/>
      <c r="X526" s="60"/>
      <c r="Y526" s="60"/>
      <c r="Z526" s="60"/>
    </row>
    <row r="527" spans="1:26" ht="15.75" customHeight="1" x14ac:dyDescent="0.2">
      <c r="A527" s="57" t="s">
        <v>1701</v>
      </c>
      <c r="B527" s="57" t="s">
        <v>1702</v>
      </c>
      <c r="C527" s="57" t="s">
        <v>1698</v>
      </c>
      <c r="D527" s="57"/>
      <c r="E527" s="59"/>
      <c r="F527" s="59"/>
      <c r="G527" s="57" t="s">
        <v>42</v>
      </c>
      <c r="H527" s="59"/>
      <c r="I527" s="58"/>
      <c r="J527" s="58"/>
      <c r="K527" s="58"/>
      <c r="L527" s="58"/>
      <c r="M527" s="58"/>
      <c r="N527" s="58"/>
      <c r="O527" s="57"/>
      <c r="P527" s="60"/>
      <c r="Q527" s="60"/>
      <c r="R527" s="60"/>
      <c r="S527" s="60"/>
      <c r="T527" s="60"/>
      <c r="U527" s="60"/>
      <c r="V527" s="60"/>
      <c r="W527" s="60"/>
      <c r="X527" s="60"/>
      <c r="Y527" s="60"/>
      <c r="Z527" s="60"/>
    </row>
    <row r="528" spans="1:26" ht="15.75" customHeight="1" x14ac:dyDescent="0.2">
      <c r="A528" s="57" t="s">
        <v>1703</v>
      </c>
      <c r="B528" s="57" t="s">
        <v>1704</v>
      </c>
      <c r="C528" s="57" t="s">
        <v>1698</v>
      </c>
      <c r="D528" s="57"/>
      <c r="E528" s="59"/>
      <c r="F528" s="59"/>
      <c r="G528" s="57" t="s">
        <v>42</v>
      </c>
      <c r="H528" s="59"/>
      <c r="I528" s="58"/>
      <c r="J528" s="58"/>
      <c r="K528" s="58"/>
      <c r="L528" s="58"/>
      <c r="M528" s="58"/>
      <c r="N528" s="58"/>
      <c r="O528" s="57"/>
      <c r="P528" s="60"/>
      <c r="Q528" s="60"/>
      <c r="R528" s="60"/>
      <c r="S528" s="60"/>
      <c r="T528" s="60"/>
      <c r="U528" s="60"/>
      <c r="V528" s="60"/>
      <c r="W528" s="60"/>
      <c r="X528" s="60"/>
      <c r="Y528" s="60"/>
      <c r="Z528" s="60"/>
    </row>
    <row r="529" spans="1:26" ht="15.75" customHeight="1" x14ac:dyDescent="0.2">
      <c r="A529" s="57" t="s">
        <v>1705</v>
      </c>
      <c r="B529" s="57" t="s">
        <v>1706</v>
      </c>
      <c r="C529" s="57" t="s">
        <v>1698</v>
      </c>
      <c r="D529" s="57"/>
      <c r="E529" s="59"/>
      <c r="F529" s="59"/>
      <c r="G529" s="57" t="s">
        <v>42</v>
      </c>
      <c r="H529" s="59"/>
      <c r="I529" s="58"/>
      <c r="J529" s="58"/>
      <c r="K529" s="58"/>
      <c r="L529" s="58"/>
      <c r="M529" s="58"/>
      <c r="N529" s="58"/>
      <c r="O529" s="57"/>
      <c r="P529" s="60"/>
      <c r="Q529" s="60"/>
      <c r="R529" s="60"/>
      <c r="S529" s="60"/>
      <c r="T529" s="60"/>
      <c r="U529" s="60"/>
      <c r="V529" s="60"/>
      <c r="W529" s="60"/>
      <c r="X529" s="60"/>
      <c r="Y529" s="60"/>
      <c r="Z529" s="60"/>
    </row>
    <row r="530" spans="1:26" ht="15.75" customHeight="1" x14ac:dyDescent="0.2">
      <c r="A530" s="57" t="s">
        <v>1707</v>
      </c>
      <c r="B530" s="57" t="s">
        <v>1708</v>
      </c>
      <c r="C530" s="57" t="s">
        <v>1698</v>
      </c>
      <c r="D530" s="57"/>
      <c r="E530" s="59"/>
      <c r="F530" s="59"/>
      <c r="G530" s="57" t="s">
        <v>42</v>
      </c>
      <c r="H530" s="59"/>
      <c r="I530" s="58"/>
      <c r="J530" s="58"/>
      <c r="K530" s="58"/>
      <c r="L530" s="58"/>
      <c r="M530" s="58"/>
      <c r="N530" s="58"/>
      <c r="O530" s="57"/>
      <c r="P530" s="60"/>
      <c r="Q530" s="60"/>
      <c r="R530" s="60"/>
      <c r="S530" s="60"/>
      <c r="T530" s="60"/>
      <c r="U530" s="60"/>
      <c r="V530" s="60"/>
      <c r="W530" s="60"/>
      <c r="X530" s="60"/>
      <c r="Y530" s="60"/>
      <c r="Z530" s="60"/>
    </row>
    <row r="531" spans="1:26" ht="15.75" customHeight="1" x14ac:dyDescent="0.2">
      <c r="A531" s="57" t="s">
        <v>1709</v>
      </c>
      <c r="B531" s="57" t="s">
        <v>1710</v>
      </c>
      <c r="C531" s="57" t="s">
        <v>1698</v>
      </c>
      <c r="D531" s="57"/>
      <c r="E531" s="59"/>
      <c r="F531" s="59"/>
      <c r="G531" s="57" t="s">
        <v>42</v>
      </c>
      <c r="H531" s="59"/>
      <c r="I531" s="58"/>
      <c r="J531" s="58"/>
      <c r="K531" s="58"/>
      <c r="L531" s="58"/>
      <c r="M531" s="58"/>
      <c r="N531" s="58"/>
      <c r="O531" s="57"/>
      <c r="P531" s="60"/>
      <c r="Q531" s="60"/>
      <c r="R531" s="60"/>
      <c r="S531" s="60"/>
      <c r="T531" s="60"/>
      <c r="U531" s="60"/>
      <c r="V531" s="60"/>
      <c r="W531" s="60"/>
      <c r="X531" s="60"/>
      <c r="Y531" s="60"/>
      <c r="Z531" s="60"/>
    </row>
    <row r="532" spans="1:26" ht="15.75" customHeight="1" x14ac:dyDescent="0.2">
      <c r="A532" s="57" t="s">
        <v>1711</v>
      </c>
      <c r="B532" s="57" t="s">
        <v>1712</v>
      </c>
      <c r="C532" s="57" t="s">
        <v>1698</v>
      </c>
      <c r="D532" s="57"/>
      <c r="E532" s="59"/>
      <c r="F532" s="59"/>
      <c r="G532" s="57" t="s">
        <v>42</v>
      </c>
      <c r="H532" s="59"/>
      <c r="I532" s="58"/>
      <c r="J532" s="58"/>
      <c r="K532" s="58"/>
      <c r="L532" s="58"/>
      <c r="M532" s="58"/>
      <c r="N532" s="58"/>
      <c r="O532" s="57"/>
      <c r="P532" s="60"/>
      <c r="Q532" s="60"/>
      <c r="R532" s="60"/>
      <c r="S532" s="60"/>
      <c r="T532" s="60"/>
      <c r="U532" s="60"/>
      <c r="V532" s="60"/>
      <c r="W532" s="60"/>
      <c r="X532" s="60"/>
      <c r="Y532" s="60"/>
      <c r="Z532" s="60"/>
    </row>
    <row r="533" spans="1:26" ht="15.75" customHeight="1" x14ac:dyDescent="0.2">
      <c r="A533" s="57" t="s">
        <v>1713</v>
      </c>
      <c r="B533" s="57" t="s">
        <v>1714</v>
      </c>
      <c r="C533" s="57" t="s">
        <v>1698</v>
      </c>
      <c r="D533" s="57"/>
      <c r="E533" s="59"/>
      <c r="F533" s="59"/>
      <c r="G533" s="57" t="s">
        <v>42</v>
      </c>
      <c r="H533" s="59"/>
      <c r="I533" s="58"/>
      <c r="J533" s="58"/>
      <c r="K533" s="58"/>
      <c r="L533" s="58"/>
      <c r="M533" s="58"/>
      <c r="N533" s="58"/>
      <c r="O533" s="57"/>
      <c r="P533" s="60"/>
      <c r="Q533" s="60"/>
      <c r="R533" s="60"/>
      <c r="S533" s="60"/>
      <c r="T533" s="60"/>
      <c r="U533" s="60"/>
      <c r="V533" s="60"/>
      <c r="W533" s="60"/>
      <c r="X533" s="60"/>
      <c r="Y533" s="60"/>
      <c r="Z533" s="60"/>
    </row>
    <row r="534" spans="1:26" ht="15.75" customHeight="1" x14ac:dyDescent="0.2">
      <c r="A534" s="57" t="s">
        <v>1715</v>
      </c>
      <c r="B534" s="57" t="s">
        <v>1716</v>
      </c>
      <c r="C534" s="57" t="s">
        <v>1698</v>
      </c>
      <c r="D534" s="57"/>
      <c r="E534" s="59"/>
      <c r="F534" s="59"/>
      <c r="G534" s="57" t="s">
        <v>42</v>
      </c>
      <c r="H534" s="59"/>
      <c r="I534" s="58"/>
      <c r="J534" s="58"/>
      <c r="K534" s="58"/>
      <c r="L534" s="58"/>
      <c r="M534" s="58"/>
      <c r="N534" s="58"/>
      <c r="O534" s="57"/>
      <c r="P534" s="60"/>
      <c r="Q534" s="60"/>
      <c r="R534" s="60"/>
      <c r="S534" s="60"/>
      <c r="T534" s="60"/>
      <c r="U534" s="60"/>
      <c r="V534" s="60"/>
      <c r="W534" s="60"/>
      <c r="X534" s="60"/>
      <c r="Y534" s="60"/>
      <c r="Z534" s="60"/>
    </row>
    <row r="535" spans="1:26" ht="15.75" customHeight="1" x14ac:dyDescent="0.2">
      <c r="A535" s="57" t="s">
        <v>1717</v>
      </c>
      <c r="B535" s="57" t="s">
        <v>1718</v>
      </c>
      <c r="C535" s="57" t="s">
        <v>1719</v>
      </c>
      <c r="D535" s="57" t="s">
        <v>1720</v>
      </c>
      <c r="E535" s="59" t="s">
        <v>1721</v>
      </c>
      <c r="F535" s="59"/>
      <c r="G535" s="57"/>
      <c r="H535" s="59"/>
      <c r="I535" s="58"/>
      <c r="J535" s="58"/>
      <c r="K535" s="58"/>
      <c r="L535" s="58"/>
      <c r="M535" s="58"/>
      <c r="N535" s="58"/>
      <c r="O535" s="57"/>
      <c r="P535" s="60"/>
      <c r="Q535" s="60"/>
      <c r="R535" s="60"/>
      <c r="S535" s="60"/>
      <c r="T535" s="60"/>
      <c r="U535" s="60"/>
      <c r="V535" s="60"/>
      <c r="W535" s="60"/>
      <c r="X535" s="60"/>
      <c r="Y535" s="60"/>
      <c r="Z535" s="60"/>
    </row>
    <row r="536" spans="1:26" ht="15.75" customHeight="1" x14ac:dyDescent="0.2">
      <c r="A536" s="57" t="s">
        <v>1722</v>
      </c>
      <c r="B536" s="57" t="s">
        <v>1723</v>
      </c>
      <c r="C536" s="57" t="s">
        <v>507</v>
      </c>
      <c r="D536" s="59" t="s">
        <v>1724</v>
      </c>
      <c r="E536" s="59" t="s">
        <v>297</v>
      </c>
      <c r="F536" s="59"/>
      <c r="G536" s="57"/>
      <c r="H536" s="59"/>
      <c r="I536" s="58"/>
      <c r="J536" s="58"/>
      <c r="K536" s="58"/>
      <c r="L536" s="58"/>
      <c r="M536" s="58"/>
      <c r="N536" s="58"/>
      <c r="O536" s="57"/>
      <c r="P536" s="60"/>
      <c r="Q536" s="60"/>
      <c r="R536" s="60"/>
      <c r="S536" s="60"/>
      <c r="T536" s="60"/>
      <c r="U536" s="60"/>
      <c r="V536" s="60"/>
      <c r="W536" s="60"/>
      <c r="X536" s="60"/>
      <c r="Y536" s="60"/>
      <c r="Z536" s="60"/>
    </row>
    <row r="537" spans="1:26" ht="15.75" customHeight="1" x14ac:dyDescent="0.2">
      <c r="A537" s="57" t="s">
        <v>1725</v>
      </c>
      <c r="B537" s="57" t="s">
        <v>1726</v>
      </c>
      <c r="C537" s="57" t="s">
        <v>1719</v>
      </c>
      <c r="D537" s="59" t="s">
        <v>1727</v>
      </c>
      <c r="E537" s="59" t="s">
        <v>411</v>
      </c>
      <c r="F537" s="59"/>
      <c r="G537" s="57"/>
      <c r="H537" s="59"/>
      <c r="I537" s="58"/>
      <c r="J537" s="58"/>
      <c r="K537" s="58"/>
      <c r="L537" s="58"/>
      <c r="M537" s="58"/>
      <c r="N537" s="58"/>
      <c r="O537" s="57"/>
      <c r="P537" s="60"/>
      <c r="Q537" s="60"/>
      <c r="R537" s="60"/>
      <c r="S537" s="60"/>
      <c r="T537" s="60"/>
      <c r="U537" s="60"/>
      <c r="V537" s="60"/>
      <c r="W537" s="60"/>
      <c r="X537" s="60"/>
      <c r="Y537" s="60"/>
      <c r="Z537" s="60"/>
    </row>
    <row r="538" spans="1:26" ht="15.75" customHeight="1" x14ac:dyDescent="0.2">
      <c r="A538" s="57" t="s">
        <v>1728</v>
      </c>
      <c r="B538" s="57" t="s">
        <v>1729</v>
      </c>
      <c r="C538" s="57" t="s">
        <v>102</v>
      </c>
      <c r="D538" s="59" t="s">
        <v>1730</v>
      </c>
      <c r="E538" s="59" t="s">
        <v>411</v>
      </c>
      <c r="F538" s="59">
        <v>62.58</v>
      </c>
      <c r="G538" s="57"/>
      <c r="H538" s="59"/>
      <c r="I538" s="58"/>
      <c r="J538" s="58"/>
      <c r="K538" s="58"/>
      <c r="L538" s="58"/>
      <c r="M538" s="58"/>
      <c r="N538" s="58" t="s">
        <v>1731</v>
      </c>
      <c r="O538" s="57"/>
      <c r="P538" s="60"/>
      <c r="Q538" s="60"/>
      <c r="R538" s="60"/>
      <c r="S538" s="60"/>
      <c r="T538" s="60"/>
      <c r="U538" s="60"/>
      <c r="V538" s="60"/>
      <c r="W538" s="60"/>
      <c r="X538" s="60"/>
      <c r="Y538" s="60"/>
      <c r="Z538" s="60"/>
    </row>
    <row r="539" spans="1:26" ht="15.75" customHeight="1" x14ac:dyDescent="0.2">
      <c r="A539" s="57" t="s">
        <v>1732</v>
      </c>
      <c r="B539" s="57" t="s">
        <v>1733</v>
      </c>
      <c r="C539" s="57" t="s">
        <v>1734</v>
      </c>
      <c r="D539" s="59" t="s">
        <v>1735</v>
      </c>
      <c r="E539" s="59" t="s">
        <v>297</v>
      </c>
      <c r="F539" s="59"/>
      <c r="G539" s="57"/>
      <c r="H539" s="59"/>
      <c r="I539" s="58"/>
      <c r="J539" s="58"/>
      <c r="K539" s="58"/>
      <c r="L539" s="58"/>
      <c r="M539" s="58"/>
      <c r="N539" s="58"/>
      <c r="O539" s="57"/>
      <c r="P539" s="60"/>
      <c r="Q539" s="60"/>
      <c r="R539" s="60"/>
      <c r="S539" s="60"/>
      <c r="T539" s="60"/>
      <c r="U539" s="60"/>
      <c r="V539" s="60"/>
      <c r="W539" s="60"/>
      <c r="X539" s="60"/>
      <c r="Y539" s="60"/>
      <c r="Z539" s="60"/>
    </row>
    <row r="540" spans="1:26" ht="15.75" customHeight="1" x14ac:dyDescent="0.2">
      <c r="A540" s="57" t="s">
        <v>1736</v>
      </c>
      <c r="B540" s="57" t="s">
        <v>1737</v>
      </c>
      <c r="C540" s="57" t="s">
        <v>1719</v>
      </c>
      <c r="D540" s="59" t="s">
        <v>1738</v>
      </c>
      <c r="E540" s="59" t="s">
        <v>297</v>
      </c>
      <c r="F540" s="59">
        <v>126.34</v>
      </c>
      <c r="G540" s="57"/>
      <c r="H540" s="59" t="s">
        <v>1739</v>
      </c>
      <c r="I540" s="58">
        <v>42</v>
      </c>
      <c r="J540" s="58"/>
      <c r="K540" s="58">
        <v>58</v>
      </c>
      <c r="L540" s="58"/>
      <c r="M540" s="58" t="s">
        <v>1740</v>
      </c>
      <c r="N540" s="66" t="s">
        <v>1741</v>
      </c>
      <c r="O540" s="57"/>
      <c r="P540" s="60"/>
      <c r="Q540" s="60"/>
      <c r="R540" s="60"/>
      <c r="S540" s="60"/>
      <c r="T540" s="60"/>
      <c r="U540" s="60"/>
      <c r="V540" s="60"/>
      <c r="W540" s="60"/>
      <c r="X540" s="60"/>
      <c r="Y540" s="60"/>
      <c r="Z540" s="60"/>
    </row>
    <row r="541" spans="1:26" ht="15.75" customHeight="1" x14ac:dyDescent="0.2">
      <c r="A541" s="57" t="s">
        <v>1742</v>
      </c>
      <c r="B541" s="57" t="s">
        <v>1743</v>
      </c>
      <c r="C541" s="57" t="s">
        <v>507</v>
      </c>
      <c r="D541" s="59" t="s">
        <v>1744</v>
      </c>
      <c r="E541" s="59" t="s">
        <v>297</v>
      </c>
      <c r="F541" s="59">
        <v>47.37</v>
      </c>
      <c r="G541" s="57" t="s">
        <v>486</v>
      </c>
      <c r="H541" s="59" t="s">
        <v>1745</v>
      </c>
      <c r="I541" s="58"/>
      <c r="J541" s="58"/>
      <c r="K541" s="58"/>
      <c r="L541" s="58"/>
      <c r="M541" s="58"/>
      <c r="N541" s="66"/>
      <c r="O541" s="57"/>
      <c r="P541" s="60"/>
      <c r="Q541" s="60"/>
      <c r="R541" s="60"/>
      <c r="S541" s="60"/>
      <c r="T541" s="60"/>
      <c r="U541" s="60"/>
      <c r="V541" s="60"/>
      <c r="W541" s="60"/>
      <c r="X541" s="60"/>
      <c r="Y541" s="60"/>
      <c r="Z541" s="60"/>
    </row>
    <row r="542" spans="1:26" ht="15.75" customHeight="1" x14ac:dyDescent="0.2">
      <c r="A542" s="67" t="s">
        <v>1746</v>
      </c>
      <c r="B542" s="67" t="s">
        <v>1747</v>
      </c>
      <c r="C542" s="67" t="s">
        <v>334</v>
      </c>
      <c r="D542" s="68" t="s">
        <v>1748</v>
      </c>
      <c r="E542" s="68"/>
      <c r="F542" s="68">
        <v>1430</v>
      </c>
      <c r="G542" s="67"/>
      <c r="H542" s="68" t="s">
        <v>1749</v>
      </c>
      <c r="I542" s="58"/>
      <c r="J542" s="58"/>
      <c r="K542" s="58"/>
      <c r="L542" s="58"/>
      <c r="M542" s="58"/>
      <c r="N542" s="66"/>
      <c r="O542" s="57"/>
      <c r="P542" s="60"/>
      <c r="Q542" s="60"/>
      <c r="R542" s="60"/>
      <c r="S542" s="60"/>
      <c r="T542" s="60"/>
      <c r="U542" s="60"/>
      <c r="V542" s="60"/>
      <c r="W542" s="60"/>
      <c r="X542" s="60"/>
      <c r="Y542" s="60"/>
      <c r="Z542" s="60"/>
    </row>
    <row r="543" spans="1:26" ht="57" customHeight="1" x14ac:dyDescent="0.2">
      <c r="A543" s="67" t="s">
        <v>1750</v>
      </c>
      <c r="B543" s="67" t="s">
        <v>1751</v>
      </c>
      <c r="C543" s="67" t="s">
        <v>1752</v>
      </c>
      <c r="D543" s="68" t="s">
        <v>1753</v>
      </c>
      <c r="E543" s="68"/>
      <c r="F543" s="68">
        <v>464</v>
      </c>
      <c r="G543" s="67"/>
      <c r="H543" s="68" t="s">
        <v>1754</v>
      </c>
      <c r="I543" s="58"/>
      <c r="J543" s="58"/>
      <c r="K543" s="58"/>
      <c r="L543" s="58"/>
      <c r="M543" s="58"/>
      <c r="N543" s="66"/>
      <c r="O543" s="57"/>
      <c r="P543" s="60"/>
      <c r="Q543" s="60"/>
      <c r="R543" s="60"/>
      <c r="S543" s="60"/>
      <c r="T543" s="60"/>
      <c r="U543" s="60"/>
      <c r="V543" s="60"/>
      <c r="W543" s="60"/>
      <c r="X543" s="60"/>
      <c r="Y543" s="60"/>
      <c r="Z543" s="60"/>
    </row>
    <row r="544" spans="1:26" ht="15.75" customHeight="1" x14ac:dyDescent="0.2">
      <c r="A544" s="67" t="s">
        <v>1755</v>
      </c>
      <c r="B544" s="67" t="s">
        <v>1756</v>
      </c>
      <c r="C544" s="67" t="s">
        <v>1757</v>
      </c>
      <c r="D544" s="68" t="s">
        <v>1758</v>
      </c>
      <c r="E544" s="68" t="s">
        <v>297</v>
      </c>
      <c r="F544" s="69">
        <v>450</v>
      </c>
      <c r="G544" s="67"/>
      <c r="H544" s="68" t="s">
        <v>1759</v>
      </c>
      <c r="I544" s="58"/>
      <c r="J544" s="58"/>
      <c r="K544" s="58"/>
      <c r="L544" s="58"/>
      <c r="M544" s="58"/>
      <c r="N544" s="66"/>
      <c r="O544" s="57"/>
      <c r="P544" s="60"/>
      <c r="Q544" s="60"/>
      <c r="R544" s="60"/>
      <c r="S544" s="60"/>
      <c r="T544" s="60"/>
      <c r="U544" s="60"/>
      <c r="V544" s="60"/>
      <c r="W544" s="60"/>
      <c r="X544" s="60"/>
      <c r="Y544" s="60"/>
      <c r="Z544" s="60"/>
    </row>
    <row r="545" spans="1:26" ht="15.75" customHeight="1" x14ac:dyDescent="0.2">
      <c r="A545" s="67" t="s">
        <v>1760</v>
      </c>
      <c r="B545" s="67" t="s">
        <v>1761</v>
      </c>
      <c r="C545" s="67" t="s">
        <v>394</v>
      </c>
      <c r="D545" s="68" t="s">
        <v>1762</v>
      </c>
      <c r="E545" s="68" t="s">
        <v>1763</v>
      </c>
      <c r="F545" s="69">
        <v>202</v>
      </c>
      <c r="G545" s="67"/>
      <c r="H545" s="68" t="s">
        <v>1764</v>
      </c>
      <c r="I545" s="58">
        <v>98</v>
      </c>
      <c r="J545" s="58">
        <v>0</v>
      </c>
      <c r="K545" s="58">
        <v>2</v>
      </c>
      <c r="L545" s="58">
        <v>0</v>
      </c>
      <c r="M545" s="58" t="s">
        <v>1765</v>
      </c>
      <c r="N545" s="66" t="s">
        <v>1766</v>
      </c>
      <c r="O545" s="57"/>
      <c r="P545" s="60"/>
      <c r="Q545" s="60"/>
      <c r="R545" s="60"/>
      <c r="S545" s="60"/>
      <c r="T545" s="60"/>
      <c r="U545" s="60"/>
      <c r="V545" s="60"/>
      <c r="W545" s="60"/>
      <c r="X545" s="60"/>
      <c r="Y545" s="60"/>
      <c r="Z545" s="60"/>
    </row>
    <row r="546" spans="1:26" ht="15.75" customHeight="1" x14ac:dyDescent="0.2">
      <c r="A546" s="67" t="s">
        <v>1767</v>
      </c>
      <c r="B546" s="67" t="s">
        <v>1768</v>
      </c>
      <c r="C546" s="67" t="s">
        <v>1368</v>
      </c>
      <c r="D546" s="68" t="s">
        <v>1769</v>
      </c>
      <c r="E546" s="68" t="s">
        <v>1770</v>
      </c>
      <c r="F546" s="70">
        <v>39.22</v>
      </c>
      <c r="G546" s="67"/>
      <c r="H546" s="68" t="s">
        <v>1764</v>
      </c>
      <c r="I546" s="58">
        <v>100</v>
      </c>
      <c r="J546" s="58">
        <v>99.42</v>
      </c>
      <c r="K546" s="58">
        <v>0</v>
      </c>
      <c r="L546" s="58">
        <v>0</v>
      </c>
      <c r="M546" s="58" t="s">
        <v>1770</v>
      </c>
      <c r="N546" s="66" t="s">
        <v>512</v>
      </c>
      <c r="O546" s="57"/>
      <c r="P546" s="60"/>
      <c r="Q546" s="60"/>
      <c r="R546" s="60"/>
      <c r="S546" s="60"/>
      <c r="T546" s="60"/>
      <c r="U546" s="60"/>
      <c r="V546" s="60"/>
      <c r="W546" s="60"/>
      <c r="X546" s="60"/>
      <c r="Y546" s="60"/>
      <c r="Z546" s="60"/>
    </row>
    <row r="547" spans="1:26" ht="15.75" customHeight="1" x14ac:dyDescent="0.2">
      <c r="A547" s="67" t="s">
        <v>1771</v>
      </c>
      <c r="B547" s="67" t="s">
        <v>1772</v>
      </c>
      <c r="C547" s="67" t="s">
        <v>1368</v>
      </c>
      <c r="D547" s="68" t="s">
        <v>1773</v>
      </c>
      <c r="E547" s="68" t="s">
        <v>1770</v>
      </c>
      <c r="F547" s="69">
        <v>29.85</v>
      </c>
      <c r="G547" s="67"/>
      <c r="H547" s="68" t="s">
        <v>1764</v>
      </c>
      <c r="I547" s="58">
        <v>100</v>
      </c>
      <c r="J547" s="58">
        <v>98.37</v>
      </c>
      <c r="K547" s="58">
        <v>0</v>
      </c>
      <c r="L547" s="58">
        <v>0</v>
      </c>
      <c r="M547" s="58" t="s">
        <v>1770</v>
      </c>
      <c r="N547" s="66" t="s">
        <v>512</v>
      </c>
      <c r="O547" s="57"/>
      <c r="P547" s="60"/>
      <c r="Q547" s="60"/>
      <c r="R547" s="60"/>
      <c r="S547" s="60"/>
      <c r="T547" s="60"/>
      <c r="U547" s="60"/>
      <c r="V547" s="60"/>
      <c r="W547" s="60"/>
      <c r="X547" s="60"/>
      <c r="Y547" s="60"/>
      <c r="Z547" s="60"/>
    </row>
    <row r="548" spans="1:26" ht="15.75" customHeight="1" x14ac:dyDescent="0.2">
      <c r="A548" s="67" t="s">
        <v>1774</v>
      </c>
      <c r="B548" s="67" t="s">
        <v>1775</v>
      </c>
      <c r="C548" s="67" t="s">
        <v>1368</v>
      </c>
      <c r="D548" s="68" t="s">
        <v>1773</v>
      </c>
      <c r="E548" s="68" t="s">
        <v>1770</v>
      </c>
      <c r="F548" s="69"/>
      <c r="G548" s="67"/>
      <c r="H548" s="68" t="s">
        <v>1764</v>
      </c>
      <c r="I548" s="58">
        <v>100</v>
      </c>
      <c r="J548" s="58">
        <v>97.27</v>
      </c>
      <c r="K548" s="58">
        <v>0</v>
      </c>
      <c r="L548" s="58">
        <v>0</v>
      </c>
      <c r="M548" s="58" t="s">
        <v>1770</v>
      </c>
      <c r="N548" s="66" t="s">
        <v>512</v>
      </c>
      <c r="O548" s="57"/>
      <c r="P548" s="60"/>
      <c r="Q548" s="60"/>
      <c r="R548" s="60"/>
      <c r="S548" s="60"/>
      <c r="T548" s="60"/>
      <c r="U548" s="60"/>
      <c r="V548" s="60"/>
      <c r="W548" s="60"/>
      <c r="X548" s="60"/>
      <c r="Y548" s="60"/>
      <c r="Z548" s="60"/>
    </row>
    <row r="549" spans="1:26" ht="15.75" customHeight="1" x14ac:dyDescent="0.2">
      <c r="A549" s="67" t="s">
        <v>1776</v>
      </c>
      <c r="B549" s="67" t="s">
        <v>1777</v>
      </c>
      <c r="C549" s="67" t="s">
        <v>1368</v>
      </c>
      <c r="D549" s="68" t="s">
        <v>1778</v>
      </c>
      <c r="E549" s="68" t="s">
        <v>1770</v>
      </c>
      <c r="F549" s="69"/>
      <c r="G549" s="67"/>
      <c r="H549" s="68" t="s">
        <v>1764</v>
      </c>
      <c r="I549" s="58">
        <v>100</v>
      </c>
      <c r="J549" s="58">
        <v>97.55</v>
      </c>
      <c r="K549" s="58">
        <v>0</v>
      </c>
      <c r="L549" s="58">
        <v>0</v>
      </c>
      <c r="M549" s="58" t="s">
        <v>1770</v>
      </c>
      <c r="N549" s="66" t="s">
        <v>512</v>
      </c>
      <c r="O549" s="57"/>
      <c r="P549" s="60"/>
      <c r="Q549" s="60"/>
      <c r="R549" s="60"/>
      <c r="S549" s="60"/>
      <c r="T549" s="60"/>
      <c r="U549" s="60"/>
      <c r="V549" s="60"/>
      <c r="W549" s="60"/>
      <c r="X549" s="60"/>
      <c r="Y549" s="60"/>
      <c r="Z549" s="60"/>
    </row>
    <row r="550" spans="1:26" ht="15.75" customHeight="1" x14ac:dyDescent="0.2">
      <c r="A550" s="67" t="s">
        <v>1779</v>
      </c>
      <c r="B550" s="67" t="s">
        <v>1780</v>
      </c>
      <c r="C550" s="67" t="s">
        <v>1368</v>
      </c>
      <c r="D550" s="68" t="s">
        <v>1773</v>
      </c>
      <c r="E550" s="68" t="s">
        <v>1770</v>
      </c>
      <c r="F550" s="69">
        <v>29.52</v>
      </c>
      <c r="G550" s="67"/>
      <c r="H550" s="68" t="s">
        <v>1764</v>
      </c>
      <c r="I550" s="58">
        <v>100</v>
      </c>
      <c r="J550" s="58">
        <v>95.98</v>
      </c>
      <c r="K550" s="58">
        <v>0</v>
      </c>
      <c r="L550" s="58">
        <v>0</v>
      </c>
      <c r="M550" s="58" t="s">
        <v>1770</v>
      </c>
      <c r="N550" s="66" t="s">
        <v>512</v>
      </c>
      <c r="O550" s="57"/>
      <c r="P550" s="60"/>
      <c r="Q550" s="60"/>
      <c r="R550" s="60"/>
      <c r="S550" s="60"/>
      <c r="T550" s="60"/>
      <c r="U550" s="60"/>
      <c r="V550" s="60"/>
      <c r="W550" s="60"/>
      <c r="X550" s="60"/>
      <c r="Y550" s="60"/>
      <c r="Z550" s="60"/>
    </row>
    <row r="551" spans="1:26" ht="15.75" customHeight="1" x14ac:dyDescent="0.2">
      <c r="A551" s="67" t="s">
        <v>1781</v>
      </c>
      <c r="B551" s="67" t="s">
        <v>1782</v>
      </c>
      <c r="C551" s="67" t="s">
        <v>1368</v>
      </c>
      <c r="D551" s="68" t="s">
        <v>1778</v>
      </c>
      <c r="E551" s="68" t="s">
        <v>1770</v>
      </c>
      <c r="F551" s="69"/>
      <c r="G551" s="67"/>
      <c r="H551" s="68" t="s">
        <v>1764</v>
      </c>
      <c r="I551" s="58">
        <v>100</v>
      </c>
      <c r="J551" s="58">
        <v>95.98</v>
      </c>
      <c r="K551" s="58">
        <v>0</v>
      </c>
      <c r="L551" s="58">
        <v>0</v>
      </c>
      <c r="M551" s="58" t="s">
        <v>1770</v>
      </c>
      <c r="N551" s="66" t="s">
        <v>512</v>
      </c>
      <c r="O551" s="57"/>
      <c r="P551" s="60"/>
      <c r="Q551" s="60"/>
      <c r="R551" s="60"/>
      <c r="S551" s="60"/>
      <c r="T551" s="60"/>
      <c r="U551" s="60"/>
      <c r="V551" s="60"/>
      <c r="W551" s="60"/>
      <c r="X551" s="60"/>
      <c r="Y551" s="60"/>
      <c r="Z551" s="60"/>
    </row>
    <row r="552" spans="1:26" ht="15.75" customHeight="1" x14ac:dyDescent="0.2">
      <c r="A552" s="67" t="s">
        <v>1783</v>
      </c>
      <c r="B552" s="67" t="s">
        <v>1784</v>
      </c>
      <c r="C552" s="67" t="s">
        <v>1368</v>
      </c>
      <c r="D552" s="68" t="s">
        <v>1773</v>
      </c>
      <c r="E552" s="68" t="s">
        <v>1770</v>
      </c>
      <c r="F552" s="69"/>
      <c r="G552" s="67"/>
      <c r="H552" s="68" t="s">
        <v>1764</v>
      </c>
      <c r="I552" s="58">
        <v>100</v>
      </c>
      <c r="J552" s="58">
        <v>97.5</v>
      </c>
      <c r="K552" s="58">
        <v>0</v>
      </c>
      <c r="L552" s="58">
        <v>0</v>
      </c>
      <c r="M552" s="58" t="s">
        <v>1770</v>
      </c>
      <c r="N552" s="66" t="s">
        <v>512</v>
      </c>
      <c r="O552" s="57"/>
      <c r="P552" s="60"/>
      <c r="Q552" s="60"/>
      <c r="R552" s="60"/>
      <c r="S552" s="60"/>
      <c r="T552" s="60"/>
      <c r="U552" s="60"/>
      <c r="V552" s="60"/>
      <c r="W552" s="60"/>
      <c r="X552" s="60"/>
      <c r="Y552" s="60"/>
      <c r="Z552" s="60"/>
    </row>
    <row r="553" spans="1:26" ht="15.75" customHeight="1" x14ac:dyDescent="0.2">
      <c r="A553" s="67" t="s">
        <v>1785</v>
      </c>
      <c r="B553" s="67" t="s">
        <v>1786</v>
      </c>
      <c r="C553" s="67" t="s">
        <v>1368</v>
      </c>
      <c r="D553" s="68" t="s">
        <v>408</v>
      </c>
      <c r="E553" s="68" t="s">
        <v>1787</v>
      </c>
      <c r="F553" s="69"/>
      <c r="G553" s="67"/>
      <c r="H553" s="68"/>
      <c r="I553" s="58">
        <v>100</v>
      </c>
      <c r="J553" s="58">
        <v>100</v>
      </c>
      <c r="K553" s="58">
        <v>0</v>
      </c>
      <c r="L553" s="58">
        <v>0</v>
      </c>
      <c r="M553" s="58" t="s">
        <v>1787</v>
      </c>
      <c r="N553" s="66" t="s">
        <v>412</v>
      </c>
      <c r="O553" s="57"/>
      <c r="P553" s="60"/>
      <c r="Q553" s="60"/>
      <c r="R553" s="60"/>
      <c r="S553" s="60"/>
      <c r="T553" s="60"/>
      <c r="U553" s="60"/>
      <c r="V553" s="60"/>
      <c r="W553" s="60"/>
      <c r="X553" s="60"/>
      <c r="Y553" s="60"/>
      <c r="Z553" s="60"/>
    </row>
    <row r="554" spans="1:26" ht="15.75" customHeight="1" x14ac:dyDescent="0.2">
      <c r="A554" s="67" t="s">
        <v>1788</v>
      </c>
      <c r="B554" s="67" t="s">
        <v>1789</v>
      </c>
      <c r="C554" s="67" t="s">
        <v>1790</v>
      </c>
      <c r="D554" s="68"/>
      <c r="E554" s="68" t="s">
        <v>1770</v>
      </c>
      <c r="F554" s="69"/>
      <c r="G554" s="67"/>
      <c r="H554" s="68"/>
      <c r="I554" s="58"/>
      <c r="J554" s="58"/>
      <c r="K554" s="58"/>
      <c r="L554" s="58"/>
      <c r="M554" s="58" t="s">
        <v>1770</v>
      </c>
      <c r="N554" s="66"/>
      <c r="O554" s="57"/>
      <c r="P554" s="60"/>
      <c r="Q554" s="60"/>
      <c r="R554" s="60"/>
      <c r="S554" s="60"/>
      <c r="T554" s="60"/>
      <c r="U554" s="60"/>
      <c r="V554" s="60"/>
      <c r="W554" s="60"/>
      <c r="X554" s="60"/>
      <c r="Y554" s="60"/>
      <c r="Z554" s="60"/>
    </row>
    <row r="555" spans="1:26" ht="15.75" customHeight="1" x14ac:dyDescent="0.2">
      <c r="A555" s="67" t="s">
        <v>1791</v>
      </c>
      <c r="B555" s="67" t="s">
        <v>1792</v>
      </c>
      <c r="C555" s="67" t="s">
        <v>1790</v>
      </c>
      <c r="D555" s="68"/>
      <c r="E555" s="68" t="s">
        <v>1770</v>
      </c>
      <c r="F555" s="69"/>
      <c r="G555" s="67"/>
      <c r="H555" s="68"/>
      <c r="I555" s="58"/>
      <c r="J555" s="58"/>
      <c r="K555" s="58"/>
      <c r="L555" s="58"/>
      <c r="M555" s="58" t="s">
        <v>1770</v>
      </c>
      <c r="N555" s="66"/>
      <c r="O555" s="57"/>
      <c r="P555" s="60"/>
      <c r="Q555" s="60"/>
      <c r="R555" s="60"/>
      <c r="S555" s="60"/>
      <c r="T555" s="60"/>
      <c r="U555" s="60"/>
      <c r="V555" s="60"/>
      <c r="W555" s="60"/>
      <c r="X555" s="60"/>
      <c r="Y555" s="60"/>
      <c r="Z555" s="60"/>
    </row>
    <row r="556" spans="1:26" ht="15.75" customHeight="1" x14ac:dyDescent="0.2">
      <c r="A556" s="67" t="s">
        <v>1793</v>
      </c>
      <c r="B556" s="67" t="s">
        <v>1794</v>
      </c>
      <c r="C556" s="67" t="s">
        <v>1790</v>
      </c>
      <c r="D556" s="68"/>
      <c r="E556" s="68" t="s">
        <v>1770</v>
      </c>
      <c r="F556" s="69"/>
      <c r="G556" s="67"/>
      <c r="H556" s="68"/>
      <c r="I556" s="58"/>
      <c r="J556" s="58"/>
      <c r="K556" s="58"/>
      <c r="L556" s="58"/>
      <c r="M556" s="58" t="s">
        <v>1770</v>
      </c>
      <c r="N556" s="66"/>
      <c r="O556" s="57"/>
      <c r="P556" s="60"/>
      <c r="Q556" s="60"/>
      <c r="R556" s="60"/>
      <c r="S556" s="60"/>
      <c r="T556" s="60"/>
      <c r="U556" s="60"/>
      <c r="V556" s="60"/>
      <c r="W556" s="60"/>
      <c r="X556" s="60"/>
      <c r="Y556" s="60"/>
      <c r="Z556" s="60"/>
    </row>
    <row r="557" spans="1:26" ht="15.75" customHeight="1" x14ac:dyDescent="0.2">
      <c r="A557" s="67" t="s">
        <v>1795</v>
      </c>
      <c r="B557" s="67" t="s">
        <v>1796</v>
      </c>
      <c r="C557" s="67" t="s">
        <v>279</v>
      </c>
      <c r="D557" s="68" t="s">
        <v>1797</v>
      </c>
      <c r="E557" s="68" t="s">
        <v>118</v>
      </c>
      <c r="F557" s="69"/>
      <c r="G557" s="67"/>
      <c r="H557" s="68" t="s">
        <v>1798</v>
      </c>
      <c r="I557" s="58"/>
      <c r="J557" s="58"/>
      <c r="K557" s="58"/>
      <c r="L557" s="58"/>
      <c r="M557" s="58" t="s">
        <v>118</v>
      </c>
      <c r="N557" s="66"/>
      <c r="O557" s="57"/>
      <c r="P557" s="60"/>
      <c r="Q557" s="60"/>
      <c r="R557" s="60"/>
      <c r="S557" s="60"/>
      <c r="T557" s="60"/>
      <c r="U557" s="60"/>
      <c r="V557" s="60"/>
      <c r="W557" s="60"/>
      <c r="X557" s="60"/>
      <c r="Y557" s="60"/>
      <c r="Z557" s="60"/>
    </row>
    <row r="558" spans="1:26" ht="15.75" customHeight="1" x14ac:dyDescent="0.2">
      <c r="A558" s="67" t="s">
        <v>1799</v>
      </c>
      <c r="B558" s="67" t="s">
        <v>1800</v>
      </c>
      <c r="C558" s="67" t="s">
        <v>1801</v>
      </c>
      <c r="D558" s="68" t="s">
        <v>1802</v>
      </c>
      <c r="E558" s="68" t="s">
        <v>261</v>
      </c>
      <c r="F558" s="69">
        <v>68.2</v>
      </c>
      <c r="G558" s="67"/>
      <c r="H558" s="68" t="s">
        <v>1803</v>
      </c>
      <c r="I558" s="58"/>
      <c r="J558" s="58"/>
      <c r="K558" s="58"/>
      <c r="L558" s="58"/>
      <c r="M558" s="58" t="s">
        <v>297</v>
      </c>
      <c r="N558" s="66" t="s">
        <v>1804</v>
      </c>
      <c r="O558" s="57"/>
      <c r="P558" s="60"/>
      <c r="Q558" s="60"/>
      <c r="R558" s="60"/>
      <c r="S558" s="60"/>
      <c r="T558" s="60"/>
      <c r="U558" s="60"/>
      <c r="V558" s="60"/>
      <c r="W558" s="60"/>
      <c r="X558" s="60"/>
      <c r="Y558" s="60"/>
      <c r="Z558" s="60"/>
    </row>
    <row r="559" spans="1:26" ht="106.5" customHeight="1" x14ac:dyDescent="0.2">
      <c r="A559" s="67" t="s">
        <v>1805</v>
      </c>
      <c r="B559" s="67" t="s">
        <v>1806</v>
      </c>
      <c r="C559" s="67" t="s">
        <v>1381</v>
      </c>
      <c r="D559" s="68" t="s">
        <v>1807</v>
      </c>
      <c r="E559" s="68" t="s">
        <v>297</v>
      </c>
      <c r="F559" s="69">
        <v>25.87</v>
      </c>
      <c r="G559" s="67"/>
      <c r="H559" s="68" t="s">
        <v>1808</v>
      </c>
      <c r="I559" s="58"/>
      <c r="J559" s="58"/>
      <c r="K559" s="58"/>
      <c r="L559" s="58"/>
      <c r="M559" s="58" t="s">
        <v>297</v>
      </c>
      <c r="N559" s="66" t="s">
        <v>1809</v>
      </c>
      <c r="O559" s="57"/>
      <c r="P559" s="60"/>
      <c r="Q559" s="60"/>
      <c r="R559" s="60"/>
      <c r="S559" s="60"/>
      <c r="T559" s="60"/>
      <c r="U559" s="60"/>
      <c r="V559" s="60"/>
      <c r="W559" s="60"/>
      <c r="X559" s="60"/>
      <c r="Y559" s="60"/>
      <c r="Z559" s="60"/>
    </row>
    <row r="560" spans="1:26" ht="33" customHeight="1" x14ac:dyDescent="0.2">
      <c r="A560" s="67" t="s">
        <v>1810</v>
      </c>
      <c r="B560" s="67" t="s">
        <v>1811</v>
      </c>
      <c r="C560" s="67" t="s">
        <v>1381</v>
      </c>
      <c r="D560" s="68" t="s">
        <v>1812</v>
      </c>
      <c r="E560" s="68" t="s">
        <v>297</v>
      </c>
      <c r="F560" s="69">
        <v>57.5</v>
      </c>
      <c r="G560" s="67"/>
      <c r="H560" s="68" t="s">
        <v>1813</v>
      </c>
      <c r="I560" s="58"/>
      <c r="J560" s="58"/>
      <c r="K560" s="58"/>
      <c r="L560" s="58"/>
      <c r="M560" s="58" t="s">
        <v>297</v>
      </c>
      <c r="N560" s="66" t="s">
        <v>1814</v>
      </c>
      <c r="O560" s="57"/>
      <c r="P560" s="60"/>
      <c r="Q560" s="60"/>
      <c r="R560" s="60"/>
      <c r="S560" s="60"/>
      <c r="T560" s="60"/>
      <c r="U560" s="60"/>
      <c r="V560" s="60"/>
      <c r="W560" s="60"/>
      <c r="X560" s="60"/>
      <c r="Y560" s="60"/>
      <c r="Z560" s="60"/>
    </row>
    <row r="561" spans="1:26" ht="48.75" customHeight="1" x14ac:dyDescent="0.2">
      <c r="A561" s="67" t="s">
        <v>1815</v>
      </c>
      <c r="B561" s="67" t="s">
        <v>1816</v>
      </c>
      <c r="C561" s="67" t="s">
        <v>1817</v>
      </c>
      <c r="D561" s="68" t="s">
        <v>1818</v>
      </c>
      <c r="E561" s="68" t="s">
        <v>297</v>
      </c>
      <c r="F561" s="69">
        <v>45.6</v>
      </c>
      <c r="G561" s="67"/>
      <c r="H561" s="68" t="s">
        <v>1819</v>
      </c>
      <c r="I561" s="58"/>
      <c r="J561" s="58"/>
      <c r="K561" s="58"/>
      <c r="L561" s="58"/>
      <c r="M561" s="58"/>
      <c r="N561" s="66"/>
      <c r="O561" s="57"/>
      <c r="P561" s="60"/>
      <c r="Q561" s="60"/>
      <c r="R561" s="60"/>
      <c r="S561" s="60"/>
      <c r="T561" s="60"/>
      <c r="U561" s="60"/>
      <c r="V561" s="60"/>
      <c r="W561" s="60"/>
      <c r="X561" s="60"/>
      <c r="Y561" s="60"/>
      <c r="Z561" s="60"/>
    </row>
    <row r="562" spans="1:26" ht="69" customHeight="1" x14ac:dyDescent="0.2">
      <c r="A562" s="67" t="s">
        <v>1820</v>
      </c>
      <c r="B562" s="67" t="s">
        <v>1821</v>
      </c>
      <c r="C562" s="67" t="s">
        <v>1822</v>
      </c>
      <c r="D562" s="68" t="s">
        <v>1823</v>
      </c>
      <c r="E562" s="68" t="s">
        <v>1824</v>
      </c>
      <c r="F562" s="69"/>
      <c r="G562" s="67"/>
      <c r="H562" s="68" t="s">
        <v>1825</v>
      </c>
      <c r="I562" s="58"/>
      <c r="J562" s="58"/>
      <c r="K562" s="58"/>
      <c r="L562" s="58"/>
      <c r="M562" s="58"/>
      <c r="N562" s="66"/>
      <c r="O562" s="57"/>
      <c r="P562" s="60"/>
      <c r="Q562" s="60"/>
      <c r="R562" s="60"/>
      <c r="S562" s="60"/>
      <c r="T562" s="60"/>
      <c r="U562" s="60"/>
      <c r="V562" s="60"/>
      <c r="W562" s="60"/>
      <c r="X562" s="60"/>
      <c r="Y562" s="60"/>
      <c r="Z562" s="60"/>
    </row>
    <row r="563" spans="1:26" ht="69" customHeight="1" x14ac:dyDescent="0.2">
      <c r="A563" s="67" t="s">
        <v>1826</v>
      </c>
      <c r="B563" s="67" t="s">
        <v>1827</v>
      </c>
      <c r="C563" s="67" t="s">
        <v>1828</v>
      </c>
      <c r="D563" s="68" t="s">
        <v>1829</v>
      </c>
      <c r="E563" s="68" t="s">
        <v>1830</v>
      </c>
      <c r="F563" s="69">
        <v>596</v>
      </c>
      <c r="G563" s="67"/>
      <c r="H563" s="68" t="s">
        <v>1831</v>
      </c>
      <c r="I563" s="58"/>
      <c r="J563" s="58"/>
      <c r="K563" s="58"/>
      <c r="L563" s="58"/>
      <c r="M563" s="58"/>
      <c r="N563" s="66"/>
      <c r="O563" s="57"/>
      <c r="P563" s="60"/>
      <c r="Q563" s="60"/>
      <c r="R563" s="60"/>
      <c r="S563" s="60"/>
      <c r="T563" s="60"/>
      <c r="U563" s="60"/>
      <c r="V563" s="60"/>
      <c r="W563" s="60"/>
      <c r="X563" s="60"/>
      <c r="Y563" s="60"/>
      <c r="Z563" s="60"/>
    </row>
    <row r="564" spans="1:26" ht="69" customHeight="1" x14ac:dyDescent="0.2">
      <c r="A564" s="4" t="s">
        <v>1832</v>
      </c>
      <c r="B564" s="4" t="s">
        <v>1833</v>
      </c>
      <c r="C564" s="4" t="s">
        <v>765</v>
      </c>
      <c r="D564" s="4"/>
      <c r="E564" s="4"/>
      <c r="F564" s="4"/>
      <c r="G564" s="4" t="s">
        <v>42</v>
      </c>
      <c r="H564" s="19" t="s">
        <v>1834</v>
      </c>
      <c r="I564" s="5"/>
      <c r="J564" s="5"/>
      <c r="K564" s="5"/>
      <c r="L564" s="5"/>
      <c r="M564" s="5"/>
      <c r="N564" s="5"/>
      <c r="O564" s="57"/>
      <c r="P564" s="60"/>
      <c r="Q564" s="60"/>
      <c r="R564" s="60"/>
      <c r="S564" s="60"/>
      <c r="T564" s="60"/>
      <c r="U564" s="60"/>
      <c r="V564" s="60"/>
      <c r="W564" s="60"/>
      <c r="X564" s="60"/>
      <c r="Y564" s="60"/>
      <c r="Z564" s="60"/>
    </row>
    <row r="565" spans="1:26" ht="15.75" customHeight="1" x14ac:dyDescent="0.2">
      <c r="A565" s="4" t="s">
        <v>1835</v>
      </c>
      <c r="B565" s="4" t="s">
        <v>1836</v>
      </c>
      <c r="C565" s="4" t="s">
        <v>656</v>
      </c>
      <c r="D565" s="4"/>
      <c r="E565" s="4"/>
      <c r="F565" s="4"/>
      <c r="G565" s="4"/>
      <c r="H565" s="4"/>
      <c r="I565" s="5"/>
      <c r="J565" s="5"/>
      <c r="K565" s="5"/>
      <c r="L565" s="5"/>
      <c r="M565" s="5"/>
      <c r="N565" s="5"/>
      <c r="O565" s="57"/>
      <c r="P565" s="60"/>
      <c r="Q565" s="60"/>
      <c r="R565" s="60"/>
      <c r="S565" s="60"/>
      <c r="T565" s="60"/>
      <c r="U565" s="60"/>
      <c r="V565" s="60"/>
      <c r="W565" s="60"/>
      <c r="X565" s="60"/>
      <c r="Y565" s="60"/>
      <c r="Z565" s="60"/>
    </row>
    <row r="566" spans="1:26" ht="15.75" customHeight="1" x14ac:dyDescent="0.2">
      <c r="A566" s="4" t="s">
        <v>1837</v>
      </c>
      <c r="B566" s="4" t="s">
        <v>1838</v>
      </c>
      <c r="C566" s="4" t="s">
        <v>629</v>
      </c>
      <c r="D566" s="4"/>
      <c r="E566" s="4" t="s">
        <v>21</v>
      </c>
      <c r="F566" s="4">
        <v>1700</v>
      </c>
      <c r="G566" s="4"/>
      <c r="H566" s="4"/>
      <c r="I566" s="5"/>
      <c r="J566" s="5"/>
      <c r="K566" s="5"/>
      <c r="L566" s="5"/>
      <c r="M566" s="5"/>
      <c r="N566" s="5"/>
      <c r="O566" s="57"/>
      <c r="P566" s="60"/>
      <c r="Q566" s="60"/>
      <c r="R566" s="60"/>
      <c r="S566" s="60"/>
      <c r="T566" s="60"/>
      <c r="U566" s="60"/>
      <c r="V566" s="60"/>
      <c r="W566" s="60"/>
      <c r="X566" s="60"/>
      <c r="Y566" s="60"/>
      <c r="Z566" s="60"/>
    </row>
    <row r="567" spans="1:26" ht="15.75" customHeight="1" x14ac:dyDescent="0.2">
      <c r="A567" s="4" t="s">
        <v>1839</v>
      </c>
      <c r="B567" s="4" t="s">
        <v>1840</v>
      </c>
      <c r="C567" s="4" t="s">
        <v>20</v>
      </c>
      <c r="D567" s="4"/>
      <c r="E567" s="4" t="s">
        <v>755</v>
      </c>
      <c r="F567" s="4">
        <v>1200</v>
      </c>
      <c r="G567" s="4"/>
      <c r="H567" s="4" t="s">
        <v>1841</v>
      </c>
      <c r="I567" s="5"/>
      <c r="J567" s="5"/>
      <c r="K567" s="5"/>
      <c r="L567" s="5"/>
      <c r="M567" s="5"/>
      <c r="N567" s="5"/>
      <c r="O567" s="4"/>
      <c r="P567" s="60"/>
      <c r="Q567" s="60"/>
      <c r="R567" s="60"/>
      <c r="S567" s="60"/>
      <c r="T567" s="60"/>
      <c r="U567" s="60"/>
      <c r="V567" s="60"/>
      <c r="W567" s="60"/>
      <c r="X567" s="60"/>
      <c r="Y567" s="60"/>
      <c r="Z567" s="60"/>
    </row>
    <row r="568" spans="1:26" ht="15.75" customHeight="1" x14ac:dyDescent="0.2">
      <c r="A568" s="4" t="s">
        <v>1842</v>
      </c>
      <c r="B568" s="4" t="s">
        <v>1843</v>
      </c>
      <c r="C568" s="4" t="s">
        <v>765</v>
      </c>
      <c r="D568" s="4"/>
      <c r="E568" s="4"/>
      <c r="F568" s="4"/>
      <c r="G568" s="4"/>
      <c r="H568" s="4"/>
      <c r="I568" s="5"/>
      <c r="J568" s="5"/>
      <c r="K568" s="5"/>
      <c r="L568" s="5"/>
      <c r="M568" s="5"/>
      <c r="N568" s="5"/>
      <c r="O568" s="57"/>
      <c r="P568" s="60"/>
      <c r="Q568" s="60"/>
      <c r="R568" s="60"/>
      <c r="S568" s="60"/>
      <c r="T568" s="60"/>
      <c r="U568" s="60"/>
      <c r="V568" s="60"/>
      <c r="W568" s="60"/>
      <c r="X568" s="60"/>
      <c r="Y568" s="60"/>
      <c r="Z568" s="60"/>
    </row>
    <row r="569" spans="1:26" ht="15.75" customHeight="1" x14ac:dyDescent="0.2">
      <c r="A569" s="4" t="s">
        <v>1844</v>
      </c>
      <c r="B569" s="4" t="s">
        <v>1845</v>
      </c>
      <c r="C569" s="4" t="s">
        <v>683</v>
      </c>
      <c r="D569" s="4"/>
      <c r="E569" s="4" t="s">
        <v>21</v>
      </c>
      <c r="F569" s="4"/>
      <c r="G569" s="4"/>
      <c r="H569" s="4"/>
      <c r="I569" s="5"/>
      <c r="J569" s="5"/>
      <c r="K569" s="5"/>
      <c r="L569" s="5"/>
      <c r="M569" s="5"/>
      <c r="N569" s="5"/>
      <c r="O569" s="57"/>
      <c r="P569" s="15"/>
      <c r="Q569" s="15"/>
      <c r="R569" s="15"/>
      <c r="S569" s="15"/>
      <c r="T569" s="15"/>
      <c r="U569" s="15"/>
      <c r="V569" s="15"/>
      <c r="W569" s="15"/>
      <c r="X569" s="15"/>
      <c r="Y569" s="15"/>
      <c r="Z569" s="15"/>
    </row>
    <row r="570" spans="1:26" ht="15.75" customHeight="1" x14ac:dyDescent="0.2">
      <c r="A570" s="4" t="s">
        <v>1846</v>
      </c>
      <c r="B570" s="4" t="s">
        <v>1847</v>
      </c>
      <c r="C570" s="4" t="s">
        <v>960</v>
      </c>
      <c r="D570" s="4" t="s">
        <v>1848</v>
      </c>
      <c r="E570" s="4" t="s">
        <v>21</v>
      </c>
      <c r="F570" s="4"/>
      <c r="G570" s="4"/>
      <c r="H570" s="4"/>
      <c r="I570" s="5"/>
      <c r="J570" s="5"/>
      <c r="K570" s="5"/>
      <c r="L570" s="5"/>
      <c r="M570" s="5"/>
      <c r="N570" s="5"/>
      <c r="O570" s="4"/>
      <c r="P570" s="60"/>
      <c r="Q570" s="60"/>
      <c r="R570" s="60"/>
      <c r="S570" s="60"/>
      <c r="T570" s="60"/>
      <c r="U570" s="60"/>
      <c r="V570" s="60"/>
      <c r="W570" s="60"/>
      <c r="X570" s="60"/>
      <c r="Y570" s="60"/>
      <c r="Z570" s="60"/>
    </row>
    <row r="571" spans="1:26" ht="15.75" customHeight="1" x14ac:dyDescent="0.2">
      <c r="A571" s="4" t="s">
        <v>1849</v>
      </c>
      <c r="B571" s="4" t="s">
        <v>1850</v>
      </c>
      <c r="C571" s="4" t="s">
        <v>765</v>
      </c>
      <c r="D571" s="4"/>
      <c r="E571" s="4"/>
      <c r="F571" s="4"/>
      <c r="G571" s="4"/>
      <c r="H571" s="4"/>
      <c r="I571" s="5"/>
      <c r="J571" s="5"/>
      <c r="K571" s="5"/>
      <c r="L571" s="5"/>
      <c r="M571" s="5"/>
      <c r="N571" s="5"/>
      <c r="O571" s="4"/>
      <c r="P571" s="60"/>
      <c r="Q571" s="60"/>
      <c r="R571" s="60"/>
      <c r="S571" s="60"/>
      <c r="T571" s="60"/>
      <c r="U571" s="60"/>
      <c r="V571" s="60"/>
      <c r="W571" s="60"/>
      <c r="X571" s="60"/>
      <c r="Y571" s="60"/>
      <c r="Z571" s="60"/>
    </row>
    <row r="572" spans="1:26" ht="15.75" customHeight="1" x14ac:dyDescent="0.2">
      <c r="A572" s="4" t="s">
        <v>1851</v>
      </c>
      <c r="B572" s="4" t="s">
        <v>1852</v>
      </c>
      <c r="C572" s="4" t="s">
        <v>1853</v>
      </c>
      <c r="D572" s="4"/>
      <c r="E572" s="4"/>
      <c r="F572" s="4"/>
      <c r="G572" s="4"/>
      <c r="H572" s="4"/>
      <c r="I572" s="5"/>
      <c r="J572" s="5"/>
      <c r="K572" s="5"/>
      <c r="L572" s="5"/>
      <c r="M572" s="5"/>
      <c r="N572" s="5"/>
      <c r="O572" s="4"/>
      <c r="P572" s="60"/>
      <c r="Q572" s="60"/>
      <c r="R572" s="60"/>
      <c r="S572" s="60"/>
      <c r="T572" s="60"/>
      <c r="U572" s="60"/>
      <c r="V572" s="60"/>
      <c r="W572" s="60"/>
      <c r="X572" s="60"/>
      <c r="Y572" s="60"/>
      <c r="Z572" s="60"/>
    </row>
    <row r="573" spans="1:26" ht="15.75" customHeight="1" x14ac:dyDescent="0.2">
      <c r="A573" s="4" t="s">
        <v>1854</v>
      </c>
      <c r="B573" s="4" t="s">
        <v>1855</v>
      </c>
      <c r="C573" s="4" t="s">
        <v>20</v>
      </c>
      <c r="D573" s="4"/>
      <c r="E573" s="4" t="s">
        <v>21</v>
      </c>
      <c r="F573" s="4">
        <v>190</v>
      </c>
      <c r="G573" s="4"/>
      <c r="H573" s="4"/>
      <c r="I573" s="5"/>
      <c r="J573" s="5"/>
      <c r="K573" s="5"/>
      <c r="L573" s="5"/>
      <c r="M573" s="5"/>
      <c r="N573" s="5"/>
      <c r="O573" s="4"/>
      <c r="P573" s="60"/>
      <c r="Q573" s="60"/>
      <c r="R573" s="60"/>
      <c r="S573" s="60"/>
      <c r="T573" s="60"/>
      <c r="U573" s="60"/>
      <c r="V573" s="60"/>
      <c r="W573" s="60"/>
      <c r="X573" s="60"/>
      <c r="Y573" s="60"/>
      <c r="Z573" s="60"/>
    </row>
    <row r="574" spans="1:26" ht="15.75" customHeight="1" x14ac:dyDescent="0.2">
      <c r="A574" s="4" t="s">
        <v>1856</v>
      </c>
      <c r="B574" s="4" t="s">
        <v>1857</v>
      </c>
      <c r="C574" s="4" t="s">
        <v>16</v>
      </c>
      <c r="D574" s="4" t="s">
        <v>1858</v>
      </c>
      <c r="E574" s="4" t="s">
        <v>21</v>
      </c>
      <c r="F574" s="4"/>
      <c r="G574" s="4"/>
      <c r="H574" s="4"/>
      <c r="I574" s="5"/>
      <c r="J574" s="5"/>
      <c r="K574" s="5"/>
      <c r="L574" s="5"/>
      <c r="M574" s="5"/>
      <c r="N574" s="5"/>
      <c r="O574" s="4"/>
      <c r="P574" s="60"/>
      <c r="Q574" s="60"/>
      <c r="R574" s="60"/>
      <c r="S574" s="60"/>
      <c r="T574" s="60"/>
      <c r="U574" s="60"/>
      <c r="V574" s="60"/>
      <c r="W574" s="60"/>
      <c r="X574" s="60"/>
      <c r="Y574" s="60"/>
      <c r="Z574" s="60"/>
    </row>
    <row r="575" spans="1:26" ht="15.75" customHeight="1" x14ac:dyDescent="0.2">
      <c r="A575" s="4" t="s">
        <v>1859</v>
      </c>
      <c r="B575" s="4" t="s">
        <v>1860</v>
      </c>
      <c r="C575" s="4" t="s">
        <v>20</v>
      </c>
      <c r="D575" s="4"/>
      <c r="E575" s="4" t="s">
        <v>755</v>
      </c>
      <c r="F575" s="4"/>
      <c r="G575" s="4"/>
      <c r="H575" s="4"/>
      <c r="I575" s="5"/>
      <c r="J575" s="5"/>
      <c r="K575" s="5"/>
      <c r="L575" s="5"/>
      <c r="M575" s="5"/>
      <c r="N575" s="5"/>
      <c r="O575" s="4"/>
      <c r="P575" s="60"/>
      <c r="Q575" s="60"/>
      <c r="R575" s="60"/>
      <c r="S575" s="60"/>
      <c r="T575" s="60"/>
      <c r="U575" s="60"/>
      <c r="V575" s="60"/>
      <c r="W575" s="60"/>
      <c r="X575" s="60"/>
      <c r="Y575" s="60"/>
      <c r="Z575" s="60"/>
    </row>
    <row r="576" spans="1:26" ht="15.75" customHeight="1" x14ac:dyDescent="0.2">
      <c r="A576" s="4" t="s">
        <v>1861</v>
      </c>
      <c r="B576" s="4" t="s">
        <v>1862</v>
      </c>
      <c r="C576" s="4" t="s">
        <v>26</v>
      </c>
      <c r="D576" s="4"/>
      <c r="E576" s="4"/>
      <c r="F576" s="4"/>
      <c r="G576" s="4"/>
      <c r="H576" s="4"/>
      <c r="I576" s="5"/>
      <c r="J576" s="5"/>
      <c r="K576" s="5"/>
      <c r="L576" s="5"/>
      <c r="M576" s="5"/>
      <c r="N576" s="5"/>
      <c r="O576" s="4"/>
      <c r="P576" s="60"/>
      <c r="Q576" s="60"/>
      <c r="R576" s="60"/>
      <c r="S576" s="60"/>
      <c r="T576" s="60"/>
      <c r="U576" s="60"/>
      <c r="V576" s="60"/>
      <c r="W576" s="60"/>
      <c r="X576" s="60"/>
      <c r="Y576" s="60"/>
      <c r="Z576" s="60"/>
    </row>
    <row r="577" spans="1:26" ht="15.75" customHeight="1" x14ac:dyDescent="0.2">
      <c r="A577" s="4" t="s">
        <v>1863</v>
      </c>
      <c r="B577" s="4" t="s">
        <v>1864</v>
      </c>
      <c r="C577" s="4" t="s">
        <v>26</v>
      </c>
      <c r="D577" s="4"/>
      <c r="E577" s="4"/>
      <c r="F577" s="4"/>
      <c r="G577" s="4"/>
      <c r="H577" s="4"/>
      <c r="I577" s="5"/>
      <c r="J577" s="5"/>
      <c r="K577" s="5"/>
      <c r="L577" s="5"/>
      <c r="M577" s="5"/>
      <c r="N577" s="5"/>
      <c r="O577" s="4"/>
      <c r="P577" s="60"/>
      <c r="Q577" s="60"/>
      <c r="R577" s="60"/>
      <c r="S577" s="60"/>
      <c r="T577" s="60"/>
      <c r="U577" s="60"/>
      <c r="V577" s="60"/>
      <c r="W577" s="60"/>
      <c r="X577" s="60"/>
      <c r="Y577" s="60"/>
      <c r="Z577" s="60"/>
    </row>
    <row r="578" spans="1:26" ht="15.75" customHeight="1" x14ac:dyDescent="0.2">
      <c r="A578" s="4" t="s">
        <v>1865</v>
      </c>
      <c r="B578" s="4" t="s">
        <v>1866</v>
      </c>
      <c r="C578" s="4" t="s">
        <v>656</v>
      </c>
      <c r="D578" s="4"/>
      <c r="E578" s="4" t="s">
        <v>1867</v>
      </c>
      <c r="F578" s="4"/>
      <c r="G578" s="4"/>
      <c r="H578" s="4"/>
      <c r="I578" s="5"/>
      <c r="J578" s="5"/>
      <c r="K578" s="5"/>
      <c r="L578" s="5"/>
      <c r="M578" s="5"/>
      <c r="N578" s="5"/>
      <c r="O578" s="4"/>
      <c r="P578" s="60"/>
      <c r="Q578" s="60"/>
      <c r="R578" s="60"/>
      <c r="S578" s="60"/>
      <c r="T578" s="60"/>
      <c r="U578" s="60"/>
      <c r="V578" s="60"/>
      <c r="W578" s="60"/>
      <c r="X578" s="60"/>
      <c r="Y578" s="60"/>
      <c r="Z578" s="60"/>
    </row>
    <row r="579" spans="1:26" ht="15.75" customHeight="1" x14ac:dyDescent="0.2">
      <c r="A579" s="4" t="s">
        <v>1868</v>
      </c>
      <c r="B579" s="4" t="s">
        <v>1869</v>
      </c>
      <c r="C579" s="4" t="s">
        <v>20</v>
      </c>
      <c r="D579" s="4"/>
      <c r="E579" s="4"/>
      <c r="F579" s="4"/>
      <c r="G579" s="4"/>
      <c r="H579" s="4"/>
      <c r="I579" s="5"/>
      <c r="J579" s="5"/>
      <c r="K579" s="5"/>
      <c r="L579" s="5"/>
      <c r="M579" s="5"/>
      <c r="N579" s="5"/>
      <c r="O579" s="4"/>
      <c r="P579" s="6"/>
      <c r="Q579" s="6"/>
      <c r="R579" s="6"/>
      <c r="S579" s="6"/>
      <c r="T579" s="6"/>
      <c r="U579" s="6"/>
      <c r="V579" s="6"/>
      <c r="W579" s="6"/>
      <c r="X579" s="6"/>
      <c r="Y579" s="6"/>
      <c r="Z579" s="6"/>
    </row>
    <row r="580" spans="1:26" ht="15.75" customHeight="1" x14ac:dyDescent="0.2">
      <c r="A580" s="4" t="s">
        <v>1870</v>
      </c>
      <c r="B580" s="4" t="s">
        <v>1871</v>
      </c>
      <c r="C580" s="4" t="s">
        <v>20</v>
      </c>
      <c r="D580" s="4"/>
      <c r="E580" s="4" t="s">
        <v>21</v>
      </c>
      <c r="F580" s="4">
        <v>5800</v>
      </c>
      <c r="G580" s="4"/>
      <c r="H580" s="4"/>
      <c r="I580" s="5">
        <v>100</v>
      </c>
      <c r="J580" s="5">
        <v>100</v>
      </c>
      <c r="K580" s="5">
        <v>0</v>
      </c>
      <c r="L580" s="5">
        <v>0</v>
      </c>
      <c r="M580" s="5"/>
      <c r="N580" s="5"/>
      <c r="O580" s="4"/>
      <c r="P580" s="6"/>
      <c r="Q580" s="6"/>
      <c r="R580" s="6"/>
      <c r="S580" s="6"/>
      <c r="T580" s="6"/>
      <c r="U580" s="6"/>
      <c r="V580" s="6"/>
      <c r="W580" s="6"/>
      <c r="X580" s="6"/>
      <c r="Y580" s="6"/>
      <c r="Z580" s="6"/>
    </row>
    <row r="581" spans="1:26" ht="15.75" customHeight="1" x14ac:dyDescent="0.2">
      <c r="A581" s="4" t="s">
        <v>1872</v>
      </c>
      <c r="B581" s="4" t="s">
        <v>1873</v>
      </c>
      <c r="C581" s="4" t="s">
        <v>765</v>
      </c>
      <c r="D581" s="4"/>
      <c r="E581" s="4"/>
      <c r="F581" s="4"/>
      <c r="G581" s="4"/>
      <c r="H581" s="4"/>
      <c r="I581" s="5"/>
      <c r="J581" s="5"/>
      <c r="K581" s="5"/>
      <c r="L581" s="5"/>
      <c r="M581" s="5"/>
      <c r="N581" s="5"/>
      <c r="O581" s="4"/>
      <c r="P581" s="6"/>
      <c r="Q581" s="6"/>
      <c r="R581" s="6"/>
      <c r="S581" s="6"/>
      <c r="T581" s="6"/>
      <c r="U581" s="6"/>
      <c r="V581" s="6"/>
      <c r="W581" s="6"/>
      <c r="X581" s="6"/>
      <c r="Y581" s="6"/>
      <c r="Z581" s="6"/>
    </row>
    <row r="582" spans="1:26" ht="15.75" customHeight="1" x14ac:dyDescent="0.2">
      <c r="A582" s="4" t="s">
        <v>1874</v>
      </c>
      <c r="B582" s="4" t="s">
        <v>1875</v>
      </c>
      <c r="C582" s="4" t="s">
        <v>803</v>
      </c>
      <c r="D582" s="4" t="s">
        <v>1876</v>
      </c>
      <c r="E582" s="4" t="s">
        <v>21</v>
      </c>
      <c r="F582" s="4"/>
      <c r="G582" s="4"/>
      <c r="H582" s="4"/>
      <c r="I582" s="5"/>
      <c r="J582" s="5"/>
      <c r="K582" s="5"/>
      <c r="L582" s="5"/>
      <c r="M582" s="5"/>
      <c r="N582" s="5"/>
      <c r="O582" s="4"/>
      <c r="P582" s="6"/>
      <c r="Q582" s="6"/>
      <c r="R582" s="6"/>
      <c r="S582" s="6"/>
      <c r="T582" s="6"/>
      <c r="U582" s="6"/>
      <c r="V582" s="6"/>
      <c r="W582" s="6"/>
      <c r="X582" s="6"/>
      <c r="Y582" s="6"/>
      <c r="Z582" s="6"/>
    </row>
    <row r="583" spans="1:26" ht="15.75" customHeight="1" x14ac:dyDescent="0.2">
      <c r="A583" s="4" t="s">
        <v>1877</v>
      </c>
      <c r="B583" s="4" t="s">
        <v>1875</v>
      </c>
      <c r="C583" s="4" t="s">
        <v>16</v>
      </c>
      <c r="D583" s="4"/>
      <c r="E583" s="4" t="s">
        <v>21</v>
      </c>
      <c r="F583" s="4"/>
      <c r="G583" s="4"/>
      <c r="H583" s="4"/>
      <c r="I583" s="5"/>
      <c r="J583" s="5"/>
      <c r="K583" s="5"/>
      <c r="L583" s="5"/>
      <c r="M583" s="5"/>
      <c r="N583" s="5"/>
      <c r="O583" s="4"/>
      <c r="P583" s="6"/>
      <c r="Q583" s="6"/>
      <c r="R583" s="6"/>
      <c r="S583" s="6"/>
      <c r="T583" s="6"/>
      <c r="U583" s="6"/>
      <c r="V583" s="6"/>
      <c r="W583" s="6"/>
      <c r="X583" s="6"/>
      <c r="Y583" s="6"/>
      <c r="Z583" s="6"/>
    </row>
    <row r="584" spans="1:26" ht="15.75" customHeight="1" x14ac:dyDescent="0.2">
      <c r="A584" s="4" t="s">
        <v>1878</v>
      </c>
      <c r="B584" s="4" t="s">
        <v>1879</v>
      </c>
      <c r="C584" s="4" t="s">
        <v>656</v>
      </c>
      <c r="D584" s="4"/>
      <c r="E584" s="4"/>
      <c r="F584" s="4"/>
      <c r="G584" s="4"/>
      <c r="H584" s="4"/>
      <c r="I584" s="5"/>
      <c r="J584" s="5"/>
      <c r="K584" s="5"/>
      <c r="L584" s="5"/>
      <c r="M584" s="5"/>
      <c r="N584" s="5"/>
      <c r="O584" s="4"/>
      <c r="P584" s="6"/>
      <c r="Q584" s="6"/>
      <c r="R584" s="6"/>
      <c r="S584" s="6"/>
      <c r="T584" s="6"/>
      <c r="U584" s="6"/>
      <c r="V584" s="6"/>
      <c r="W584" s="6"/>
      <c r="X584" s="6"/>
      <c r="Y584" s="6"/>
      <c r="Z584" s="6"/>
    </row>
    <row r="585" spans="1:26" ht="15.75" customHeight="1" x14ac:dyDescent="0.2">
      <c r="A585" s="4" t="s">
        <v>1880</v>
      </c>
      <c r="B585" s="4" t="s">
        <v>1881</v>
      </c>
      <c r="C585" s="4" t="s">
        <v>683</v>
      </c>
      <c r="D585" s="4"/>
      <c r="E585" s="4" t="s">
        <v>21</v>
      </c>
      <c r="F585" s="4"/>
      <c r="G585" s="4"/>
      <c r="H585" s="4"/>
      <c r="I585" s="5"/>
      <c r="J585" s="5"/>
      <c r="K585" s="5"/>
      <c r="L585" s="5"/>
      <c r="M585" s="5"/>
      <c r="N585" s="5"/>
      <c r="O585" s="4"/>
      <c r="P585" s="6"/>
      <c r="Q585" s="6"/>
      <c r="R585" s="6"/>
      <c r="S585" s="6"/>
      <c r="T585" s="6"/>
      <c r="U585" s="6"/>
      <c r="V585" s="6"/>
      <c r="W585" s="6"/>
      <c r="X585" s="6"/>
      <c r="Y585" s="6"/>
      <c r="Z585" s="6"/>
    </row>
    <row r="586" spans="1:26" ht="15.75" customHeight="1" x14ac:dyDescent="0.2">
      <c r="A586" s="4" t="s">
        <v>1882</v>
      </c>
      <c r="B586" s="4" t="s">
        <v>1883</v>
      </c>
      <c r="C586" s="4" t="s">
        <v>653</v>
      </c>
      <c r="D586" s="4"/>
      <c r="E586" s="4"/>
      <c r="F586" s="4"/>
      <c r="G586" s="4"/>
      <c r="H586" s="4"/>
      <c r="I586" s="5"/>
      <c r="J586" s="5"/>
      <c r="K586" s="5"/>
      <c r="L586" s="5"/>
      <c r="M586" s="5"/>
      <c r="N586" s="5"/>
      <c r="O586" s="4"/>
      <c r="P586" s="6"/>
      <c r="Q586" s="6"/>
      <c r="R586" s="6"/>
      <c r="S586" s="6"/>
      <c r="T586" s="6"/>
      <c r="U586" s="6"/>
      <c r="V586" s="6"/>
      <c r="W586" s="6"/>
      <c r="X586" s="6"/>
      <c r="Y586" s="6"/>
      <c r="Z586" s="6"/>
    </row>
    <row r="587" spans="1:26" ht="15.75" customHeight="1" x14ac:dyDescent="0.2">
      <c r="A587" s="4" t="s">
        <v>1884</v>
      </c>
      <c r="B587" s="4" t="s">
        <v>1885</v>
      </c>
      <c r="C587" s="4" t="s">
        <v>653</v>
      </c>
      <c r="D587" s="4"/>
      <c r="E587" s="4"/>
      <c r="F587" s="4"/>
      <c r="G587" s="4"/>
      <c r="H587" s="4"/>
      <c r="I587" s="5"/>
      <c r="J587" s="5"/>
      <c r="K587" s="5"/>
      <c r="L587" s="5"/>
      <c r="M587" s="5"/>
      <c r="N587" s="5"/>
      <c r="O587" s="4"/>
      <c r="P587" s="6"/>
      <c r="Q587" s="6"/>
      <c r="R587" s="6"/>
      <c r="S587" s="6"/>
      <c r="T587" s="6"/>
      <c r="U587" s="6"/>
      <c r="V587" s="6"/>
      <c r="W587" s="6"/>
      <c r="X587" s="6"/>
      <c r="Y587" s="6"/>
      <c r="Z587" s="6"/>
    </row>
    <row r="588" spans="1:26" ht="15.75" customHeight="1" x14ac:dyDescent="0.2">
      <c r="A588" s="4" t="s">
        <v>1886</v>
      </c>
      <c r="B588" s="4" t="s">
        <v>1887</v>
      </c>
      <c r="C588" s="4" t="s">
        <v>656</v>
      </c>
      <c r="D588" s="4"/>
      <c r="E588" s="4"/>
      <c r="F588" s="4"/>
      <c r="G588" s="4"/>
      <c r="H588" s="4"/>
      <c r="I588" s="5"/>
      <c r="J588" s="5"/>
      <c r="K588" s="5"/>
      <c r="L588" s="5"/>
      <c r="M588" s="5"/>
      <c r="N588" s="5"/>
      <c r="O588" s="4"/>
      <c r="P588" s="6"/>
      <c r="Q588" s="6"/>
      <c r="R588" s="6"/>
      <c r="S588" s="6"/>
      <c r="T588" s="6"/>
      <c r="U588" s="6"/>
      <c r="V588" s="6"/>
      <c r="W588" s="6"/>
      <c r="X588" s="6"/>
      <c r="Y588" s="6"/>
      <c r="Z588" s="6"/>
    </row>
    <row r="589" spans="1:26" ht="15.75" customHeight="1" x14ac:dyDescent="0.2">
      <c r="A589" s="4" t="s">
        <v>1888</v>
      </c>
      <c r="B589" s="4" t="s">
        <v>1889</v>
      </c>
      <c r="C589" s="4" t="s">
        <v>597</v>
      </c>
      <c r="D589" s="4"/>
      <c r="E589" s="4"/>
      <c r="F589" s="4"/>
      <c r="G589" s="4"/>
      <c r="H589" s="4"/>
      <c r="I589" s="5"/>
      <c r="J589" s="5"/>
      <c r="K589" s="5"/>
      <c r="L589" s="5"/>
      <c r="M589" s="5"/>
      <c r="N589" s="5"/>
      <c r="O589" s="4"/>
      <c r="P589" s="6"/>
      <c r="Q589" s="6"/>
      <c r="R589" s="6"/>
      <c r="S589" s="6"/>
      <c r="T589" s="6"/>
      <c r="U589" s="6"/>
      <c r="V589" s="6"/>
      <c r="W589" s="6"/>
      <c r="X589" s="6"/>
      <c r="Y589" s="6"/>
      <c r="Z589" s="6"/>
    </row>
    <row r="590" spans="1:26" ht="15.75" customHeight="1" x14ac:dyDescent="0.2">
      <c r="A590" s="4" t="s">
        <v>1890</v>
      </c>
      <c r="B590" s="4" t="s">
        <v>1891</v>
      </c>
      <c r="C590" s="4" t="s">
        <v>16</v>
      </c>
      <c r="D590" s="4"/>
      <c r="E590" s="4" t="s">
        <v>21</v>
      </c>
      <c r="F590" s="4"/>
      <c r="G590" s="4"/>
      <c r="H590" s="4"/>
      <c r="I590" s="5"/>
      <c r="J590" s="5"/>
      <c r="K590" s="5"/>
      <c r="L590" s="5"/>
      <c r="M590" s="5"/>
      <c r="N590" s="5"/>
      <c r="O590" s="4"/>
      <c r="P590" s="6"/>
      <c r="Q590" s="6"/>
      <c r="R590" s="6"/>
      <c r="S590" s="6"/>
      <c r="T590" s="6"/>
      <c r="U590" s="6"/>
      <c r="V590" s="6"/>
      <c r="W590" s="6"/>
      <c r="X590" s="6"/>
      <c r="Y590" s="6"/>
      <c r="Z590" s="6"/>
    </row>
    <row r="591" spans="1:26" ht="15.75" customHeight="1" x14ac:dyDescent="0.2">
      <c r="A591" s="4" t="s">
        <v>1892</v>
      </c>
      <c r="B591" s="4" t="s">
        <v>1893</v>
      </c>
      <c r="C591" s="4" t="s">
        <v>683</v>
      </c>
      <c r="D591" s="4"/>
      <c r="E591" s="4" t="s">
        <v>21</v>
      </c>
      <c r="F591" s="4"/>
      <c r="G591" s="4"/>
      <c r="H591" s="4"/>
      <c r="I591" s="5"/>
      <c r="J591" s="5"/>
      <c r="K591" s="5"/>
      <c r="L591" s="5"/>
      <c r="M591" s="5"/>
      <c r="N591" s="5"/>
      <c r="O591" s="4"/>
      <c r="P591" s="6"/>
      <c r="Q591" s="6"/>
      <c r="R591" s="6"/>
      <c r="S591" s="6"/>
      <c r="T591" s="6"/>
      <c r="U591" s="6"/>
      <c r="V591" s="6"/>
      <c r="W591" s="6"/>
      <c r="X591" s="6"/>
      <c r="Y591" s="6"/>
      <c r="Z591" s="6"/>
    </row>
    <row r="592" spans="1:26" ht="15.75" customHeight="1" x14ac:dyDescent="0.2">
      <c r="A592" s="4" t="s">
        <v>1894</v>
      </c>
      <c r="B592" s="4" t="s">
        <v>1895</v>
      </c>
      <c r="C592" s="4" t="s">
        <v>653</v>
      </c>
      <c r="D592" s="4" t="s">
        <v>1896</v>
      </c>
      <c r="E592" s="4" t="s">
        <v>21</v>
      </c>
      <c r="F592" s="4"/>
      <c r="G592" s="4"/>
      <c r="H592" s="4"/>
      <c r="I592" s="5"/>
      <c r="J592" s="5"/>
      <c r="K592" s="5"/>
      <c r="L592" s="5"/>
      <c r="M592" s="5"/>
      <c r="N592" s="5"/>
      <c r="O592" s="4"/>
      <c r="P592" s="6"/>
      <c r="Q592" s="6"/>
      <c r="R592" s="6"/>
      <c r="S592" s="6"/>
      <c r="T592" s="6"/>
      <c r="U592" s="6"/>
      <c r="V592" s="6"/>
      <c r="W592" s="6"/>
      <c r="X592" s="6"/>
      <c r="Y592" s="6"/>
      <c r="Z592" s="6"/>
    </row>
    <row r="593" spans="1:26" ht="15.75" customHeight="1" x14ac:dyDescent="0.2">
      <c r="A593" s="4" t="s">
        <v>1897</v>
      </c>
      <c r="B593" s="4" t="s">
        <v>1898</v>
      </c>
      <c r="C593" s="4" t="s">
        <v>1899</v>
      </c>
      <c r="D593" s="4" t="s">
        <v>1900</v>
      </c>
      <c r="E593" s="4" t="s">
        <v>21</v>
      </c>
      <c r="F593" s="4"/>
      <c r="G593" s="4"/>
      <c r="H593" s="4"/>
      <c r="I593" s="5"/>
      <c r="J593" s="5"/>
      <c r="K593" s="5"/>
      <c r="L593" s="5"/>
      <c r="M593" s="5"/>
      <c r="N593" s="5"/>
      <c r="O593" s="4"/>
      <c r="P593" s="6"/>
      <c r="Q593" s="6"/>
      <c r="R593" s="6"/>
      <c r="S593" s="6"/>
      <c r="T593" s="6"/>
      <c r="U593" s="6"/>
      <c r="V593" s="6"/>
      <c r="W593" s="6"/>
      <c r="X593" s="6"/>
      <c r="Y593" s="6"/>
      <c r="Z593" s="6"/>
    </row>
    <row r="594" spans="1:26" ht="15.75" customHeight="1" x14ac:dyDescent="0.2">
      <c r="A594" s="4" t="s">
        <v>1901</v>
      </c>
      <c r="B594" s="4" t="s">
        <v>1902</v>
      </c>
      <c r="C594" s="4" t="s">
        <v>1903</v>
      </c>
      <c r="D594" s="4" t="s">
        <v>1900</v>
      </c>
      <c r="E594" s="4"/>
      <c r="F594" s="4"/>
      <c r="G594" s="4"/>
      <c r="H594" s="4"/>
      <c r="I594" s="5"/>
      <c r="J594" s="5"/>
      <c r="K594" s="5"/>
      <c r="L594" s="5"/>
      <c r="M594" s="5"/>
      <c r="N594" s="5"/>
      <c r="O594" s="4"/>
      <c r="P594" s="6"/>
      <c r="Q594" s="6"/>
      <c r="R594" s="6"/>
      <c r="S594" s="6"/>
      <c r="T594" s="6"/>
      <c r="U594" s="6"/>
      <c r="V594" s="6"/>
      <c r="W594" s="6"/>
      <c r="X594" s="6"/>
      <c r="Y594" s="6"/>
      <c r="Z594" s="6"/>
    </row>
    <row r="595" spans="1:26" ht="15.75" customHeight="1" x14ac:dyDescent="0.2">
      <c r="A595" s="4" t="s">
        <v>1904</v>
      </c>
      <c r="B595" s="4" t="s">
        <v>1905</v>
      </c>
      <c r="C595" s="4" t="s">
        <v>1903</v>
      </c>
      <c r="D595" s="4" t="s">
        <v>1900</v>
      </c>
      <c r="E595" s="4"/>
      <c r="F595" s="4"/>
      <c r="G595" s="4"/>
      <c r="H595" s="4"/>
      <c r="I595" s="5"/>
      <c r="J595" s="5"/>
      <c r="K595" s="5"/>
      <c r="L595" s="5"/>
      <c r="M595" s="5"/>
      <c r="N595" s="5"/>
      <c r="O595" s="4"/>
      <c r="P595" s="6"/>
      <c r="Q595" s="6"/>
      <c r="R595" s="6"/>
      <c r="S595" s="6"/>
      <c r="T595" s="6"/>
      <c r="U595" s="6"/>
      <c r="V595" s="6"/>
      <c r="W595" s="6"/>
      <c r="X595" s="6"/>
      <c r="Y595" s="6"/>
      <c r="Z595" s="6"/>
    </row>
    <row r="596" spans="1:26" ht="15.75" customHeight="1" x14ac:dyDescent="0.2">
      <c r="A596" s="4" t="s">
        <v>1906</v>
      </c>
      <c r="B596" s="4" t="s">
        <v>1907</v>
      </c>
      <c r="C596" s="4" t="s">
        <v>1903</v>
      </c>
      <c r="D596" s="4" t="s">
        <v>1900</v>
      </c>
      <c r="E596" s="4"/>
      <c r="F596" s="4"/>
      <c r="G596" s="4"/>
      <c r="H596" s="4"/>
      <c r="I596" s="5"/>
      <c r="J596" s="5"/>
      <c r="K596" s="5"/>
      <c r="L596" s="5"/>
      <c r="M596" s="5"/>
      <c r="N596" s="5"/>
      <c r="O596" s="4"/>
      <c r="P596" s="6"/>
      <c r="Q596" s="6"/>
      <c r="R596" s="6"/>
      <c r="S596" s="6"/>
      <c r="T596" s="6"/>
      <c r="U596" s="6"/>
      <c r="V596" s="6"/>
      <c r="W596" s="6"/>
      <c r="X596" s="6"/>
      <c r="Y596" s="6"/>
      <c r="Z596" s="6"/>
    </row>
    <row r="597" spans="1:26" ht="15.75" customHeight="1" x14ac:dyDescent="0.2">
      <c r="A597" s="4" t="s">
        <v>1908</v>
      </c>
      <c r="B597" s="4" t="s">
        <v>1909</v>
      </c>
      <c r="C597" s="4" t="s">
        <v>1903</v>
      </c>
      <c r="D597" s="4" t="s">
        <v>1900</v>
      </c>
      <c r="E597" s="4"/>
      <c r="F597" s="4"/>
      <c r="G597" s="4"/>
      <c r="H597" s="4"/>
      <c r="I597" s="5"/>
      <c r="J597" s="5"/>
      <c r="K597" s="5"/>
      <c r="L597" s="5"/>
      <c r="M597" s="5"/>
      <c r="N597" s="5"/>
      <c r="O597" s="4"/>
      <c r="P597" s="6"/>
      <c r="Q597" s="6"/>
      <c r="R597" s="6"/>
      <c r="S597" s="6"/>
      <c r="T597" s="6"/>
      <c r="U597" s="6"/>
      <c r="V597" s="6"/>
      <c r="W597" s="6"/>
      <c r="X597" s="6"/>
      <c r="Y597" s="6"/>
      <c r="Z597" s="6"/>
    </row>
    <row r="598" spans="1:26" ht="15.75" customHeight="1" x14ac:dyDescent="0.2">
      <c r="A598" s="4" t="s">
        <v>1910</v>
      </c>
      <c r="B598" s="4" t="s">
        <v>1911</v>
      </c>
      <c r="C598" s="4" t="s">
        <v>1903</v>
      </c>
      <c r="D598" s="4" t="s">
        <v>1900</v>
      </c>
      <c r="E598" s="4"/>
      <c r="F598" s="4"/>
      <c r="G598" s="4"/>
      <c r="H598" s="4"/>
      <c r="I598" s="5"/>
      <c r="J598" s="5"/>
      <c r="K598" s="5"/>
      <c r="L598" s="5"/>
      <c r="M598" s="5"/>
      <c r="N598" s="5"/>
      <c r="O598" s="4"/>
      <c r="P598" s="6"/>
      <c r="Q598" s="6"/>
      <c r="R598" s="6"/>
      <c r="S598" s="6"/>
      <c r="T598" s="6"/>
      <c r="U598" s="6"/>
      <c r="V598" s="6"/>
      <c r="W598" s="6"/>
      <c r="X598" s="6"/>
      <c r="Y598" s="6"/>
      <c r="Z598" s="6"/>
    </row>
    <row r="599" spans="1:26" ht="15.75" customHeight="1" x14ac:dyDescent="0.2">
      <c r="A599" s="4" t="s">
        <v>1912</v>
      </c>
      <c r="B599" s="4" t="s">
        <v>1913</v>
      </c>
      <c r="C599" s="4" t="s">
        <v>1903</v>
      </c>
      <c r="D599" s="4" t="s">
        <v>1900</v>
      </c>
      <c r="E599" s="4"/>
      <c r="F599" s="4"/>
      <c r="G599" s="4"/>
      <c r="H599" s="4"/>
      <c r="I599" s="5"/>
      <c r="J599" s="5"/>
      <c r="K599" s="5"/>
      <c r="L599" s="5"/>
      <c r="M599" s="5"/>
      <c r="N599" s="5"/>
      <c r="O599" s="4"/>
      <c r="P599" s="6"/>
      <c r="Q599" s="6"/>
      <c r="R599" s="6"/>
      <c r="S599" s="6"/>
      <c r="T599" s="6"/>
      <c r="U599" s="6"/>
      <c r="V599" s="6"/>
      <c r="W599" s="6"/>
      <c r="X599" s="6"/>
      <c r="Y599" s="6"/>
      <c r="Z599" s="6"/>
    </row>
    <row r="600" spans="1:26" ht="15.75" customHeight="1" x14ac:dyDescent="0.2">
      <c r="A600" s="4" t="s">
        <v>1914</v>
      </c>
      <c r="B600" s="4" t="s">
        <v>1915</v>
      </c>
      <c r="C600" s="4" t="s">
        <v>1903</v>
      </c>
      <c r="D600" s="4" t="s">
        <v>1900</v>
      </c>
      <c r="E600" s="4"/>
      <c r="F600" s="4"/>
      <c r="G600" s="4"/>
      <c r="H600" s="4"/>
      <c r="I600" s="5"/>
      <c r="J600" s="5"/>
      <c r="K600" s="5"/>
      <c r="L600" s="5"/>
      <c r="M600" s="5"/>
      <c r="N600" s="5"/>
      <c r="O600" s="4"/>
      <c r="P600" s="6"/>
      <c r="Q600" s="6"/>
      <c r="R600" s="6"/>
      <c r="S600" s="6"/>
      <c r="T600" s="6"/>
      <c r="U600" s="6"/>
      <c r="V600" s="6"/>
      <c r="W600" s="6"/>
      <c r="X600" s="6"/>
      <c r="Y600" s="6"/>
      <c r="Z600" s="6"/>
    </row>
    <row r="601" spans="1:26" ht="15.75" customHeight="1" x14ac:dyDescent="0.2">
      <c r="A601" s="4" t="s">
        <v>1916</v>
      </c>
      <c r="B601" s="4" t="s">
        <v>1917</v>
      </c>
      <c r="C601" s="4" t="s">
        <v>1903</v>
      </c>
      <c r="D601" s="4" t="s">
        <v>1900</v>
      </c>
      <c r="E601" s="4"/>
      <c r="F601" s="4"/>
      <c r="G601" s="4"/>
      <c r="H601" s="4"/>
      <c r="I601" s="5"/>
      <c r="J601" s="5"/>
      <c r="K601" s="5"/>
      <c r="L601" s="5"/>
      <c r="M601" s="5"/>
      <c r="N601" s="5"/>
      <c r="O601" s="4"/>
      <c r="P601" s="6"/>
      <c r="Q601" s="6"/>
      <c r="R601" s="6"/>
      <c r="S601" s="6"/>
      <c r="T601" s="6"/>
      <c r="U601" s="6"/>
      <c r="V601" s="6"/>
      <c r="W601" s="6"/>
      <c r="X601" s="6"/>
      <c r="Y601" s="6"/>
      <c r="Z601" s="6"/>
    </row>
    <row r="602" spans="1:26" ht="15.75" customHeight="1" x14ac:dyDescent="0.2">
      <c r="A602" s="4" t="s">
        <v>1918</v>
      </c>
      <c r="B602" s="4" t="s">
        <v>1917</v>
      </c>
      <c r="C602" s="4" t="s">
        <v>1903</v>
      </c>
      <c r="D602" s="4" t="s">
        <v>1900</v>
      </c>
      <c r="E602" s="4"/>
      <c r="F602" s="4"/>
      <c r="G602" s="4"/>
      <c r="H602" s="4"/>
      <c r="I602" s="5"/>
      <c r="J602" s="5"/>
      <c r="K602" s="5"/>
      <c r="L602" s="5"/>
      <c r="M602" s="5"/>
      <c r="N602" s="5"/>
      <c r="O602" s="4"/>
      <c r="P602" s="6"/>
      <c r="Q602" s="6"/>
      <c r="R602" s="6"/>
      <c r="S602" s="6"/>
      <c r="T602" s="6"/>
      <c r="U602" s="6"/>
      <c r="V602" s="6"/>
      <c r="W602" s="6"/>
      <c r="X602" s="6"/>
      <c r="Y602" s="6"/>
      <c r="Z602" s="6"/>
    </row>
    <row r="603" spans="1:26" ht="15.75" customHeight="1" x14ac:dyDescent="0.2">
      <c r="A603" s="4" t="s">
        <v>1919</v>
      </c>
      <c r="B603" s="4" t="s">
        <v>1920</v>
      </c>
      <c r="C603" s="4" t="s">
        <v>1903</v>
      </c>
      <c r="D603" s="4" t="s">
        <v>1900</v>
      </c>
      <c r="E603" s="4"/>
      <c r="F603" s="4"/>
      <c r="G603" s="4"/>
      <c r="H603" s="4"/>
      <c r="I603" s="5"/>
      <c r="J603" s="5"/>
      <c r="K603" s="5"/>
      <c r="L603" s="5"/>
      <c r="M603" s="5"/>
      <c r="N603" s="5"/>
      <c r="O603" s="4"/>
      <c r="P603" s="6"/>
      <c r="Q603" s="6"/>
      <c r="R603" s="6"/>
      <c r="S603" s="6"/>
      <c r="T603" s="6"/>
      <c r="U603" s="6"/>
      <c r="V603" s="6"/>
      <c r="W603" s="6"/>
      <c r="X603" s="6"/>
      <c r="Y603" s="6"/>
      <c r="Z603" s="6"/>
    </row>
    <row r="604" spans="1:26" ht="15.75" customHeight="1" x14ac:dyDescent="0.2">
      <c r="A604" s="4" t="s">
        <v>1921</v>
      </c>
      <c r="B604" s="4" t="s">
        <v>1922</v>
      </c>
      <c r="C604" s="4" t="s">
        <v>1903</v>
      </c>
      <c r="D604" s="4" t="s">
        <v>1900</v>
      </c>
      <c r="E604" s="4"/>
      <c r="F604" s="4"/>
      <c r="G604" s="4"/>
      <c r="H604" s="4"/>
      <c r="I604" s="5"/>
      <c r="J604" s="5"/>
      <c r="K604" s="5"/>
      <c r="L604" s="5"/>
      <c r="M604" s="5"/>
      <c r="N604" s="5"/>
      <c r="O604" s="4"/>
      <c r="P604" s="6"/>
      <c r="Q604" s="6"/>
      <c r="R604" s="6"/>
      <c r="S604" s="6"/>
      <c r="T604" s="6"/>
      <c r="U604" s="6"/>
      <c r="V604" s="6"/>
      <c r="W604" s="6"/>
      <c r="X604" s="6"/>
      <c r="Y604" s="6"/>
      <c r="Z604" s="6"/>
    </row>
    <row r="605" spans="1:26" ht="15.75" customHeight="1" x14ac:dyDescent="0.2">
      <c r="A605" s="4" t="s">
        <v>1923</v>
      </c>
      <c r="B605" s="4" t="s">
        <v>1924</v>
      </c>
      <c r="C605" s="4" t="s">
        <v>656</v>
      </c>
      <c r="D605" s="4" t="s">
        <v>1900</v>
      </c>
      <c r="E605" s="4"/>
      <c r="F605" s="4"/>
      <c r="G605" s="4"/>
      <c r="H605" s="4"/>
      <c r="I605" s="5"/>
      <c r="J605" s="5"/>
      <c r="K605" s="5"/>
      <c r="L605" s="5"/>
      <c r="M605" s="5"/>
      <c r="N605" s="5"/>
      <c r="O605" s="4"/>
      <c r="P605" s="6"/>
      <c r="Q605" s="6"/>
      <c r="R605" s="6"/>
      <c r="S605" s="6"/>
      <c r="T605" s="6"/>
      <c r="U605" s="6"/>
      <c r="V605" s="6"/>
      <c r="W605" s="6"/>
      <c r="X605" s="6"/>
      <c r="Y605" s="6"/>
      <c r="Z605" s="6"/>
    </row>
    <row r="606" spans="1:26" ht="15.75" customHeight="1" x14ac:dyDescent="0.2">
      <c r="A606" s="4" t="s">
        <v>1925</v>
      </c>
      <c r="B606" s="4" t="s">
        <v>1926</v>
      </c>
      <c r="C606" s="4" t="s">
        <v>656</v>
      </c>
      <c r="D606" s="4" t="s">
        <v>1900</v>
      </c>
      <c r="E606" s="4"/>
      <c r="F606" s="4"/>
      <c r="G606" s="4"/>
      <c r="H606" s="4"/>
      <c r="I606" s="5"/>
      <c r="J606" s="5"/>
      <c r="K606" s="5"/>
      <c r="L606" s="5"/>
      <c r="M606" s="5"/>
      <c r="N606" s="5"/>
      <c r="O606" s="4"/>
      <c r="P606" s="6"/>
      <c r="Q606" s="6"/>
      <c r="R606" s="6"/>
      <c r="S606" s="6"/>
      <c r="T606" s="6"/>
      <c r="U606" s="6"/>
      <c r="V606" s="6"/>
      <c r="W606" s="6"/>
      <c r="X606" s="6"/>
      <c r="Y606" s="6"/>
      <c r="Z606" s="6"/>
    </row>
    <row r="607" spans="1:26" ht="15.75" customHeight="1" x14ac:dyDescent="0.2">
      <c r="A607" s="4" t="s">
        <v>1927</v>
      </c>
      <c r="B607" s="4" t="s">
        <v>1928</v>
      </c>
      <c r="C607" s="4" t="s">
        <v>656</v>
      </c>
      <c r="D607" s="4" t="s">
        <v>1900</v>
      </c>
      <c r="E607" s="4"/>
      <c r="F607" s="4"/>
      <c r="G607" s="4"/>
      <c r="H607" s="4"/>
      <c r="I607" s="5"/>
      <c r="J607" s="5"/>
      <c r="K607" s="5"/>
      <c r="L607" s="5"/>
      <c r="M607" s="5"/>
      <c r="N607" s="5"/>
      <c r="O607" s="4"/>
      <c r="P607" s="6"/>
      <c r="Q607" s="6"/>
      <c r="R607" s="6"/>
      <c r="S607" s="6"/>
      <c r="T607" s="6"/>
      <c r="U607" s="6"/>
      <c r="V607" s="6"/>
      <c r="W607" s="6"/>
      <c r="X607" s="6"/>
      <c r="Y607" s="6"/>
      <c r="Z607" s="6"/>
    </row>
    <row r="608" spans="1:26" ht="15.75" customHeight="1" x14ac:dyDescent="0.2">
      <c r="A608" s="4" t="s">
        <v>1929</v>
      </c>
      <c r="B608" s="4" t="s">
        <v>1930</v>
      </c>
      <c r="C608" s="4" t="s">
        <v>656</v>
      </c>
      <c r="D608" s="4" t="s">
        <v>1900</v>
      </c>
      <c r="E608" s="4"/>
      <c r="F608" s="4"/>
      <c r="G608" s="4"/>
      <c r="H608" s="4"/>
      <c r="I608" s="5"/>
      <c r="J608" s="5"/>
      <c r="K608" s="5"/>
      <c r="L608" s="5"/>
      <c r="M608" s="5"/>
      <c r="N608" s="5"/>
      <c r="O608" s="4"/>
      <c r="P608" s="6"/>
      <c r="Q608" s="6"/>
      <c r="R608" s="6"/>
      <c r="S608" s="6"/>
      <c r="T608" s="6"/>
      <c r="U608" s="6"/>
      <c r="V608" s="6"/>
      <c r="W608" s="6"/>
      <c r="X608" s="6"/>
      <c r="Y608" s="6"/>
      <c r="Z608" s="6"/>
    </row>
    <row r="609" spans="1:26" ht="15.75" customHeight="1" x14ac:dyDescent="0.2">
      <c r="A609" s="4" t="s">
        <v>1931</v>
      </c>
      <c r="B609" s="4" t="s">
        <v>1932</v>
      </c>
      <c r="C609" s="4" t="s">
        <v>656</v>
      </c>
      <c r="D609" s="4" t="s">
        <v>1900</v>
      </c>
      <c r="E609" s="4"/>
      <c r="F609" s="4"/>
      <c r="G609" s="4"/>
      <c r="H609" s="4"/>
      <c r="I609" s="5"/>
      <c r="J609" s="5"/>
      <c r="K609" s="5"/>
      <c r="L609" s="5"/>
      <c r="M609" s="5"/>
      <c r="N609" s="5"/>
      <c r="O609" s="4"/>
      <c r="P609" s="6"/>
      <c r="Q609" s="6"/>
      <c r="R609" s="6"/>
      <c r="S609" s="6"/>
      <c r="T609" s="6"/>
      <c r="U609" s="6"/>
      <c r="V609" s="6"/>
      <c r="W609" s="6"/>
      <c r="X609" s="6"/>
      <c r="Y609" s="6"/>
      <c r="Z609" s="6"/>
    </row>
    <row r="610" spans="1:26" ht="15.75" customHeight="1" x14ac:dyDescent="0.2">
      <c r="A610" s="4" t="s">
        <v>1933</v>
      </c>
      <c r="B610" s="4" t="s">
        <v>1934</v>
      </c>
      <c r="C610" s="4" t="s">
        <v>656</v>
      </c>
      <c r="D610" s="4" t="s">
        <v>1900</v>
      </c>
      <c r="E610" s="4"/>
      <c r="F610" s="4"/>
      <c r="G610" s="4"/>
      <c r="H610" s="4"/>
      <c r="I610" s="5"/>
      <c r="J610" s="5"/>
      <c r="K610" s="5"/>
      <c r="L610" s="5"/>
      <c r="M610" s="5"/>
      <c r="N610" s="5"/>
      <c r="O610" s="4"/>
      <c r="P610" s="6"/>
      <c r="Q610" s="6"/>
      <c r="R610" s="6"/>
      <c r="S610" s="6"/>
      <c r="T610" s="6"/>
      <c r="U610" s="6"/>
      <c r="V610" s="6"/>
      <c r="W610" s="6"/>
      <c r="X610" s="6"/>
      <c r="Y610" s="6"/>
      <c r="Z610" s="6"/>
    </row>
    <row r="611" spans="1:26" ht="15.75" customHeight="1" x14ac:dyDescent="0.2">
      <c r="A611" s="4" t="s">
        <v>1935</v>
      </c>
      <c r="B611" s="4" t="s">
        <v>1936</v>
      </c>
      <c r="C611" s="4" t="s">
        <v>656</v>
      </c>
      <c r="D611" s="4" t="s">
        <v>1900</v>
      </c>
      <c r="E611" s="4"/>
      <c r="F611" s="4"/>
      <c r="G611" s="4"/>
      <c r="H611" s="4"/>
      <c r="I611" s="5"/>
      <c r="J611" s="5"/>
      <c r="K611" s="5"/>
      <c r="L611" s="5"/>
      <c r="M611" s="5"/>
      <c r="N611" s="5"/>
      <c r="O611" s="4"/>
      <c r="P611" s="6"/>
      <c r="Q611" s="6"/>
      <c r="R611" s="6"/>
      <c r="S611" s="6"/>
      <c r="T611" s="6"/>
      <c r="U611" s="6"/>
      <c r="V611" s="6"/>
      <c r="W611" s="6"/>
      <c r="X611" s="6"/>
      <c r="Y611" s="6"/>
      <c r="Z611" s="6"/>
    </row>
    <row r="612" spans="1:26" ht="15.75" customHeight="1" x14ac:dyDescent="0.2">
      <c r="A612" s="4" t="s">
        <v>1937</v>
      </c>
      <c r="B612" s="4" t="s">
        <v>1938</v>
      </c>
      <c r="C612" s="4" t="s">
        <v>16</v>
      </c>
      <c r="D612" s="4" t="s">
        <v>1900</v>
      </c>
      <c r="E612" s="4"/>
      <c r="F612" s="4"/>
      <c r="G612" s="4"/>
      <c r="H612" s="4"/>
      <c r="I612" s="5"/>
      <c r="J612" s="5"/>
      <c r="K612" s="5"/>
      <c r="L612" s="5"/>
      <c r="M612" s="5"/>
      <c r="N612" s="5"/>
      <c r="O612" s="4"/>
      <c r="P612" s="6"/>
      <c r="Q612" s="6"/>
      <c r="R612" s="6"/>
      <c r="S612" s="6"/>
      <c r="T612" s="6"/>
      <c r="U612" s="6"/>
      <c r="V612" s="6"/>
      <c r="W612" s="6"/>
      <c r="X612" s="6"/>
      <c r="Y612" s="6"/>
      <c r="Z612" s="6"/>
    </row>
    <row r="613" spans="1:26" ht="15.75" customHeight="1" x14ac:dyDescent="0.2">
      <c r="A613" s="4" t="s">
        <v>1939</v>
      </c>
      <c r="B613" s="4" t="s">
        <v>1940</v>
      </c>
      <c r="C613" s="4" t="s">
        <v>16</v>
      </c>
      <c r="D613" s="4" t="s">
        <v>1900</v>
      </c>
      <c r="E613" s="4"/>
      <c r="F613" s="4"/>
      <c r="G613" s="4"/>
      <c r="H613" s="4"/>
      <c r="I613" s="5"/>
      <c r="J613" s="5"/>
      <c r="K613" s="5"/>
      <c r="L613" s="5"/>
      <c r="M613" s="5"/>
      <c r="N613" s="5"/>
      <c r="O613" s="4"/>
      <c r="P613" s="6"/>
      <c r="Q613" s="6"/>
      <c r="R613" s="6"/>
      <c r="S613" s="6"/>
      <c r="T613" s="6"/>
      <c r="U613" s="6"/>
      <c r="V613" s="6"/>
      <c r="W613" s="6"/>
      <c r="X613" s="6"/>
      <c r="Y613" s="6"/>
      <c r="Z613" s="6"/>
    </row>
    <row r="614" spans="1:26" ht="15.75" customHeight="1" x14ac:dyDescent="0.2">
      <c r="A614" s="4" t="s">
        <v>1941</v>
      </c>
      <c r="B614" s="4" t="s">
        <v>1942</v>
      </c>
      <c r="C614" s="4" t="s">
        <v>16</v>
      </c>
      <c r="D614" s="4" t="s">
        <v>1900</v>
      </c>
      <c r="E614" s="4"/>
      <c r="F614" s="4"/>
      <c r="G614" s="4"/>
      <c r="H614" s="4"/>
      <c r="I614" s="5"/>
      <c r="J614" s="5"/>
      <c r="K614" s="5"/>
      <c r="L614" s="5"/>
      <c r="M614" s="5"/>
      <c r="N614" s="5"/>
      <c r="O614" s="4"/>
      <c r="P614" s="6"/>
      <c r="Q614" s="6"/>
      <c r="R614" s="6"/>
      <c r="S614" s="6"/>
      <c r="T614" s="6"/>
      <c r="U614" s="6"/>
      <c r="V614" s="6"/>
      <c r="W614" s="6"/>
      <c r="X614" s="6"/>
      <c r="Y614" s="6"/>
      <c r="Z614" s="6"/>
    </row>
    <row r="615" spans="1:26" ht="15.75" customHeight="1" x14ac:dyDescent="0.2">
      <c r="A615" s="4" t="s">
        <v>1943</v>
      </c>
      <c r="B615" s="4" t="s">
        <v>1944</v>
      </c>
      <c r="C615" s="4" t="s">
        <v>1945</v>
      </c>
      <c r="D615" s="4" t="s">
        <v>1900</v>
      </c>
      <c r="E615" s="4" t="s">
        <v>1900</v>
      </c>
      <c r="F615" s="4">
        <v>218</v>
      </c>
      <c r="G615" s="4"/>
      <c r="H615" s="19" t="s">
        <v>1946</v>
      </c>
      <c r="I615" s="5"/>
      <c r="J615" s="5"/>
      <c r="K615" s="5"/>
      <c r="L615" s="5"/>
      <c r="M615" s="5" t="s">
        <v>1900</v>
      </c>
      <c r="N615" s="5"/>
      <c r="O615" s="4"/>
      <c r="P615" s="6"/>
      <c r="Q615" s="6"/>
      <c r="R615" s="6"/>
      <c r="S615" s="6"/>
      <c r="T615" s="6"/>
      <c r="U615" s="6"/>
      <c r="V615" s="6"/>
      <c r="W615" s="6"/>
      <c r="X615" s="6"/>
      <c r="Y615" s="6"/>
      <c r="Z615" s="6"/>
    </row>
    <row r="616" spans="1:26" ht="34" x14ac:dyDescent="0.2">
      <c r="A616" s="4" t="s">
        <v>1947</v>
      </c>
      <c r="B616" s="4" t="s">
        <v>1948</v>
      </c>
      <c r="C616" s="4" t="s">
        <v>1945</v>
      </c>
      <c r="D616" s="4" t="s">
        <v>1900</v>
      </c>
      <c r="E616" s="4" t="s">
        <v>1900</v>
      </c>
      <c r="F616" s="4">
        <v>140</v>
      </c>
      <c r="G616" s="4"/>
      <c r="H616" s="19" t="s">
        <v>1949</v>
      </c>
      <c r="I616" s="5"/>
      <c r="J616" s="5"/>
      <c r="K616" s="5"/>
      <c r="L616" s="5"/>
      <c r="M616" s="5" t="s">
        <v>1900</v>
      </c>
      <c r="N616" s="5"/>
      <c r="O616" s="4"/>
      <c r="P616" s="6"/>
      <c r="Q616" s="6"/>
      <c r="R616" s="6"/>
      <c r="S616" s="6"/>
      <c r="T616" s="6"/>
      <c r="U616" s="6"/>
      <c r="V616" s="6"/>
      <c r="W616" s="6"/>
      <c r="X616" s="6"/>
      <c r="Y616" s="6"/>
      <c r="Z616" s="6"/>
    </row>
    <row r="617" spans="1:26" ht="34" x14ac:dyDescent="0.2">
      <c r="A617" s="4" t="s">
        <v>1950</v>
      </c>
      <c r="B617" s="4" t="s">
        <v>1951</v>
      </c>
      <c r="C617" s="4" t="s">
        <v>1945</v>
      </c>
      <c r="D617" s="4" t="s">
        <v>1900</v>
      </c>
      <c r="E617" s="4" t="s">
        <v>1900</v>
      </c>
      <c r="F617" s="4">
        <v>150</v>
      </c>
      <c r="G617" s="4"/>
      <c r="H617" s="19" t="s">
        <v>1952</v>
      </c>
      <c r="I617" s="5"/>
      <c r="J617" s="5"/>
      <c r="K617" s="5"/>
      <c r="L617" s="5"/>
      <c r="M617" s="5" t="s">
        <v>1900</v>
      </c>
      <c r="N617" s="5"/>
      <c r="O617" s="4"/>
      <c r="P617" s="6"/>
      <c r="Q617" s="6"/>
      <c r="R617" s="6"/>
      <c r="S617" s="6"/>
      <c r="T617" s="6"/>
      <c r="U617" s="6"/>
      <c r="V617" s="6"/>
      <c r="W617" s="6"/>
      <c r="X617" s="6"/>
      <c r="Y617" s="6"/>
      <c r="Z617" s="6"/>
    </row>
    <row r="618" spans="1:26" ht="34" x14ac:dyDescent="0.2">
      <c r="A618" s="4" t="s">
        <v>1953</v>
      </c>
      <c r="B618" s="4" t="s">
        <v>1954</v>
      </c>
      <c r="C618" s="4" t="s">
        <v>1945</v>
      </c>
      <c r="D618" s="4" t="s">
        <v>1900</v>
      </c>
      <c r="E618" s="4" t="s">
        <v>1900</v>
      </c>
      <c r="F618" s="4">
        <v>173</v>
      </c>
      <c r="G618" s="4"/>
      <c r="H618" s="19" t="s">
        <v>1955</v>
      </c>
      <c r="I618" s="5"/>
      <c r="J618" s="5"/>
      <c r="K618" s="5"/>
      <c r="L618" s="5"/>
      <c r="M618" s="5" t="s">
        <v>1900</v>
      </c>
      <c r="N618" s="5"/>
      <c r="O618" s="4"/>
      <c r="P618" s="6"/>
      <c r="Q618" s="6"/>
      <c r="R618" s="6"/>
      <c r="S618" s="6"/>
      <c r="T618" s="6"/>
      <c r="U618" s="6"/>
      <c r="V618" s="6"/>
      <c r="W618" s="6"/>
      <c r="X618" s="6"/>
      <c r="Y618" s="6"/>
      <c r="Z618" s="6"/>
    </row>
    <row r="619" spans="1:26" ht="34" x14ac:dyDescent="0.2">
      <c r="A619" s="4" t="s">
        <v>1956</v>
      </c>
      <c r="B619" s="4" t="s">
        <v>1957</v>
      </c>
      <c r="C619" s="4" t="s">
        <v>1945</v>
      </c>
      <c r="D619" s="4" t="s">
        <v>1900</v>
      </c>
      <c r="E619" s="4" t="s">
        <v>1900</v>
      </c>
      <c r="F619" s="4">
        <v>97</v>
      </c>
      <c r="G619" s="4"/>
      <c r="H619" s="19" t="s">
        <v>1958</v>
      </c>
      <c r="I619" s="5"/>
      <c r="J619" s="5"/>
      <c r="K619" s="5"/>
      <c r="L619" s="5"/>
      <c r="M619" s="5" t="s">
        <v>1900</v>
      </c>
      <c r="N619" s="5"/>
      <c r="O619" s="4"/>
      <c r="P619" s="6"/>
      <c r="Q619" s="6"/>
      <c r="R619" s="6"/>
      <c r="S619" s="6"/>
      <c r="T619" s="6"/>
      <c r="U619" s="6"/>
      <c r="V619" s="6"/>
      <c r="W619" s="6"/>
      <c r="X619" s="6"/>
      <c r="Y619" s="6"/>
      <c r="Z619" s="6"/>
    </row>
    <row r="620" spans="1:26" ht="34" x14ac:dyDescent="0.2">
      <c r="A620" s="4" t="s">
        <v>1959</v>
      </c>
      <c r="B620" s="4" t="s">
        <v>1960</v>
      </c>
      <c r="C620" s="4" t="s">
        <v>1945</v>
      </c>
      <c r="D620" s="4" t="s">
        <v>1900</v>
      </c>
      <c r="E620" s="4" t="s">
        <v>1900</v>
      </c>
      <c r="F620" s="4">
        <v>67</v>
      </c>
      <c r="G620" s="4"/>
      <c r="H620" s="19" t="s">
        <v>1961</v>
      </c>
      <c r="I620" s="5"/>
      <c r="J620" s="5"/>
      <c r="K620" s="5"/>
      <c r="L620" s="5"/>
      <c r="M620" s="5" t="s">
        <v>1900</v>
      </c>
      <c r="N620" s="5"/>
      <c r="O620" s="4"/>
      <c r="P620" s="6"/>
      <c r="Q620" s="6"/>
      <c r="R620" s="6"/>
      <c r="S620" s="6"/>
      <c r="T620" s="6"/>
      <c r="U620" s="6"/>
      <c r="V620" s="6"/>
      <c r="W620" s="6"/>
      <c r="X620" s="6"/>
      <c r="Y620" s="6"/>
      <c r="Z620" s="6"/>
    </row>
    <row r="621" spans="1:26" ht="34" x14ac:dyDescent="0.2">
      <c r="A621" s="4" t="s">
        <v>1962</v>
      </c>
      <c r="B621" s="4" t="s">
        <v>1963</v>
      </c>
      <c r="C621" s="4" t="s">
        <v>1945</v>
      </c>
      <c r="D621" s="4" t="s">
        <v>1900</v>
      </c>
      <c r="E621" s="4" t="s">
        <v>1900</v>
      </c>
      <c r="F621" s="4">
        <v>137</v>
      </c>
      <c r="G621" s="4"/>
      <c r="H621" s="19" t="s">
        <v>1964</v>
      </c>
      <c r="I621" s="5"/>
      <c r="J621" s="5"/>
      <c r="K621" s="5"/>
      <c r="L621" s="5"/>
      <c r="M621" s="5" t="s">
        <v>1900</v>
      </c>
      <c r="N621" s="5"/>
      <c r="O621" s="4"/>
      <c r="P621" s="6"/>
      <c r="Q621" s="6"/>
      <c r="R621" s="6"/>
      <c r="S621" s="6"/>
      <c r="T621" s="6"/>
      <c r="U621" s="6"/>
      <c r="V621" s="6"/>
      <c r="W621" s="6"/>
      <c r="X621" s="6"/>
      <c r="Y621" s="6"/>
      <c r="Z621" s="6"/>
    </row>
    <row r="622" spans="1:26" ht="51" x14ac:dyDescent="0.2">
      <c r="A622" s="4" t="s">
        <v>1965</v>
      </c>
      <c r="B622" s="4" t="s">
        <v>1966</v>
      </c>
      <c r="C622" s="4" t="s">
        <v>1945</v>
      </c>
      <c r="D622" s="4" t="s">
        <v>1900</v>
      </c>
      <c r="E622" s="4" t="s">
        <v>1900</v>
      </c>
      <c r="F622" s="4">
        <v>137</v>
      </c>
      <c r="G622" s="4"/>
      <c r="H622" s="19" t="s">
        <v>1967</v>
      </c>
      <c r="I622" s="5">
        <v>41.11</v>
      </c>
      <c r="J622" s="5">
        <v>0</v>
      </c>
      <c r="K622" s="5">
        <v>58.89</v>
      </c>
      <c r="L622" s="5">
        <v>0</v>
      </c>
      <c r="M622" s="5" t="s">
        <v>1900</v>
      </c>
      <c r="N622" s="5"/>
      <c r="O622" s="4"/>
      <c r="P622" s="6"/>
      <c r="Q622" s="6"/>
      <c r="R622" s="6"/>
      <c r="S622" s="6"/>
      <c r="T622" s="6"/>
      <c r="U622" s="6"/>
      <c r="V622" s="6"/>
      <c r="W622" s="6"/>
      <c r="X622" s="6"/>
      <c r="Y622" s="6"/>
      <c r="Z622" s="6"/>
    </row>
    <row r="623" spans="1:26" ht="16" x14ac:dyDescent="0.2">
      <c r="A623" s="4" t="s">
        <v>1968</v>
      </c>
      <c r="B623" s="4" t="s">
        <v>1969</v>
      </c>
      <c r="C623" s="4" t="s">
        <v>26</v>
      </c>
      <c r="D623" s="4"/>
      <c r="E623" s="4"/>
      <c r="F623" s="4"/>
      <c r="G623" s="4"/>
      <c r="H623" s="4"/>
      <c r="I623" s="5"/>
      <c r="J623" s="5"/>
      <c r="K623" s="5"/>
      <c r="L623" s="5"/>
      <c r="M623" s="5"/>
      <c r="N623" s="5"/>
      <c r="O623" s="4"/>
      <c r="P623" s="6"/>
      <c r="Q623" s="6"/>
      <c r="R623" s="6"/>
      <c r="S623" s="6"/>
      <c r="T623" s="6"/>
      <c r="U623" s="6"/>
      <c r="V623" s="6"/>
      <c r="W623" s="6"/>
      <c r="X623" s="6"/>
      <c r="Y623" s="6"/>
      <c r="Z623" s="6"/>
    </row>
    <row r="624" spans="1:26" ht="15.75" customHeight="1" x14ac:dyDescent="0.2">
      <c r="A624" s="4" t="s">
        <v>1970</v>
      </c>
      <c r="B624" s="4" t="s">
        <v>1971</v>
      </c>
      <c r="C624" s="4" t="s">
        <v>656</v>
      </c>
      <c r="D624" s="4"/>
      <c r="E624" s="4"/>
      <c r="F624" s="4"/>
      <c r="G624" s="4"/>
      <c r="H624" s="4"/>
      <c r="I624" s="5"/>
      <c r="J624" s="5"/>
      <c r="K624" s="5"/>
      <c r="L624" s="5"/>
      <c r="M624" s="5"/>
      <c r="N624" s="5"/>
      <c r="O624" s="4"/>
      <c r="P624" s="6"/>
      <c r="Q624" s="6"/>
      <c r="R624" s="6"/>
      <c r="S624" s="6"/>
      <c r="T624" s="6"/>
      <c r="U624" s="6"/>
      <c r="V624" s="6"/>
      <c r="W624" s="6"/>
      <c r="X624" s="6"/>
      <c r="Y624" s="6"/>
      <c r="Z624" s="6"/>
    </row>
    <row r="625" spans="1:26" ht="15.75" customHeight="1" x14ac:dyDescent="0.2">
      <c r="A625" s="4" t="s">
        <v>1972</v>
      </c>
      <c r="B625" s="4" t="s">
        <v>1973</v>
      </c>
      <c r="C625" s="4" t="s">
        <v>20</v>
      </c>
      <c r="D625" s="4"/>
      <c r="E625" s="4"/>
      <c r="F625" s="4"/>
      <c r="G625" s="4"/>
      <c r="H625" s="4"/>
      <c r="I625" s="5"/>
      <c r="J625" s="5"/>
      <c r="K625" s="5"/>
      <c r="L625" s="5"/>
      <c r="M625" s="5"/>
      <c r="N625" s="5"/>
      <c r="O625" s="4"/>
      <c r="P625" s="6"/>
      <c r="Q625" s="6"/>
      <c r="R625" s="6"/>
      <c r="S625" s="6"/>
      <c r="T625" s="6"/>
      <c r="U625" s="6"/>
      <c r="V625" s="6"/>
      <c r="W625" s="6"/>
      <c r="X625" s="6"/>
      <c r="Y625" s="6"/>
      <c r="Z625" s="6"/>
    </row>
    <row r="626" spans="1:26" ht="15.75" customHeight="1" x14ac:dyDescent="0.2">
      <c r="A626" s="4" t="s">
        <v>1974</v>
      </c>
      <c r="B626" s="4" t="s">
        <v>1975</v>
      </c>
      <c r="C626" s="4" t="s">
        <v>607</v>
      </c>
      <c r="D626" s="4"/>
      <c r="E626" s="4" t="s">
        <v>21</v>
      </c>
      <c r="F626" s="4"/>
      <c r="G626" s="4"/>
      <c r="H626" s="4"/>
      <c r="I626" s="5"/>
      <c r="J626" s="5"/>
      <c r="K626" s="5"/>
      <c r="L626" s="5"/>
      <c r="M626" s="5"/>
      <c r="N626" s="5"/>
      <c r="O626" s="4"/>
      <c r="P626" s="6"/>
      <c r="Q626" s="6"/>
      <c r="R626" s="6"/>
      <c r="S626" s="6"/>
      <c r="T626" s="6"/>
      <c r="U626" s="6"/>
      <c r="V626" s="6"/>
      <c r="W626" s="6"/>
      <c r="X626" s="6"/>
      <c r="Y626" s="6"/>
      <c r="Z626" s="6"/>
    </row>
    <row r="627" spans="1:26" ht="15.75" customHeight="1" x14ac:dyDescent="0.2">
      <c r="A627" s="4" t="s">
        <v>1976</v>
      </c>
      <c r="B627" s="4" t="s">
        <v>1977</v>
      </c>
      <c r="C627" s="4" t="s">
        <v>26</v>
      </c>
      <c r="D627" s="4"/>
      <c r="E627" s="4"/>
      <c r="F627" s="4"/>
      <c r="G627" s="4" t="s">
        <v>42</v>
      </c>
      <c r="H627" s="4"/>
      <c r="I627" s="5"/>
      <c r="J627" s="5"/>
      <c r="K627" s="5"/>
      <c r="L627" s="5"/>
      <c r="M627" s="5"/>
      <c r="N627" s="5"/>
      <c r="O627" s="4"/>
      <c r="P627" s="6"/>
      <c r="Q627" s="6"/>
      <c r="R627" s="6"/>
      <c r="S627" s="6"/>
      <c r="T627" s="6"/>
      <c r="U627" s="6"/>
      <c r="V627" s="6"/>
      <c r="W627" s="6"/>
      <c r="X627" s="6"/>
      <c r="Y627" s="6"/>
      <c r="Z627" s="6"/>
    </row>
    <row r="628" spans="1:26" ht="15.75" customHeight="1" x14ac:dyDescent="0.2">
      <c r="A628" s="4" t="s">
        <v>1978</v>
      </c>
      <c r="B628" s="4" t="s">
        <v>1979</v>
      </c>
      <c r="C628" s="4" t="s">
        <v>610</v>
      </c>
      <c r="D628" s="4"/>
      <c r="E628" s="4"/>
      <c r="F628" s="4"/>
      <c r="G628" s="4"/>
      <c r="H628" s="4"/>
      <c r="I628" s="5"/>
      <c r="J628" s="5"/>
      <c r="K628" s="5"/>
      <c r="L628" s="5"/>
      <c r="M628" s="5"/>
      <c r="N628" s="5"/>
      <c r="O628" s="4"/>
      <c r="P628" s="6"/>
      <c r="Q628" s="6"/>
      <c r="R628" s="6"/>
      <c r="S628" s="6"/>
      <c r="T628" s="6"/>
      <c r="U628" s="6"/>
      <c r="V628" s="6"/>
      <c r="W628" s="6"/>
      <c r="X628" s="6"/>
      <c r="Y628" s="6"/>
      <c r="Z628" s="6"/>
    </row>
    <row r="629" spans="1:26" ht="15.75" customHeight="1" x14ac:dyDescent="0.2">
      <c r="A629" s="4" t="s">
        <v>1980</v>
      </c>
      <c r="B629" s="4" t="s">
        <v>1981</v>
      </c>
      <c r="C629" s="4" t="s">
        <v>610</v>
      </c>
      <c r="D629" s="4"/>
      <c r="E629" s="4"/>
      <c r="F629" s="4"/>
      <c r="G629" s="4"/>
      <c r="H629" s="4"/>
      <c r="I629" s="5"/>
      <c r="J629" s="5"/>
      <c r="K629" s="5"/>
      <c r="L629" s="5"/>
      <c r="M629" s="5"/>
      <c r="N629" s="5"/>
      <c r="O629" s="4"/>
      <c r="P629" s="6"/>
      <c r="Q629" s="6"/>
      <c r="R629" s="6"/>
      <c r="S629" s="6"/>
      <c r="T629" s="6"/>
      <c r="U629" s="6"/>
      <c r="V629" s="6"/>
      <c r="W629" s="6"/>
      <c r="X629" s="6"/>
      <c r="Y629" s="6"/>
      <c r="Z629" s="6"/>
    </row>
    <row r="630" spans="1:26" ht="15.75" customHeight="1" x14ac:dyDescent="0.2">
      <c r="A630" s="4" t="s">
        <v>1982</v>
      </c>
      <c r="B630" s="4" t="s">
        <v>1983</v>
      </c>
      <c r="C630" s="4" t="s">
        <v>1984</v>
      </c>
      <c r="D630" s="4"/>
      <c r="E630" s="4"/>
      <c r="F630" s="4"/>
      <c r="G630" s="4"/>
      <c r="H630" s="4"/>
      <c r="I630" s="5"/>
      <c r="J630" s="5"/>
      <c r="K630" s="5"/>
      <c r="L630" s="5"/>
      <c r="M630" s="5"/>
      <c r="N630" s="5"/>
      <c r="O630" s="4"/>
      <c r="P630" s="6"/>
      <c r="Q630" s="6"/>
      <c r="R630" s="6"/>
      <c r="S630" s="6"/>
      <c r="T630" s="6"/>
      <c r="U630" s="6"/>
      <c r="V630" s="6"/>
      <c r="W630" s="6"/>
      <c r="X630" s="6"/>
      <c r="Y630" s="6"/>
      <c r="Z630" s="6"/>
    </row>
    <row r="631" spans="1:26" ht="15.75" customHeight="1" x14ac:dyDescent="0.2">
      <c r="A631" s="4" t="s">
        <v>1985</v>
      </c>
      <c r="B631" s="4" t="s">
        <v>1986</v>
      </c>
      <c r="C631" s="4" t="s">
        <v>629</v>
      </c>
      <c r="D631" s="4"/>
      <c r="E631" s="4" t="s">
        <v>21</v>
      </c>
      <c r="F631" s="4">
        <v>360</v>
      </c>
      <c r="G631" s="4"/>
      <c r="H631" s="4"/>
      <c r="I631" s="5"/>
      <c r="J631" s="5"/>
      <c r="K631" s="5"/>
      <c r="L631" s="5"/>
      <c r="M631" s="5"/>
      <c r="N631" s="5"/>
      <c r="O631" s="4"/>
      <c r="P631" s="6"/>
      <c r="Q631" s="6"/>
      <c r="R631" s="6"/>
      <c r="S631" s="6"/>
      <c r="T631" s="6"/>
      <c r="U631" s="6"/>
      <c r="V631" s="6"/>
      <c r="W631" s="6"/>
      <c r="X631" s="6"/>
      <c r="Y631" s="6"/>
      <c r="Z631" s="6"/>
    </row>
    <row r="632" spans="1:26" ht="15.75" customHeight="1" x14ac:dyDescent="0.2">
      <c r="A632" s="4" t="s">
        <v>1987</v>
      </c>
      <c r="B632" s="4" t="s">
        <v>1988</v>
      </c>
      <c r="C632" s="4" t="s">
        <v>20</v>
      </c>
      <c r="D632" s="4"/>
      <c r="E632" s="4"/>
      <c r="F632" s="4"/>
      <c r="G632" s="4"/>
      <c r="H632" s="4"/>
      <c r="I632" s="5"/>
      <c r="J632" s="5"/>
      <c r="K632" s="5"/>
      <c r="L632" s="5"/>
      <c r="M632" s="5"/>
      <c r="N632" s="5"/>
      <c r="O632" s="4"/>
      <c r="P632" s="6"/>
      <c r="Q632" s="6"/>
      <c r="R632" s="6"/>
      <c r="S632" s="6"/>
      <c r="T632" s="6"/>
      <c r="U632" s="6"/>
      <c r="V632" s="6"/>
      <c r="W632" s="6"/>
      <c r="X632" s="6"/>
      <c r="Y632" s="6"/>
      <c r="Z632" s="6"/>
    </row>
    <row r="633" spans="1:26" ht="15.75" customHeight="1" x14ac:dyDescent="0.2">
      <c r="A633" s="4" t="s">
        <v>1989</v>
      </c>
      <c r="B633" s="4" t="s">
        <v>1990</v>
      </c>
      <c r="C633" s="4" t="s">
        <v>594</v>
      </c>
      <c r="D633" s="4"/>
      <c r="E633" s="4"/>
      <c r="F633" s="4"/>
      <c r="G633" s="4"/>
      <c r="H633" s="4"/>
      <c r="I633" s="5"/>
      <c r="J633" s="5"/>
      <c r="K633" s="5"/>
      <c r="L633" s="5"/>
      <c r="M633" s="5"/>
      <c r="N633" s="5"/>
      <c r="O633" s="4"/>
      <c r="P633" s="6"/>
      <c r="Q633" s="6"/>
      <c r="R633" s="6"/>
      <c r="S633" s="6"/>
      <c r="T633" s="6"/>
      <c r="U633" s="6"/>
      <c r="V633" s="6"/>
      <c r="W633" s="6"/>
      <c r="X633" s="6"/>
      <c r="Y633" s="6"/>
      <c r="Z633" s="6"/>
    </row>
    <row r="634" spans="1:26" ht="15.75" customHeight="1" x14ac:dyDescent="0.2">
      <c r="A634" s="4" t="s">
        <v>1991</v>
      </c>
      <c r="B634" s="4" t="s">
        <v>1992</v>
      </c>
      <c r="C634" s="4" t="s">
        <v>594</v>
      </c>
      <c r="D634" s="4"/>
      <c r="E634" s="4"/>
      <c r="F634" s="4"/>
      <c r="G634" s="4"/>
      <c r="H634" s="4"/>
      <c r="I634" s="5"/>
      <c r="J634" s="5"/>
      <c r="K634" s="5"/>
      <c r="L634" s="5"/>
      <c r="M634" s="5"/>
      <c r="N634" s="5"/>
      <c r="O634" s="4"/>
      <c r="P634" s="6"/>
      <c r="Q634" s="6"/>
      <c r="R634" s="6"/>
      <c r="S634" s="6"/>
      <c r="T634" s="6"/>
      <c r="U634" s="6"/>
      <c r="V634" s="6"/>
      <c r="W634" s="6"/>
      <c r="X634" s="6"/>
      <c r="Y634" s="6"/>
      <c r="Z634" s="6"/>
    </row>
    <row r="635" spans="1:26" ht="15.75" customHeight="1" x14ac:dyDescent="0.2">
      <c r="A635" s="4" t="s">
        <v>1993</v>
      </c>
      <c r="B635" s="4" t="s">
        <v>1994</v>
      </c>
      <c r="C635" s="4" t="s">
        <v>629</v>
      </c>
      <c r="D635" s="4"/>
      <c r="E635" s="4" t="s">
        <v>21</v>
      </c>
      <c r="F635" s="4">
        <v>78</v>
      </c>
      <c r="G635" s="4"/>
      <c r="H635" s="4"/>
      <c r="I635" s="5"/>
      <c r="J635" s="5"/>
      <c r="K635" s="5"/>
      <c r="L635" s="5"/>
      <c r="M635" s="5"/>
      <c r="N635" s="5"/>
      <c r="O635" s="4"/>
      <c r="P635" s="6"/>
      <c r="Q635" s="6"/>
      <c r="R635" s="6"/>
      <c r="S635" s="6"/>
      <c r="T635" s="6"/>
      <c r="U635" s="6"/>
      <c r="V635" s="6"/>
      <c r="W635" s="6"/>
      <c r="X635" s="6"/>
      <c r="Y635" s="6"/>
      <c r="Z635" s="6"/>
    </row>
    <row r="636" spans="1:26" ht="15.75" customHeight="1" x14ac:dyDescent="0.2">
      <c r="A636" s="4" t="s">
        <v>1995</v>
      </c>
      <c r="B636" s="4" t="s">
        <v>1996</v>
      </c>
      <c r="C636" s="4" t="s">
        <v>629</v>
      </c>
      <c r="D636" s="4"/>
      <c r="E636" s="4" t="s">
        <v>21</v>
      </c>
      <c r="F636" s="4">
        <v>1200</v>
      </c>
      <c r="G636" s="4"/>
      <c r="H636" s="4"/>
      <c r="I636" s="5"/>
      <c r="J636" s="5"/>
      <c r="K636" s="5"/>
      <c r="L636" s="5"/>
      <c r="M636" s="5"/>
      <c r="N636" s="5"/>
      <c r="O636" s="4"/>
      <c r="P636" s="6"/>
      <c r="Q636" s="6"/>
      <c r="R636" s="6"/>
      <c r="S636" s="6"/>
      <c r="T636" s="6"/>
      <c r="U636" s="6"/>
      <c r="V636" s="6"/>
      <c r="W636" s="6"/>
      <c r="X636" s="6"/>
      <c r="Y636" s="6"/>
      <c r="Z636" s="6"/>
    </row>
    <row r="637" spans="1:26" ht="15.75" customHeight="1" x14ac:dyDescent="0.2">
      <c r="A637" s="4" t="s">
        <v>1997</v>
      </c>
      <c r="B637" s="4" t="s">
        <v>1998</v>
      </c>
      <c r="C637" s="4" t="s">
        <v>765</v>
      </c>
      <c r="D637" s="4"/>
      <c r="E637" s="4"/>
      <c r="F637" s="4"/>
      <c r="G637" s="4"/>
      <c r="H637" s="4"/>
      <c r="I637" s="5"/>
      <c r="J637" s="5"/>
      <c r="K637" s="5"/>
      <c r="L637" s="5"/>
      <c r="M637" s="5"/>
      <c r="N637" s="5"/>
      <c r="O637" s="4"/>
      <c r="P637" s="6"/>
      <c r="Q637" s="6"/>
      <c r="R637" s="6"/>
      <c r="S637" s="6"/>
      <c r="T637" s="6"/>
      <c r="U637" s="6"/>
      <c r="V637" s="6"/>
      <c r="W637" s="6"/>
      <c r="X637" s="6"/>
      <c r="Y637" s="6"/>
      <c r="Z637" s="6"/>
    </row>
    <row r="638" spans="1:26" ht="15.75" customHeight="1" x14ac:dyDescent="0.2">
      <c r="A638" s="4" t="s">
        <v>1999</v>
      </c>
      <c r="B638" s="4" t="s">
        <v>2000</v>
      </c>
      <c r="C638" s="4" t="s">
        <v>803</v>
      </c>
      <c r="D638" s="4"/>
      <c r="E638" s="4" t="s">
        <v>21</v>
      </c>
      <c r="F638" s="4"/>
      <c r="G638" s="4"/>
      <c r="H638" s="4"/>
      <c r="I638" s="5"/>
      <c r="J638" s="5"/>
      <c r="K638" s="5"/>
      <c r="L638" s="5"/>
      <c r="M638" s="5"/>
      <c r="N638" s="5"/>
      <c r="O638" s="4"/>
      <c r="P638" s="6"/>
      <c r="Q638" s="6"/>
      <c r="R638" s="6"/>
      <c r="S638" s="6"/>
      <c r="T638" s="6"/>
      <c r="U638" s="6"/>
      <c r="V638" s="6"/>
      <c r="W638" s="6"/>
      <c r="X638" s="6"/>
      <c r="Y638" s="6"/>
      <c r="Z638" s="6"/>
    </row>
    <row r="639" spans="1:26" ht="15.75" customHeight="1" x14ac:dyDescent="0.2">
      <c r="A639" s="4" t="s">
        <v>2001</v>
      </c>
      <c r="B639" s="4" t="s">
        <v>2000</v>
      </c>
      <c r="C639" s="4" t="s">
        <v>16</v>
      </c>
      <c r="D639" s="4"/>
      <c r="E639" s="4" t="s">
        <v>21</v>
      </c>
      <c r="F639" s="4"/>
      <c r="G639" s="4"/>
      <c r="H639" s="4"/>
      <c r="I639" s="5"/>
      <c r="J639" s="5"/>
      <c r="K639" s="5"/>
      <c r="L639" s="5"/>
      <c r="M639" s="5"/>
      <c r="N639" s="5"/>
      <c r="O639" s="4"/>
      <c r="P639" s="6"/>
      <c r="Q639" s="6"/>
      <c r="R639" s="6"/>
      <c r="S639" s="6"/>
      <c r="T639" s="6"/>
      <c r="U639" s="6"/>
      <c r="V639" s="6"/>
      <c r="W639" s="6"/>
      <c r="X639" s="6"/>
      <c r="Y639" s="6"/>
      <c r="Z639" s="6"/>
    </row>
    <row r="640" spans="1:26" ht="15.75" customHeight="1" x14ac:dyDescent="0.2">
      <c r="A640" s="4" t="s">
        <v>2002</v>
      </c>
      <c r="B640" s="4" t="s">
        <v>2003</v>
      </c>
      <c r="C640" s="4" t="s">
        <v>594</v>
      </c>
      <c r="D640" s="4"/>
      <c r="E640" s="4"/>
      <c r="F640" s="4"/>
      <c r="G640" s="4"/>
      <c r="H640" s="4"/>
      <c r="I640" s="5"/>
      <c r="J640" s="5"/>
      <c r="K640" s="5"/>
      <c r="L640" s="5"/>
      <c r="M640" s="5"/>
      <c r="N640" s="5"/>
      <c r="O640" s="4"/>
      <c r="P640" s="6"/>
      <c r="Q640" s="6"/>
      <c r="R640" s="6"/>
      <c r="S640" s="6"/>
      <c r="T640" s="6"/>
      <c r="U640" s="6"/>
      <c r="V640" s="6"/>
      <c r="W640" s="6"/>
      <c r="X640" s="6"/>
      <c r="Y640" s="6"/>
      <c r="Z640" s="6"/>
    </row>
    <row r="641" spans="1:26" ht="15.75" customHeight="1" x14ac:dyDescent="0.2">
      <c r="A641" s="4" t="s">
        <v>2004</v>
      </c>
      <c r="B641" s="4" t="s">
        <v>2005</v>
      </c>
      <c r="C641" s="4" t="s">
        <v>2006</v>
      </c>
      <c r="D641" s="4"/>
      <c r="E641" s="4"/>
      <c r="F641" s="4"/>
      <c r="G641" s="4"/>
      <c r="H641" s="4"/>
      <c r="I641" s="5"/>
      <c r="J641" s="5"/>
      <c r="K641" s="5"/>
      <c r="L641" s="5"/>
      <c r="M641" s="5"/>
      <c r="N641" s="5"/>
      <c r="O641" s="4"/>
      <c r="P641" s="6"/>
      <c r="Q641" s="6"/>
      <c r="R641" s="6"/>
      <c r="S641" s="6"/>
      <c r="T641" s="6"/>
      <c r="U641" s="6"/>
      <c r="V641" s="6"/>
      <c r="W641" s="6"/>
      <c r="X641" s="6"/>
      <c r="Y641" s="6"/>
      <c r="Z641" s="6"/>
    </row>
    <row r="642" spans="1:26" ht="15.75" customHeight="1" x14ac:dyDescent="0.2">
      <c r="A642" s="4" t="s">
        <v>2007</v>
      </c>
      <c r="B642" s="4" t="s">
        <v>2005</v>
      </c>
      <c r="C642" s="4" t="s">
        <v>653</v>
      </c>
      <c r="D642" s="4"/>
      <c r="E642" s="4"/>
      <c r="F642" s="4"/>
      <c r="G642" s="4"/>
      <c r="H642" s="4"/>
      <c r="I642" s="5"/>
      <c r="J642" s="5"/>
      <c r="K642" s="5"/>
      <c r="L642" s="5"/>
      <c r="M642" s="5"/>
      <c r="N642" s="5"/>
      <c r="O642" s="4"/>
      <c r="P642" s="6"/>
      <c r="Q642" s="6"/>
      <c r="R642" s="6"/>
      <c r="S642" s="6"/>
      <c r="T642" s="6"/>
      <c r="U642" s="6"/>
      <c r="V642" s="6"/>
      <c r="W642" s="6"/>
      <c r="X642" s="6"/>
      <c r="Y642" s="6"/>
      <c r="Z642" s="6"/>
    </row>
    <row r="643" spans="1:26" ht="15.75" customHeight="1" x14ac:dyDescent="0.2">
      <c r="A643" s="4" t="s">
        <v>2008</v>
      </c>
      <c r="B643" s="4" t="s">
        <v>2009</v>
      </c>
      <c r="C643" s="4" t="s">
        <v>2010</v>
      </c>
      <c r="D643" s="4"/>
      <c r="E643" s="4"/>
      <c r="F643" s="4"/>
      <c r="G643" s="4"/>
      <c r="H643" s="4"/>
      <c r="I643" s="5"/>
      <c r="J643" s="5"/>
      <c r="K643" s="5"/>
      <c r="L643" s="5"/>
      <c r="M643" s="5"/>
      <c r="N643" s="5"/>
      <c r="O643" s="4"/>
      <c r="P643" s="6"/>
      <c r="Q643" s="6"/>
      <c r="R643" s="6"/>
      <c r="S643" s="6"/>
      <c r="T643" s="6"/>
      <c r="U643" s="6"/>
      <c r="V643" s="6"/>
      <c r="W643" s="6"/>
      <c r="X643" s="6"/>
      <c r="Y643" s="6"/>
      <c r="Z643" s="6"/>
    </row>
    <row r="644" spans="1:26" ht="15.75" customHeight="1" x14ac:dyDescent="0.2">
      <c r="A644" s="4" t="s">
        <v>2011</v>
      </c>
      <c r="B644" s="4" t="s">
        <v>2012</v>
      </c>
      <c r="C644" s="4" t="s">
        <v>653</v>
      </c>
      <c r="D644" s="4" t="s">
        <v>2013</v>
      </c>
      <c r="E644" s="4" t="s">
        <v>21</v>
      </c>
      <c r="F644" s="4"/>
      <c r="G644" s="4"/>
      <c r="H644" s="4"/>
      <c r="I644" s="5"/>
      <c r="J644" s="5"/>
      <c r="K644" s="5"/>
      <c r="L644" s="5"/>
      <c r="M644" s="5"/>
      <c r="N644" s="5"/>
      <c r="O644" s="4"/>
      <c r="P644" s="6"/>
      <c r="Q644" s="6"/>
      <c r="R644" s="6"/>
      <c r="S644" s="6"/>
      <c r="T644" s="6"/>
      <c r="U644" s="6"/>
      <c r="V644" s="6"/>
      <c r="W644" s="6"/>
      <c r="X644" s="6"/>
      <c r="Y644" s="6"/>
      <c r="Z644" s="6"/>
    </row>
    <row r="645" spans="1:26" ht="15.75" customHeight="1" x14ac:dyDescent="0.2">
      <c r="A645" s="4" t="s">
        <v>2014</v>
      </c>
      <c r="B645" s="4" t="s">
        <v>2015</v>
      </c>
      <c r="C645" s="4" t="s">
        <v>621</v>
      </c>
      <c r="D645" s="19" t="s">
        <v>2016</v>
      </c>
      <c r="E645" s="4" t="s">
        <v>17</v>
      </c>
      <c r="F645" s="4"/>
      <c r="G645" s="4"/>
      <c r="H645" s="4"/>
      <c r="I645" s="5"/>
      <c r="J645" s="5"/>
      <c r="K645" s="5"/>
      <c r="L645" s="5"/>
      <c r="M645" s="5"/>
      <c r="N645" s="5" t="s">
        <v>2017</v>
      </c>
      <c r="O645" s="4"/>
      <c r="P645" s="6"/>
      <c r="Q645" s="6"/>
      <c r="R645" s="6"/>
      <c r="S645" s="6"/>
      <c r="T645" s="6"/>
      <c r="U645" s="6"/>
      <c r="V645" s="6"/>
      <c r="W645" s="6"/>
      <c r="X645" s="6"/>
      <c r="Y645" s="6"/>
      <c r="Z645" s="6"/>
    </row>
    <row r="646" spans="1:26" ht="30" customHeight="1" x14ac:dyDescent="0.2">
      <c r="A646" s="4" t="s">
        <v>2018</v>
      </c>
      <c r="B646" s="4" t="s">
        <v>2019</v>
      </c>
      <c r="C646" s="4" t="s">
        <v>26</v>
      </c>
      <c r="D646" s="4"/>
      <c r="E646" s="4"/>
      <c r="F646" s="4"/>
      <c r="G646" s="4"/>
      <c r="H646" s="4"/>
      <c r="I646" s="5"/>
      <c r="J646" s="5"/>
      <c r="K646" s="5"/>
      <c r="L646" s="5"/>
      <c r="M646" s="5"/>
      <c r="N646" s="5"/>
      <c r="O646" s="4"/>
      <c r="P646" s="6"/>
      <c r="Q646" s="6"/>
      <c r="R646" s="6"/>
      <c r="S646" s="6"/>
      <c r="T646" s="6"/>
      <c r="U646" s="6"/>
      <c r="V646" s="6"/>
      <c r="W646" s="6"/>
      <c r="X646" s="6"/>
      <c r="Y646" s="6"/>
      <c r="Z646" s="6"/>
    </row>
    <row r="647" spans="1:26" ht="15.75" customHeight="1" x14ac:dyDescent="0.2">
      <c r="A647" s="4" t="s">
        <v>2020</v>
      </c>
      <c r="B647" s="4" t="s">
        <v>2021</v>
      </c>
      <c r="C647" s="4" t="s">
        <v>656</v>
      </c>
      <c r="D647" s="4"/>
      <c r="E647" s="4"/>
      <c r="F647" s="4"/>
      <c r="G647" s="4"/>
      <c r="H647" s="4"/>
      <c r="I647" s="5"/>
      <c r="J647" s="5"/>
      <c r="K647" s="5"/>
      <c r="L647" s="5"/>
      <c r="M647" s="5"/>
      <c r="N647" s="5"/>
      <c r="O647" s="4"/>
      <c r="P647" s="6"/>
      <c r="Q647" s="6"/>
      <c r="R647" s="6"/>
      <c r="S647" s="6"/>
      <c r="T647" s="6"/>
      <c r="U647" s="6"/>
      <c r="V647" s="6"/>
      <c r="W647" s="6"/>
      <c r="X647" s="6"/>
      <c r="Y647" s="6"/>
      <c r="Z647" s="6"/>
    </row>
    <row r="648" spans="1:26" ht="15.75" customHeight="1" x14ac:dyDescent="0.2">
      <c r="A648" s="4" t="s">
        <v>2022</v>
      </c>
      <c r="B648" s="4" t="s">
        <v>2023</v>
      </c>
      <c r="C648" s="4" t="s">
        <v>656</v>
      </c>
      <c r="D648" s="4"/>
      <c r="E648" s="4"/>
      <c r="F648" s="4"/>
      <c r="G648" s="4"/>
      <c r="H648" s="4"/>
      <c r="I648" s="5"/>
      <c r="J648" s="5"/>
      <c r="K648" s="5"/>
      <c r="L648" s="5"/>
      <c r="M648" s="5"/>
      <c r="N648" s="5"/>
      <c r="O648" s="4"/>
      <c r="P648" s="6"/>
      <c r="Q648" s="6"/>
      <c r="R648" s="6"/>
      <c r="S648" s="6"/>
      <c r="T648" s="6"/>
      <c r="U648" s="6"/>
      <c r="V648" s="6"/>
      <c r="W648" s="6"/>
      <c r="X648" s="6"/>
      <c r="Y648" s="6"/>
      <c r="Z648" s="6"/>
    </row>
    <row r="649" spans="1:26" ht="15.75" customHeight="1" x14ac:dyDescent="0.2">
      <c r="A649" s="4" t="s">
        <v>2024</v>
      </c>
      <c r="B649" s="4" t="s">
        <v>2025</v>
      </c>
      <c r="C649" s="4" t="s">
        <v>20</v>
      </c>
      <c r="D649" s="4"/>
      <c r="E649" s="4"/>
      <c r="F649" s="4"/>
      <c r="G649" s="4"/>
      <c r="H649" s="4"/>
      <c r="I649" s="5"/>
      <c r="J649" s="5"/>
      <c r="K649" s="5"/>
      <c r="L649" s="5"/>
      <c r="M649" s="5"/>
      <c r="N649" s="5"/>
      <c r="O649" s="4"/>
      <c r="P649" s="6"/>
      <c r="Q649" s="6"/>
      <c r="R649" s="6"/>
      <c r="S649" s="6"/>
      <c r="T649" s="6"/>
      <c r="U649" s="6"/>
      <c r="V649" s="6"/>
      <c r="W649" s="6"/>
      <c r="X649" s="6"/>
      <c r="Y649" s="6"/>
      <c r="Z649" s="6"/>
    </row>
    <row r="650" spans="1:26" ht="15.75" customHeight="1" x14ac:dyDescent="0.2">
      <c r="A650" s="4" t="s">
        <v>2026</v>
      </c>
      <c r="B650" s="4" t="s">
        <v>2027</v>
      </c>
      <c r="C650" s="4" t="s">
        <v>20</v>
      </c>
      <c r="D650" s="4"/>
      <c r="E650" s="4"/>
      <c r="F650" s="4"/>
      <c r="G650" s="4"/>
      <c r="H650" s="4"/>
      <c r="I650" s="5"/>
      <c r="J650" s="5"/>
      <c r="K650" s="5"/>
      <c r="L650" s="5"/>
      <c r="M650" s="5"/>
      <c r="N650" s="5"/>
      <c r="O650" s="4"/>
      <c r="P650" s="6"/>
      <c r="Q650" s="6"/>
      <c r="R650" s="6"/>
      <c r="S650" s="6"/>
      <c r="T650" s="6"/>
      <c r="U650" s="6"/>
      <c r="V650" s="6"/>
      <c r="W650" s="6"/>
      <c r="X650" s="6"/>
      <c r="Y650" s="6"/>
      <c r="Z650" s="6"/>
    </row>
    <row r="651" spans="1:26" ht="15.75" customHeight="1" x14ac:dyDescent="0.2">
      <c r="A651" s="4" t="s">
        <v>2028</v>
      </c>
      <c r="B651" s="4" t="s">
        <v>2029</v>
      </c>
      <c r="C651" s="4" t="s">
        <v>1437</v>
      </c>
      <c r="D651" s="4" t="s">
        <v>2030</v>
      </c>
      <c r="E651" s="4" t="s">
        <v>21</v>
      </c>
      <c r="F651" s="4">
        <v>10800</v>
      </c>
      <c r="G651" s="4"/>
      <c r="H651" s="4"/>
      <c r="I651" s="5"/>
      <c r="J651" s="5"/>
      <c r="K651" s="5"/>
      <c r="L651" s="5"/>
      <c r="M651" s="5"/>
      <c r="N651" s="5"/>
      <c r="O651" s="4"/>
      <c r="P651" s="6"/>
      <c r="Q651" s="6"/>
      <c r="R651" s="6"/>
      <c r="S651" s="6"/>
      <c r="T651" s="6"/>
      <c r="U651" s="6"/>
      <c r="V651" s="6"/>
      <c r="W651" s="6"/>
      <c r="X651" s="6"/>
      <c r="Y651" s="6"/>
      <c r="Z651" s="6"/>
    </row>
    <row r="652" spans="1:26" ht="15.75" customHeight="1" x14ac:dyDescent="0.2">
      <c r="A652" s="4" t="s">
        <v>2031</v>
      </c>
      <c r="B652" s="4" t="s">
        <v>2032</v>
      </c>
      <c r="C652" s="4" t="s">
        <v>610</v>
      </c>
      <c r="D652" s="4"/>
      <c r="E652" s="4"/>
      <c r="F652" s="4">
        <v>2080</v>
      </c>
      <c r="G652" s="4"/>
      <c r="H652" s="4"/>
      <c r="I652" s="5"/>
      <c r="J652" s="5"/>
      <c r="K652" s="5"/>
      <c r="L652" s="5"/>
      <c r="M652" s="5"/>
      <c r="N652" s="5"/>
      <c r="O652" s="4"/>
      <c r="P652" s="6"/>
      <c r="Q652" s="6"/>
      <c r="R652" s="6"/>
      <c r="S652" s="6"/>
      <c r="T652" s="6"/>
      <c r="U652" s="6"/>
      <c r="V652" s="6"/>
      <c r="W652" s="6"/>
      <c r="X652" s="6"/>
      <c r="Y652" s="6"/>
      <c r="Z652" s="6"/>
    </row>
    <row r="653" spans="1:26" ht="15.75" customHeight="1" x14ac:dyDescent="0.2">
      <c r="A653" s="4" t="s">
        <v>2033</v>
      </c>
      <c r="B653" s="4" t="s">
        <v>2034</v>
      </c>
      <c r="C653" s="4" t="s">
        <v>291</v>
      </c>
      <c r="D653" s="4"/>
      <c r="E653" s="4"/>
      <c r="F653" s="4"/>
      <c r="G653" s="4"/>
      <c r="H653" s="4"/>
      <c r="I653" s="5"/>
      <c r="J653" s="5"/>
      <c r="K653" s="5"/>
      <c r="L653" s="5"/>
      <c r="M653" s="5"/>
      <c r="N653" s="5"/>
      <c r="O653" s="4"/>
      <c r="P653" s="6"/>
      <c r="Q653" s="6"/>
      <c r="R653" s="6"/>
      <c r="S653" s="6"/>
      <c r="T653" s="6"/>
      <c r="U653" s="6"/>
      <c r="V653" s="6"/>
      <c r="W653" s="6"/>
      <c r="X653" s="6"/>
      <c r="Y653" s="6"/>
      <c r="Z653" s="6"/>
    </row>
    <row r="654" spans="1:26" ht="15.75" customHeight="1" x14ac:dyDescent="0.2">
      <c r="A654" s="4" t="s">
        <v>2035</v>
      </c>
      <c r="B654" s="4" t="s">
        <v>2036</v>
      </c>
      <c r="C654" s="4" t="s">
        <v>607</v>
      </c>
      <c r="D654" s="4"/>
      <c r="E654" s="4" t="s">
        <v>21</v>
      </c>
      <c r="F654" s="4"/>
      <c r="G654" s="4"/>
      <c r="H654" s="4"/>
      <c r="I654" s="5"/>
      <c r="J654" s="5"/>
      <c r="K654" s="5"/>
      <c r="L654" s="5"/>
      <c r="M654" s="5"/>
      <c r="N654" s="5"/>
      <c r="O654" s="4"/>
      <c r="P654" s="6"/>
      <c r="Q654" s="6"/>
      <c r="R654" s="6"/>
      <c r="S654" s="6"/>
      <c r="T654" s="6"/>
      <c r="U654" s="6"/>
      <c r="V654" s="6"/>
      <c r="W654" s="6"/>
      <c r="X654" s="6"/>
      <c r="Y654" s="6"/>
      <c r="Z654" s="6"/>
    </row>
    <row r="655" spans="1:26" ht="15.75" customHeight="1" x14ac:dyDescent="0.2">
      <c r="A655" s="4" t="s">
        <v>2037</v>
      </c>
      <c r="B655" s="4" t="s">
        <v>2038</v>
      </c>
      <c r="C655" s="4" t="s">
        <v>16</v>
      </c>
      <c r="D655" s="4"/>
      <c r="E655" s="4"/>
      <c r="F655" s="4"/>
      <c r="G655" s="4"/>
      <c r="H655" s="4"/>
      <c r="I655" s="5"/>
      <c r="J655" s="5"/>
      <c r="K655" s="5"/>
      <c r="L655" s="5"/>
      <c r="M655" s="5"/>
      <c r="N655" s="5"/>
      <c r="O655" s="4"/>
      <c r="P655" s="6"/>
      <c r="Q655" s="6"/>
      <c r="R655" s="6"/>
      <c r="S655" s="6"/>
      <c r="T655" s="6"/>
      <c r="U655" s="6"/>
      <c r="V655" s="6"/>
      <c r="W655" s="6"/>
      <c r="X655" s="6"/>
      <c r="Y655" s="6"/>
      <c r="Z655" s="6"/>
    </row>
    <row r="656" spans="1:26" ht="15.75" customHeight="1" x14ac:dyDescent="0.2">
      <c r="A656" s="4" t="s">
        <v>2039</v>
      </c>
      <c r="B656" s="4" t="s">
        <v>2040</v>
      </c>
      <c r="C656" s="4" t="s">
        <v>20</v>
      </c>
      <c r="D656" s="4"/>
      <c r="E656" s="4" t="s">
        <v>21</v>
      </c>
      <c r="F656" s="71">
        <v>380</v>
      </c>
      <c r="G656" s="4"/>
      <c r="H656" s="4"/>
      <c r="I656" s="5"/>
      <c r="J656" s="5"/>
      <c r="K656" s="5"/>
      <c r="L656" s="5"/>
      <c r="M656" s="5"/>
      <c r="N656" s="5"/>
      <c r="O656" s="4"/>
      <c r="P656" s="6"/>
      <c r="Q656" s="6"/>
      <c r="R656" s="6"/>
      <c r="S656" s="6"/>
      <c r="T656" s="6"/>
      <c r="U656" s="6"/>
      <c r="V656" s="6"/>
      <c r="W656" s="6"/>
      <c r="X656" s="6"/>
      <c r="Y656" s="6"/>
      <c r="Z656" s="6"/>
    </row>
    <row r="657" spans="1:26" ht="15.75" customHeight="1" x14ac:dyDescent="0.2">
      <c r="A657" s="4" t="s">
        <v>2041</v>
      </c>
      <c r="B657" s="4" t="s">
        <v>2042</v>
      </c>
      <c r="C657" s="4" t="s">
        <v>653</v>
      </c>
      <c r="D657" s="4"/>
      <c r="E657" s="4" t="s">
        <v>21</v>
      </c>
      <c r="F657" s="71"/>
      <c r="G657" s="4"/>
      <c r="H657" s="4"/>
      <c r="I657" s="5"/>
      <c r="J657" s="5"/>
      <c r="K657" s="5"/>
      <c r="L657" s="5"/>
      <c r="M657" s="5"/>
      <c r="N657" s="5"/>
      <c r="O657" s="4"/>
      <c r="P657" s="6"/>
      <c r="Q657" s="6"/>
      <c r="R657" s="6"/>
      <c r="S657" s="6"/>
      <c r="T657" s="6"/>
      <c r="U657" s="6"/>
      <c r="V657" s="6"/>
      <c r="W657" s="6"/>
      <c r="X657" s="6"/>
      <c r="Y657" s="6"/>
      <c r="Z657" s="6"/>
    </row>
    <row r="658" spans="1:26" ht="15.75" customHeight="1" x14ac:dyDescent="0.2">
      <c r="A658" s="4" t="s">
        <v>2043</v>
      </c>
      <c r="B658" s="4" t="s">
        <v>2044</v>
      </c>
      <c r="C658" s="4" t="s">
        <v>26</v>
      </c>
      <c r="D658" s="4"/>
      <c r="E658" s="4"/>
      <c r="F658" s="4"/>
      <c r="G658" s="4"/>
      <c r="H658" s="4"/>
      <c r="I658" s="5"/>
      <c r="J658" s="5"/>
      <c r="K658" s="5"/>
      <c r="L658" s="5"/>
      <c r="M658" s="5"/>
      <c r="N658" s="5"/>
      <c r="O658" s="4"/>
      <c r="P658" s="6"/>
      <c r="Q658" s="6"/>
      <c r="R658" s="6"/>
      <c r="S658" s="6"/>
      <c r="T658" s="6"/>
      <c r="U658" s="6"/>
      <c r="V658" s="6"/>
      <c r="W658" s="6"/>
      <c r="X658" s="6"/>
      <c r="Y658" s="6"/>
      <c r="Z658" s="6"/>
    </row>
    <row r="659" spans="1:26" ht="15.75" customHeight="1" x14ac:dyDescent="0.2">
      <c r="A659" s="4" t="s">
        <v>2045</v>
      </c>
      <c r="B659" s="4" t="s">
        <v>2046</v>
      </c>
      <c r="C659" s="4" t="s">
        <v>629</v>
      </c>
      <c r="D659" s="4"/>
      <c r="E659" s="4" t="s">
        <v>21</v>
      </c>
      <c r="F659" s="4">
        <v>170</v>
      </c>
      <c r="G659" s="4"/>
      <c r="H659" s="4"/>
      <c r="I659" s="5"/>
      <c r="J659" s="5"/>
      <c r="K659" s="5"/>
      <c r="L659" s="5"/>
      <c r="M659" s="5"/>
      <c r="N659" s="5"/>
      <c r="O659" s="4"/>
      <c r="P659" s="6"/>
      <c r="Q659" s="6"/>
      <c r="R659" s="6"/>
      <c r="S659" s="6"/>
      <c r="T659" s="6"/>
      <c r="U659" s="6"/>
      <c r="V659" s="6"/>
      <c r="W659" s="6"/>
      <c r="X659" s="6"/>
      <c r="Y659" s="6"/>
      <c r="Z659" s="6"/>
    </row>
    <row r="660" spans="1:26" ht="15.75" customHeight="1" x14ac:dyDescent="0.2">
      <c r="A660" s="4" t="s">
        <v>2047</v>
      </c>
      <c r="B660" s="4" t="s">
        <v>2048</v>
      </c>
      <c r="C660" s="4" t="s">
        <v>20</v>
      </c>
      <c r="D660" s="4"/>
      <c r="E660" s="4"/>
      <c r="F660" s="4"/>
      <c r="G660" s="4"/>
      <c r="H660" s="4"/>
      <c r="I660" s="5"/>
      <c r="J660" s="5"/>
      <c r="K660" s="5"/>
      <c r="L660" s="5"/>
      <c r="M660" s="5"/>
      <c r="N660" s="5"/>
      <c r="O660" s="4"/>
      <c r="P660" s="6"/>
      <c r="Q660" s="6"/>
      <c r="R660" s="6"/>
      <c r="S660" s="6"/>
      <c r="T660" s="6"/>
      <c r="U660" s="6"/>
      <c r="V660" s="6"/>
      <c r="W660" s="6"/>
      <c r="X660" s="6"/>
      <c r="Y660" s="6"/>
      <c r="Z660" s="6"/>
    </row>
    <row r="661" spans="1:26" ht="15.75" customHeight="1" x14ac:dyDescent="0.2">
      <c r="A661" s="4" t="s">
        <v>2049</v>
      </c>
      <c r="B661" s="4" t="s">
        <v>2050</v>
      </c>
      <c r="C661" s="4"/>
      <c r="D661" s="4"/>
      <c r="E661" s="4" t="s">
        <v>2051</v>
      </c>
      <c r="F661" s="4" t="e">
        <f>(#REF!*0.238)+(#REF!*0.238)+(F899*0.143)+(#REF!*0.143)+(F898*0.238)</f>
        <v>#REF!</v>
      </c>
      <c r="G661" s="4"/>
      <c r="H661" s="4"/>
      <c r="I661" s="5"/>
      <c r="J661" s="5"/>
      <c r="K661" s="5"/>
      <c r="L661" s="5"/>
      <c r="M661" s="5"/>
      <c r="N661" s="5"/>
      <c r="O661" s="4"/>
      <c r="P661" s="6"/>
      <c r="Q661" s="6"/>
      <c r="R661" s="6"/>
      <c r="S661" s="6"/>
      <c r="T661" s="6"/>
      <c r="U661" s="6"/>
      <c r="V661" s="6"/>
      <c r="W661" s="6"/>
      <c r="X661" s="6"/>
      <c r="Y661" s="6"/>
      <c r="Z661" s="6"/>
    </row>
    <row r="662" spans="1:26" ht="15.75" customHeight="1" x14ac:dyDescent="0.2">
      <c r="A662" s="4" t="s">
        <v>2052</v>
      </c>
      <c r="B662" s="4" t="s">
        <v>2053</v>
      </c>
      <c r="C662" s="4"/>
      <c r="D662" s="4"/>
      <c r="E662" s="4"/>
      <c r="F662" s="71" t="e">
        <f>(F445*0.14)+(F183*0.14)+(F895*0.0841)+(F217*0.0841)+(#REF!*0.14)+(F665*0.4118)</f>
        <v>#REF!</v>
      </c>
      <c r="G662" s="4"/>
      <c r="H662" s="4"/>
      <c r="I662" s="5"/>
      <c r="J662" s="5"/>
      <c r="K662" s="5"/>
      <c r="L662" s="5"/>
      <c r="M662" s="5"/>
      <c r="N662" s="5"/>
      <c r="O662" s="4"/>
      <c r="P662" s="6"/>
      <c r="Q662" s="6"/>
      <c r="R662" s="6"/>
      <c r="S662" s="6"/>
      <c r="T662" s="6"/>
      <c r="U662" s="6"/>
      <c r="V662" s="6"/>
      <c r="W662" s="6"/>
      <c r="X662" s="6"/>
      <c r="Y662" s="6"/>
      <c r="Z662" s="6"/>
    </row>
    <row r="663" spans="1:26" ht="15.75" customHeight="1" x14ac:dyDescent="0.2">
      <c r="A663" s="4" t="s">
        <v>2054</v>
      </c>
      <c r="B663" s="4" t="s">
        <v>2055</v>
      </c>
      <c r="C663" s="4" t="s">
        <v>610</v>
      </c>
      <c r="D663" s="4"/>
      <c r="E663" s="4" t="s">
        <v>21</v>
      </c>
      <c r="F663" s="4">
        <v>1283</v>
      </c>
      <c r="G663" s="4"/>
      <c r="H663" s="4"/>
      <c r="I663" s="5">
        <v>100</v>
      </c>
      <c r="J663" s="5">
        <v>0</v>
      </c>
      <c r="K663" s="5">
        <v>0</v>
      </c>
      <c r="L663" s="5">
        <v>0</v>
      </c>
      <c r="M663" s="5"/>
      <c r="N663" s="5"/>
      <c r="O663" s="4"/>
      <c r="P663" s="6"/>
      <c r="Q663" s="6"/>
      <c r="R663" s="6"/>
      <c r="S663" s="6"/>
      <c r="T663" s="6"/>
      <c r="U663" s="6"/>
      <c r="V663" s="6"/>
      <c r="W663" s="6"/>
      <c r="X663" s="6"/>
      <c r="Y663" s="6"/>
      <c r="Z663" s="6"/>
    </row>
    <row r="664" spans="1:26" ht="15.75" customHeight="1" x14ac:dyDescent="0.2">
      <c r="A664" s="4" t="s">
        <v>2056</v>
      </c>
      <c r="B664" s="4" t="s">
        <v>2057</v>
      </c>
      <c r="C664" s="4" t="s">
        <v>873</v>
      </c>
      <c r="D664" s="4"/>
      <c r="E664" s="4" t="s">
        <v>21</v>
      </c>
      <c r="F664" s="4">
        <v>476</v>
      </c>
      <c r="G664" s="4"/>
      <c r="H664" s="72" t="s">
        <v>2058</v>
      </c>
      <c r="I664" s="5"/>
      <c r="J664" s="5"/>
      <c r="K664" s="5"/>
      <c r="L664" s="5"/>
      <c r="M664" s="5"/>
      <c r="N664" s="5"/>
      <c r="O664" s="4"/>
      <c r="P664" s="6"/>
      <c r="Q664" s="6"/>
      <c r="R664" s="6"/>
      <c r="S664" s="6"/>
      <c r="T664" s="6"/>
      <c r="U664" s="6"/>
      <c r="V664" s="6"/>
      <c r="W664" s="6"/>
      <c r="X664" s="6"/>
      <c r="Y664" s="6"/>
      <c r="Z664" s="6"/>
    </row>
    <row r="665" spans="1:26" ht="15.75" customHeight="1" x14ac:dyDescent="0.2">
      <c r="A665" s="73" t="s">
        <v>2059</v>
      </c>
      <c r="B665" s="73" t="s">
        <v>2060</v>
      </c>
      <c r="C665" s="73" t="s">
        <v>1757</v>
      </c>
      <c r="D665" s="73"/>
      <c r="E665" s="73"/>
      <c r="F665" s="73"/>
      <c r="G665" s="73"/>
      <c r="H665" s="73"/>
      <c r="I665" s="74">
        <v>0</v>
      </c>
      <c r="J665" s="74">
        <v>0</v>
      </c>
      <c r="K665" s="74">
        <v>100</v>
      </c>
      <c r="L665" s="74">
        <v>0</v>
      </c>
      <c r="M665" s="74"/>
      <c r="N665" s="74"/>
      <c r="O665" s="4"/>
      <c r="P665" s="6"/>
      <c r="Q665" s="6"/>
      <c r="R665" s="6"/>
      <c r="S665" s="6"/>
      <c r="T665" s="6"/>
      <c r="U665" s="6"/>
      <c r="V665" s="6"/>
      <c r="W665" s="6"/>
      <c r="X665" s="6"/>
      <c r="Y665" s="6"/>
      <c r="Z665" s="6"/>
    </row>
    <row r="666" spans="1:26" ht="15.75" customHeight="1" x14ac:dyDescent="0.2">
      <c r="A666" s="73" t="s">
        <v>2061</v>
      </c>
      <c r="B666" s="73" t="s">
        <v>2062</v>
      </c>
      <c r="C666" s="73" t="s">
        <v>828</v>
      </c>
      <c r="D666" s="73"/>
      <c r="E666" s="73"/>
      <c r="F666" s="73">
        <v>29.68</v>
      </c>
      <c r="G666" s="73"/>
      <c r="H666" s="73"/>
      <c r="I666" s="74">
        <v>100</v>
      </c>
      <c r="J666" s="74">
        <v>0</v>
      </c>
      <c r="K666" s="74">
        <v>0</v>
      </c>
      <c r="L666" s="74">
        <v>0</v>
      </c>
      <c r="M666" s="74"/>
      <c r="N666" s="74"/>
      <c r="O666" s="4"/>
      <c r="P666" s="6"/>
      <c r="Q666" s="6"/>
      <c r="R666" s="6"/>
      <c r="S666" s="6"/>
      <c r="T666" s="6"/>
      <c r="U666" s="6"/>
      <c r="V666" s="6"/>
      <c r="W666" s="6"/>
      <c r="X666" s="6"/>
      <c r="Y666" s="6"/>
      <c r="Z666" s="6"/>
    </row>
    <row r="667" spans="1:26" ht="15.75" customHeight="1" x14ac:dyDescent="0.2">
      <c r="A667" s="73" t="s">
        <v>2063</v>
      </c>
      <c r="B667" s="73" t="s">
        <v>2064</v>
      </c>
      <c r="C667" s="73" t="s">
        <v>2065</v>
      </c>
      <c r="D667" s="73"/>
      <c r="E667" s="73"/>
      <c r="F667" s="73"/>
      <c r="G667" s="73"/>
      <c r="H667" s="73"/>
      <c r="I667" s="74"/>
      <c r="J667" s="74"/>
      <c r="K667" s="74"/>
      <c r="L667" s="74"/>
      <c r="M667" s="74"/>
      <c r="N667" s="74"/>
      <c r="O667" s="4"/>
      <c r="P667" s="6"/>
      <c r="Q667" s="6"/>
      <c r="R667" s="6"/>
      <c r="S667" s="6"/>
      <c r="T667" s="6"/>
      <c r="U667" s="6"/>
      <c r="V667" s="6"/>
      <c r="W667" s="6"/>
      <c r="X667" s="6"/>
      <c r="Y667" s="6"/>
      <c r="Z667" s="6"/>
    </row>
    <row r="668" spans="1:26" ht="15.75" customHeight="1" x14ac:dyDescent="0.2">
      <c r="A668" s="73" t="s">
        <v>2066</v>
      </c>
      <c r="B668" s="73" t="s">
        <v>2067</v>
      </c>
      <c r="C668" s="73" t="s">
        <v>2065</v>
      </c>
      <c r="D668" s="73"/>
      <c r="E668" s="73"/>
      <c r="F668" s="73"/>
      <c r="G668" s="73"/>
      <c r="H668" s="73"/>
      <c r="I668" s="74"/>
      <c r="J668" s="74"/>
      <c r="K668" s="74"/>
      <c r="L668" s="74"/>
      <c r="M668" s="74"/>
      <c r="N668" s="74"/>
      <c r="O668" s="4"/>
      <c r="P668" s="6"/>
      <c r="Q668" s="6"/>
      <c r="R668" s="6"/>
      <c r="S668" s="6"/>
      <c r="T668" s="6"/>
      <c r="U668" s="6"/>
      <c r="V668" s="6"/>
      <c r="W668" s="6"/>
      <c r="X668" s="6"/>
      <c r="Y668" s="6"/>
      <c r="Z668" s="6"/>
    </row>
    <row r="669" spans="1:26" ht="15.75" customHeight="1" x14ac:dyDescent="0.2">
      <c r="A669" s="73" t="s">
        <v>2068</v>
      </c>
      <c r="B669" s="73" t="s">
        <v>2069</v>
      </c>
      <c r="C669" s="73" t="s">
        <v>2070</v>
      </c>
      <c r="D669" s="73"/>
      <c r="E669" s="73"/>
      <c r="F669" s="73"/>
      <c r="G669" s="73"/>
      <c r="H669" s="73"/>
      <c r="I669" s="74"/>
      <c r="J669" s="74"/>
      <c r="K669" s="74"/>
      <c r="L669" s="74"/>
      <c r="M669" s="74"/>
      <c r="N669" s="74"/>
      <c r="O669" s="73"/>
      <c r="P669" s="6"/>
      <c r="Q669" s="6"/>
      <c r="R669" s="6"/>
      <c r="S669" s="6"/>
      <c r="T669" s="6"/>
      <c r="U669" s="6"/>
      <c r="V669" s="6"/>
      <c r="W669" s="6"/>
      <c r="X669" s="6"/>
      <c r="Y669" s="6"/>
      <c r="Z669" s="6"/>
    </row>
    <row r="670" spans="1:26" ht="15.75" customHeight="1" x14ac:dyDescent="0.2">
      <c r="A670" s="73" t="s">
        <v>2071</v>
      </c>
      <c r="B670" s="73" t="s">
        <v>2072</v>
      </c>
      <c r="C670" s="73" t="s">
        <v>2070</v>
      </c>
      <c r="D670" s="73"/>
      <c r="E670" s="73"/>
      <c r="F670" s="73"/>
      <c r="G670" s="73"/>
      <c r="H670" s="73"/>
      <c r="I670" s="74"/>
      <c r="J670" s="74"/>
      <c r="K670" s="74"/>
      <c r="L670" s="74"/>
      <c r="M670" s="74"/>
      <c r="N670" s="74"/>
      <c r="O670" s="73"/>
      <c r="P670" s="6"/>
      <c r="Q670" s="6"/>
      <c r="R670" s="6"/>
      <c r="S670" s="6"/>
      <c r="T670" s="6"/>
      <c r="U670" s="6"/>
      <c r="V670" s="6"/>
      <c r="W670" s="6"/>
      <c r="X670" s="6"/>
      <c r="Y670" s="6"/>
      <c r="Z670" s="6"/>
    </row>
    <row r="671" spans="1:26" ht="15.75" customHeight="1" x14ac:dyDescent="0.2">
      <c r="A671" s="73" t="s">
        <v>2073</v>
      </c>
      <c r="B671" s="73" t="s">
        <v>2074</v>
      </c>
      <c r="C671" s="73" t="s">
        <v>2070</v>
      </c>
      <c r="D671" s="73"/>
      <c r="E671" s="73"/>
      <c r="F671" s="73">
        <v>33.799999999999997</v>
      </c>
      <c r="G671" s="73"/>
      <c r="H671" s="73"/>
      <c r="I671" s="74"/>
      <c r="J671" s="74"/>
      <c r="K671" s="74"/>
      <c r="L671" s="74"/>
      <c r="M671" s="74"/>
      <c r="N671" s="74"/>
      <c r="O671" s="73"/>
      <c r="P671" s="6"/>
      <c r="Q671" s="6"/>
      <c r="R671" s="6"/>
      <c r="S671" s="6"/>
      <c r="T671" s="6"/>
      <c r="U671" s="6"/>
      <c r="V671" s="6"/>
      <c r="W671" s="6"/>
      <c r="X671" s="6"/>
      <c r="Y671" s="6"/>
      <c r="Z671" s="6"/>
    </row>
    <row r="672" spans="1:26" ht="15.75" customHeight="1" x14ac:dyDescent="0.2">
      <c r="A672" s="73" t="s">
        <v>2075</v>
      </c>
      <c r="B672" s="73" t="s">
        <v>2076</v>
      </c>
      <c r="C672" s="73" t="s">
        <v>2065</v>
      </c>
      <c r="D672" s="73"/>
      <c r="E672" s="73"/>
      <c r="F672" s="73"/>
      <c r="G672" s="73" t="s">
        <v>42</v>
      </c>
      <c r="H672" s="73"/>
      <c r="I672" s="74"/>
      <c r="J672" s="74"/>
      <c r="K672" s="74"/>
      <c r="L672" s="74"/>
      <c r="M672" s="74"/>
      <c r="N672" s="74"/>
      <c r="O672" s="73"/>
      <c r="P672" s="6"/>
      <c r="Q672" s="6"/>
      <c r="R672" s="6"/>
      <c r="S672" s="6"/>
      <c r="T672" s="6"/>
      <c r="U672" s="6"/>
      <c r="V672" s="6"/>
      <c r="W672" s="6"/>
      <c r="X672" s="6"/>
      <c r="Y672" s="6"/>
      <c r="Z672" s="6"/>
    </row>
    <row r="673" spans="1:26" ht="15.75" customHeight="1" x14ac:dyDescent="0.2">
      <c r="A673" s="73" t="s">
        <v>2077</v>
      </c>
      <c r="B673" s="73" t="s">
        <v>2078</v>
      </c>
      <c r="C673" s="73" t="s">
        <v>426</v>
      </c>
      <c r="D673" s="73"/>
      <c r="E673" s="73"/>
      <c r="F673" s="73"/>
      <c r="G673" s="73"/>
      <c r="H673" s="73"/>
      <c r="I673" s="74"/>
      <c r="J673" s="74"/>
      <c r="K673" s="74"/>
      <c r="L673" s="74"/>
      <c r="M673" s="74"/>
      <c r="N673" s="74"/>
      <c r="O673" s="73"/>
      <c r="P673" s="6"/>
      <c r="Q673" s="6"/>
      <c r="R673" s="6"/>
      <c r="S673" s="6"/>
      <c r="T673" s="6"/>
      <c r="U673" s="6"/>
      <c r="V673" s="6"/>
      <c r="W673" s="6"/>
      <c r="X673" s="6"/>
      <c r="Y673" s="6"/>
      <c r="Z673" s="6"/>
    </row>
    <row r="674" spans="1:26" ht="15.75" customHeight="1" x14ac:dyDescent="0.2">
      <c r="A674" s="73" t="s">
        <v>2079</v>
      </c>
      <c r="B674" s="73" t="s">
        <v>2080</v>
      </c>
      <c r="C674" s="73" t="s">
        <v>426</v>
      </c>
      <c r="D674" s="73"/>
      <c r="E674" s="73"/>
      <c r="F674" s="73"/>
      <c r="G674" s="73"/>
      <c r="H674" s="73"/>
      <c r="I674" s="74"/>
      <c r="J674" s="74"/>
      <c r="K674" s="74"/>
      <c r="L674" s="74"/>
      <c r="M674" s="74"/>
      <c r="N674" s="74"/>
      <c r="O674" s="73"/>
      <c r="P674" s="6"/>
      <c r="Q674" s="6"/>
      <c r="R674" s="6"/>
      <c r="S674" s="6"/>
      <c r="T674" s="6"/>
      <c r="U674" s="6"/>
      <c r="V674" s="6"/>
      <c r="W674" s="6"/>
      <c r="X674" s="6"/>
      <c r="Y674" s="6"/>
      <c r="Z674" s="6"/>
    </row>
    <row r="675" spans="1:26" ht="15.75" customHeight="1" x14ac:dyDescent="0.2">
      <c r="A675" s="73" t="s">
        <v>2081</v>
      </c>
      <c r="B675" s="73" t="s">
        <v>2082</v>
      </c>
      <c r="C675" s="73" t="s">
        <v>56</v>
      </c>
      <c r="D675" s="73"/>
      <c r="E675" s="73"/>
      <c r="F675" s="73"/>
      <c r="G675" s="73" t="s">
        <v>42</v>
      </c>
      <c r="H675" s="73"/>
      <c r="I675" s="74"/>
      <c r="J675" s="74"/>
      <c r="K675" s="74"/>
      <c r="L675" s="74"/>
      <c r="M675" s="74"/>
      <c r="N675" s="74"/>
      <c r="O675" s="73"/>
      <c r="P675" s="6"/>
      <c r="Q675" s="6"/>
      <c r="R675" s="6"/>
      <c r="S675" s="6"/>
      <c r="T675" s="6"/>
      <c r="U675" s="6"/>
      <c r="V675" s="6"/>
      <c r="W675" s="6"/>
      <c r="X675" s="6"/>
      <c r="Y675" s="6"/>
      <c r="Z675" s="6"/>
    </row>
    <row r="676" spans="1:26" ht="15.75" customHeight="1" x14ac:dyDescent="0.2">
      <c r="A676" s="73" t="s">
        <v>2083</v>
      </c>
      <c r="B676" s="73" t="s">
        <v>2084</v>
      </c>
      <c r="C676" s="73" t="s">
        <v>887</v>
      </c>
      <c r="D676" s="73"/>
      <c r="E676" s="73"/>
      <c r="F676" s="73"/>
      <c r="G676" s="73"/>
      <c r="H676" s="73"/>
      <c r="I676" s="74"/>
      <c r="J676" s="74"/>
      <c r="K676" s="74"/>
      <c r="L676" s="74"/>
      <c r="M676" s="74"/>
      <c r="N676" s="74"/>
      <c r="O676" s="73"/>
      <c r="P676" s="75"/>
      <c r="Q676" s="75"/>
      <c r="R676" s="75"/>
      <c r="S676" s="75"/>
      <c r="T676" s="75"/>
      <c r="U676" s="75"/>
      <c r="V676" s="75"/>
      <c r="W676" s="75"/>
      <c r="X676" s="75"/>
      <c r="Y676" s="75"/>
      <c r="Z676" s="75"/>
    </row>
    <row r="677" spans="1:26" ht="15.75" customHeight="1" x14ac:dyDescent="0.2">
      <c r="A677" s="73" t="s">
        <v>2085</v>
      </c>
      <c r="B677" s="73" t="s">
        <v>2086</v>
      </c>
      <c r="C677" s="73" t="s">
        <v>16</v>
      </c>
      <c r="D677" s="73"/>
      <c r="E677" s="73"/>
      <c r="F677" s="73"/>
      <c r="G677" s="73" t="s">
        <v>42</v>
      </c>
      <c r="H677" s="73"/>
      <c r="I677" s="74"/>
      <c r="J677" s="74"/>
      <c r="K677" s="74"/>
      <c r="L677" s="74"/>
      <c r="M677" s="74"/>
      <c r="N677" s="74"/>
      <c r="O677" s="73"/>
      <c r="P677" s="75"/>
      <c r="Q677" s="75"/>
      <c r="R677" s="75"/>
      <c r="S677" s="75"/>
      <c r="T677" s="75"/>
      <c r="U677" s="75"/>
      <c r="V677" s="75"/>
      <c r="W677" s="75"/>
      <c r="X677" s="75"/>
      <c r="Y677" s="75"/>
      <c r="Z677" s="75"/>
    </row>
    <row r="678" spans="1:26" ht="15.75" customHeight="1" x14ac:dyDescent="0.2">
      <c r="A678" s="73" t="s">
        <v>2087</v>
      </c>
      <c r="B678" s="73" t="s">
        <v>2088</v>
      </c>
      <c r="C678" s="73" t="s">
        <v>2089</v>
      </c>
      <c r="D678" s="73"/>
      <c r="E678" s="73"/>
      <c r="F678" s="73"/>
      <c r="G678" s="73"/>
      <c r="H678" s="73"/>
      <c r="I678" s="74"/>
      <c r="J678" s="74"/>
      <c r="K678" s="74"/>
      <c r="L678" s="74"/>
      <c r="M678" s="74"/>
      <c r="N678" s="74"/>
      <c r="O678" s="73"/>
      <c r="P678" s="75"/>
      <c r="Q678" s="75"/>
      <c r="R678" s="75"/>
      <c r="S678" s="75"/>
      <c r="T678" s="75"/>
      <c r="U678" s="75"/>
      <c r="V678" s="75"/>
      <c r="W678" s="75"/>
      <c r="X678" s="75"/>
      <c r="Y678" s="75"/>
      <c r="Z678" s="75"/>
    </row>
    <row r="679" spans="1:26" ht="15.75" customHeight="1" x14ac:dyDescent="0.2">
      <c r="A679" s="73" t="s">
        <v>2090</v>
      </c>
      <c r="B679" s="73" t="s">
        <v>2091</v>
      </c>
      <c r="C679" s="73" t="s">
        <v>828</v>
      </c>
      <c r="D679" s="73"/>
      <c r="E679" s="73"/>
      <c r="F679" s="73"/>
      <c r="G679" s="73" t="s">
        <v>42</v>
      </c>
      <c r="H679" s="73"/>
      <c r="I679" s="74"/>
      <c r="J679" s="74"/>
      <c r="K679" s="74"/>
      <c r="L679" s="74"/>
      <c r="M679" s="74"/>
      <c r="N679" s="74"/>
      <c r="O679" s="73"/>
      <c r="P679" s="75"/>
      <c r="Q679" s="75"/>
      <c r="R679" s="75"/>
      <c r="S679" s="75"/>
      <c r="T679" s="75"/>
      <c r="U679" s="75"/>
      <c r="V679" s="75"/>
      <c r="W679" s="75"/>
      <c r="X679" s="75"/>
      <c r="Y679" s="75"/>
      <c r="Z679" s="75"/>
    </row>
    <row r="680" spans="1:26" ht="15.75" customHeight="1" x14ac:dyDescent="0.2">
      <c r="A680" s="73" t="s">
        <v>2092</v>
      </c>
      <c r="B680" s="73" t="s">
        <v>2093</v>
      </c>
      <c r="C680" s="73" t="s">
        <v>2065</v>
      </c>
      <c r="D680" s="73"/>
      <c r="E680" s="73"/>
      <c r="F680" s="73"/>
      <c r="G680" s="73"/>
      <c r="H680" s="73"/>
      <c r="I680" s="74"/>
      <c r="J680" s="74"/>
      <c r="K680" s="74"/>
      <c r="L680" s="74"/>
      <c r="M680" s="74"/>
      <c r="N680" s="74"/>
      <c r="O680" s="73"/>
      <c r="P680" s="75"/>
      <c r="Q680" s="75"/>
      <c r="R680" s="75"/>
      <c r="S680" s="75"/>
      <c r="T680" s="75"/>
      <c r="U680" s="75"/>
      <c r="V680" s="75"/>
      <c r="W680" s="75"/>
      <c r="X680" s="75"/>
      <c r="Y680" s="75"/>
      <c r="Z680" s="75"/>
    </row>
    <row r="681" spans="1:26" ht="15.75" customHeight="1" x14ac:dyDescent="0.2">
      <c r="A681" s="73" t="s">
        <v>2094</v>
      </c>
      <c r="B681" s="73" t="s">
        <v>2095</v>
      </c>
      <c r="C681" s="73" t="s">
        <v>95</v>
      </c>
      <c r="D681" s="73"/>
      <c r="E681" s="73"/>
      <c r="F681" s="73"/>
      <c r="G681" s="73"/>
      <c r="H681" s="73"/>
      <c r="I681" s="74"/>
      <c r="J681" s="74"/>
      <c r="K681" s="74"/>
      <c r="L681" s="74"/>
      <c r="M681" s="74"/>
      <c r="N681" s="74"/>
      <c r="O681" s="73"/>
      <c r="P681" s="75"/>
      <c r="Q681" s="75"/>
      <c r="R681" s="75"/>
      <c r="S681" s="75"/>
      <c r="T681" s="75"/>
      <c r="U681" s="75"/>
      <c r="V681" s="75"/>
      <c r="W681" s="75"/>
      <c r="X681" s="75"/>
      <c r="Y681" s="75"/>
      <c r="Z681" s="75"/>
    </row>
    <row r="682" spans="1:26" ht="15.75" customHeight="1" x14ac:dyDescent="0.2">
      <c r="A682" s="73" t="s">
        <v>2096</v>
      </c>
      <c r="B682" s="73" t="s">
        <v>2097</v>
      </c>
      <c r="C682" s="73" t="s">
        <v>2065</v>
      </c>
      <c r="D682" s="73"/>
      <c r="E682" s="73"/>
      <c r="F682" s="73"/>
      <c r="G682" s="73" t="s">
        <v>42</v>
      </c>
      <c r="H682" s="73"/>
      <c r="I682" s="74"/>
      <c r="J682" s="74"/>
      <c r="K682" s="74"/>
      <c r="L682" s="74"/>
      <c r="M682" s="74"/>
      <c r="N682" s="74"/>
      <c r="O682" s="73"/>
      <c r="P682" s="75"/>
      <c r="Q682" s="75"/>
      <c r="R682" s="75"/>
      <c r="S682" s="75"/>
      <c r="T682" s="75"/>
      <c r="U682" s="75"/>
      <c r="V682" s="75"/>
      <c r="W682" s="75"/>
      <c r="X682" s="75"/>
      <c r="Y682" s="75"/>
      <c r="Z682" s="75"/>
    </row>
    <row r="683" spans="1:26" ht="15.75" customHeight="1" x14ac:dyDescent="0.2">
      <c r="A683" s="73" t="s">
        <v>2098</v>
      </c>
      <c r="B683" s="73" t="s">
        <v>2099</v>
      </c>
      <c r="C683" s="73"/>
      <c r="D683" s="73"/>
      <c r="E683" s="73"/>
      <c r="F683" s="73"/>
      <c r="G683" s="73"/>
      <c r="H683" s="73"/>
      <c r="I683" s="74"/>
      <c r="J683" s="74"/>
      <c r="K683" s="74"/>
      <c r="L683" s="74"/>
      <c r="M683" s="74"/>
      <c r="N683" s="74"/>
      <c r="O683" s="73"/>
      <c r="P683" s="75"/>
      <c r="Q683" s="75"/>
      <c r="R683" s="75"/>
      <c r="S683" s="75"/>
      <c r="T683" s="75"/>
      <c r="U683" s="75"/>
      <c r="V683" s="75"/>
      <c r="W683" s="75"/>
      <c r="X683" s="75"/>
      <c r="Y683" s="75"/>
      <c r="Z683" s="75"/>
    </row>
    <row r="684" spans="1:26" ht="15.75" customHeight="1" x14ac:dyDescent="0.2">
      <c r="A684" s="73" t="s">
        <v>2100</v>
      </c>
      <c r="B684" s="73" t="s">
        <v>2101</v>
      </c>
      <c r="C684" s="73"/>
      <c r="D684" s="73"/>
      <c r="E684" s="73"/>
      <c r="F684" s="73"/>
      <c r="G684" s="73"/>
      <c r="H684" s="73"/>
      <c r="I684" s="74"/>
      <c r="J684" s="74"/>
      <c r="K684" s="74"/>
      <c r="L684" s="74"/>
      <c r="M684" s="74"/>
      <c r="N684" s="74"/>
      <c r="O684" s="73"/>
      <c r="P684" s="75"/>
      <c r="Q684" s="75"/>
      <c r="R684" s="75"/>
      <c r="S684" s="75"/>
      <c r="T684" s="75"/>
      <c r="U684" s="75"/>
      <c r="V684" s="75"/>
      <c r="W684" s="75"/>
      <c r="X684" s="75"/>
      <c r="Y684" s="75"/>
      <c r="Z684" s="75"/>
    </row>
    <row r="685" spans="1:26" ht="15.75" customHeight="1" x14ac:dyDescent="0.2">
      <c r="A685" s="73" t="s">
        <v>2102</v>
      </c>
      <c r="B685" s="73" t="s">
        <v>2103</v>
      </c>
      <c r="C685" s="73"/>
      <c r="D685" s="73"/>
      <c r="E685" s="73"/>
      <c r="F685" s="73"/>
      <c r="G685" s="73"/>
      <c r="H685" s="73"/>
      <c r="I685" s="74"/>
      <c r="J685" s="74"/>
      <c r="K685" s="74"/>
      <c r="L685" s="74"/>
      <c r="M685" s="74"/>
      <c r="N685" s="74"/>
      <c r="O685" s="73"/>
      <c r="P685" s="75"/>
      <c r="Q685" s="75"/>
      <c r="R685" s="75"/>
      <c r="S685" s="75"/>
      <c r="T685" s="75"/>
      <c r="U685" s="75"/>
      <c r="V685" s="75"/>
      <c r="W685" s="75"/>
      <c r="X685" s="75"/>
      <c r="Y685" s="75"/>
      <c r="Z685" s="75"/>
    </row>
    <row r="686" spans="1:26" ht="15.75" customHeight="1" x14ac:dyDescent="0.2">
      <c r="A686" s="73" t="s">
        <v>2104</v>
      </c>
      <c r="B686" s="73" t="s">
        <v>2105</v>
      </c>
      <c r="C686" s="73"/>
      <c r="D686" s="73"/>
      <c r="E686" s="73"/>
      <c r="F686" s="73">
        <v>8.82</v>
      </c>
      <c r="G686" s="73"/>
      <c r="H686" s="73"/>
      <c r="I686" s="74">
        <v>0</v>
      </c>
      <c r="J686" s="74">
        <v>0</v>
      </c>
      <c r="K686" s="74">
        <v>0</v>
      </c>
      <c r="L686" s="74">
        <v>0</v>
      </c>
      <c r="M686" s="74"/>
      <c r="N686" s="74"/>
      <c r="O686" s="73"/>
      <c r="P686" s="75"/>
      <c r="Q686" s="75"/>
      <c r="R686" s="75"/>
      <c r="S686" s="75"/>
      <c r="T686" s="75"/>
      <c r="U686" s="75"/>
      <c r="V686" s="75"/>
      <c r="W686" s="75"/>
      <c r="X686" s="75"/>
      <c r="Y686" s="75"/>
      <c r="Z686" s="75"/>
    </row>
    <row r="687" spans="1:26" ht="15.75" customHeight="1" x14ac:dyDescent="0.2">
      <c r="A687" s="73" t="s">
        <v>2106</v>
      </c>
      <c r="B687" s="73" t="s">
        <v>2107</v>
      </c>
      <c r="C687" s="73"/>
      <c r="D687" s="73"/>
      <c r="E687" s="73"/>
      <c r="F687" s="73"/>
      <c r="G687" s="73"/>
      <c r="H687" s="73"/>
      <c r="I687" s="74"/>
      <c r="J687" s="74"/>
      <c r="K687" s="74"/>
      <c r="L687" s="74"/>
      <c r="M687" s="74"/>
      <c r="N687" s="74"/>
      <c r="O687" s="73"/>
      <c r="P687" s="75"/>
      <c r="Q687" s="75"/>
      <c r="R687" s="75"/>
      <c r="S687" s="75"/>
      <c r="T687" s="75"/>
      <c r="U687" s="75"/>
      <c r="V687" s="75"/>
      <c r="W687" s="75"/>
      <c r="X687" s="75"/>
      <c r="Y687" s="75"/>
      <c r="Z687" s="75"/>
    </row>
    <row r="688" spans="1:26" ht="15.75" customHeight="1" x14ac:dyDescent="0.2">
      <c r="A688" s="73" t="s">
        <v>2108</v>
      </c>
      <c r="B688" s="73" t="s">
        <v>2109</v>
      </c>
      <c r="C688" s="73"/>
      <c r="D688" s="73"/>
      <c r="E688" s="73"/>
      <c r="F688" s="73"/>
      <c r="G688" s="73"/>
      <c r="H688" s="73"/>
      <c r="I688" s="74"/>
      <c r="J688" s="74"/>
      <c r="K688" s="74"/>
      <c r="L688" s="74"/>
      <c r="M688" s="74"/>
      <c r="N688" s="74"/>
      <c r="O688" s="73"/>
      <c r="P688" s="75"/>
      <c r="Q688" s="75"/>
      <c r="R688" s="75"/>
      <c r="S688" s="75"/>
      <c r="T688" s="75"/>
      <c r="U688" s="75"/>
      <c r="V688" s="75"/>
      <c r="W688" s="75"/>
      <c r="X688" s="75"/>
      <c r="Y688" s="75"/>
      <c r="Z688" s="75"/>
    </row>
    <row r="689" spans="1:26" ht="15.75" customHeight="1" x14ac:dyDescent="0.2">
      <c r="A689" s="73" t="s">
        <v>2110</v>
      </c>
      <c r="B689" s="73" t="s">
        <v>2111</v>
      </c>
      <c r="C689" s="73"/>
      <c r="D689" s="73"/>
      <c r="E689" s="73"/>
      <c r="F689" s="73"/>
      <c r="G689" s="73"/>
      <c r="H689" s="73"/>
      <c r="I689" s="74"/>
      <c r="J689" s="74"/>
      <c r="K689" s="74"/>
      <c r="L689" s="74"/>
      <c r="M689" s="74"/>
      <c r="N689" s="74"/>
      <c r="O689" s="73"/>
      <c r="P689" s="75"/>
      <c r="Q689" s="75"/>
      <c r="R689" s="75"/>
      <c r="S689" s="75"/>
      <c r="T689" s="75"/>
      <c r="U689" s="75"/>
      <c r="V689" s="75"/>
      <c r="W689" s="75"/>
      <c r="X689" s="75"/>
      <c r="Y689" s="75"/>
      <c r="Z689" s="75"/>
    </row>
    <row r="690" spans="1:26" ht="15.75" customHeight="1" x14ac:dyDescent="0.2">
      <c r="A690" s="73" t="s">
        <v>2112</v>
      </c>
      <c r="B690" s="73" t="s">
        <v>2113</v>
      </c>
      <c r="C690" s="73"/>
      <c r="D690" s="73"/>
      <c r="E690" s="73"/>
      <c r="F690" s="73"/>
      <c r="G690" s="73"/>
      <c r="H690" s="73"/>
      <c r="I690" s="74"/>
      <c r="J690" s="74"/>
      <c r="K690" s="74"/>
      <c r="L690" s="74"/>
      <c r="M690" s="74"/>
      <c r="N690" s="74"/>
      <c r="O690" s="73"/>
      <c r="P690" s="75"/>
      <c r="Q690" s="75"/>
      <c r="R690" s="75"/>
      <c r="S690" s="75"/>
      <c r="T690" s="75"/>
      <c r="U690" s="75"/>
      <c r="V690" s="75"/>
      <c r="W690" s="75"/>
      <c r="X690" s="75"/>
      <c r="Y690" s="75"/>
      <c r="Z690" s="75"/>
    </row>
    <row r="691" spans="1:26" ht="15.75" customHeight="1" x14ac:dyDescent="0.2">
      <c r="A691" s="73" t="s">
        <v>2114</v>
      </c>
      <c r="B691" s="73" t="s">
        <v>2115</v>
      </c>
      <c r="C691" s="73" t="s">
        <v>2116</v>
      </c>
      <c r="D691" s="73" t="s">
        <v>2117</v>
      </c>
      <c r="E691" s="73"/>
      <c r="F691" s="73">
        <v>12.3</v>
      </c>
      <c r="G691" s="73"/>
      <c r="H691" s="73"/>
      <c r="I691" s="74"/>
      <c r="J691" s="74"/>
      <c r="K691" s="74"/>
      <c r="L691" s="74"/>
      <c r="M691" s="74"/>
      <c r="N691" s="74"/>
      <c r="O691" s="73"/>
      <c r="P691" s="75"/>
      <c r="Q691" s="75"/>
      <c r="R691" s="75"/>
      <c r="S691" s="75"/>
      <c r="T691" s="75"/>
      <c r="U691" s="75"/>
      <c r="V691" s="75"/>
      <c r="W691" s="75"/>
      <c r="X691" s="75"/>
      <c r="Y691" s="75"/>
      <c r="Z691" s="75"/>
    </row>
    <row r="692" spans="1:26" ht="15.75" customHeight="1" x14ac:dyDescent="0.2">
      <c r="A692" s="73" t="s">
        <v>2118</v>
      </c>
      <c r="B692" s="73" t="s">
        <v>2119</v>
      </c>
      <c r="C692" s="73"/>
      <c r="D692" s="73"/>
      <c r="E692" s="73"/>
      <c r="F692" s="73"/>
      <c r="G692" s="73"/>
      <c r="H692" s="73"/>
      <c r="I692" s="74"/>
      <c r="J692" s="74"/>
      <c r="K692" s="74"/>
      <c r="L692" s="74"/>
      <c r="M692" s="74"/>
      <c r="N692" s="74"/>
      <c r="O692" s="73"/>
      <c r="P692" s="75"/>
      <c r="Q692" s="75"/>
      <c r="R692" s="75"/>
      <c r="S692" s="75"/>
      <c r="T692" s="75"/>
      <c r="U692" s="75"/>
      <c r="V692" s="75"/>
      <c r="W692" s="75"/>
      <c r="X692" s="75"/>
      <c r="Y692" s="75"/>
      <c r="Z692" s="75"/>
    </row>
    <row r="693" spans="1:26" ht="15.75" customHeight="1" x14ac:dyDescent="0.2">
      <c r="A693" s="73" t="s">
        <v>2120</v>
      </c>
      <c r="B693" s="73" t="s">
        <v>112</v>
      </c>
      <c r="C693" s="73"/>
      <c r="D693" s="73"/>
      <c r="E693" s="73"/>
      <c r="F693" s="73"/>
      <c r="G693" s="73"/>
      <c r="H693" s="73"/>
      <c r="I693" s="74"/>
      <c r="J693" s="74"/>
      <c r="K693" s="74"/>
      <c r="L693" s="74"/>
      <c r="M693" s="74"/>
      <c r="N693" s="74"/>
      <c r="O693" s="73"/>
      <c r="P693" s="75"/>
      <c r="Q693" s="75"/>
      <c r="R693" s="75"/>
      <c r="S693" s="75"/>
      <c r="T693" s="75"/>
      <c r="U693" s="75"/>
      <c r="V693" s="75"/>
      <c r="W693" s="75"/>
      <c r="X693" s="75"/>
      <c r="Y693" s="75"/>
      <c r="Z693" s="75"/>
    </row>
    <row r="694" spans="1:26" ht="15.75" customHeight="1" x14ac:dyDescent="0.2">
      <c r="A694" s="73" t="s">
        <v>2121</v>
      </c>
      <c r="B694" s="73" t="s">
        <v>2122</v>
      </c>
      <c r="C694" s="73"/>
      <c r="D694" s="73"/>
      <c r="E694" s="73"/>
      <c r="F694" s="73"/>
      <c r="G694" s="73"/>
      <c r="H694" s="73"/>
      <c r="I694" s="74"/>
      <c r="J694" s="74"/>
      <c r="K694" s="74"/>
      <c r="L694" s="74"/>
      <c r="M694" s="74"/>
      <c r="N694" s="74"/>
      <c r="O694" s="73"/>
      <c r="P694" s="75"/>
      <c r="Q694" s="75"/>
      <c r="R694" s="75"/>
      <c r="S694" s="75"/>
      <c r="T694" s="75"/>
      <c r="U694" s="75"/>
      <c r="V694" s="75"/>
      <c r="W694" s="75"/>
      <c r="X694" s="75"/>
      <c r="Y694" s="75"/>
      <c r="Z694" s="75"/>
    </row>
    <row r="695" spans="1:26" ht="15.75" customHeight="1" x14ac:dyDescent="0.2">
      <c r="A695" s="73" t="s">
        <v>2123</v>
      </c>
      <c r="B695" s="73" t="s">
        <v>2124</v>
      </c>
      <c r="C695" s="73"/>
      <c r="D695" s="73"/>
      <c r="E695" s="73"/>
      <c r="F695" s="73"/>
      <c r="G695" s="73"/>
      <c r="H695" s="73"/>
      <c r="I695" s="74"/>
      <c r="J695" s="74"/>
      <c r="K695" s="74"/>
      <c r="L695" s="74"/>
      <c r="M695" s="74"/>
      <c r="N695" s="74"/>
      <c r="O695" s="73"/>
      <c r="P695" s="75"/>
      <c r="Q695" s="75"/>
      <c r="R695" s="75"/>
      <c r="S695" s="75"/>
      <c r="T695" s="75"/>
      <c r="U695" s="75"/>
      <c r="V695" s="75"/>
      <c r="W695" s="75"/>
      <c r="X695" s="75"/>
      <c r="Y695" s="75"/>
      <c r="Z695" s="75"/>
    </row>
    <row r="696" spans="1:26" ht="15.75" customHeight="1" x14ac:dyDescent="0.2">
      <c r="A696" s="73" t="s">
        <v>2125</v>
      </c>
      <c r="B696" s="73" t="s">
        <v>2126</v>
      </c>
      <c r="C696" s="73"/>
      <c r="D696" s="73"/>
      <c r="E696" s="73"/>
      <c r="F696" s="73"/>
      <c r="G696" s="73"/>
      <c r="H696" s="73"/>
      <c r="I696" s="74"/>
      <c r="J696" s="74"/>
      <c r="K696" s="74"/>
      <c r="L696" s="74"/>
      <c r="M696" s="74"/>
      <c r="N696" s="74"/>
      <c r="O696" s="73"/>
      <c r="P696" s="75"/>
      <c r="Q696" s="75"/>
      <c r="R696" s="75"/>
      <c r="S696" s="75"/>
      <c r="T696" s="75"/>
      <c r="U696" s="75"/>
      <c r="V696" s="75"/>
      <c r="W696" s="75"/>
      <c r="X696" s="75"/>
      <c r="Y696" s="75"/>
      <c r="Z696" s="75"/>
    </row>
    <row r="697" spans="1:26" ht="15.75" customHeight="1" x14ac:dyDescent="0.2">
      <c r="A697" s="73" t="s">
        <v>2127</v>
      </c>
      <c r="B697" s="73" t="s">
        <v>2128</v>
      </c>
      <c r="C697" s="73" t="s">
        <v>399</v>
      </c>
      <c r="D697" s="73" t="s">
        <v>2129</v>
      </c>
      <c r="E697" s="73"/>
      <c r="F697" s="73"/>
      <c r="G697" s="73"/>
      <c r="H697" s="73"/>
      <c r="I697" s="74"/>
      <c r="J697" s="74"/>
      <c r="K697" s="74"/>
      <c r="L697" s="74"/>
      <c r="M697" s="74"/>
      <c r="N697" s="74"/>
      <c r="O697" s="73"/>
      <c r="P697" s="75"/>
      <c r="Q697" s="75"/>
      <c r="R697" s="75"/>
      <c r="S697" s="75"/>
      <c r="T697" s="75"/>
      <c r="U697" s="75"/>
      <c r="V697" s="75"/>
      <c r="W697" s="75"/>
      <c r="X697" s="75"/>
      <c r="Y697" s="75"/>
      <c r="Z697" s="75"/>
    </row>
    <row r="698" spans="1:26" ht="15.75" customHeight="1" x14ac:dyDescent="0.2">
      <c r="A698" s="73" t="s">
        <v>2130</v>
      </c>
      <c r="B698" s="73" t="s">
        <v>2131</v>
      </c>
      <c r="C698" s="73" t="s">
        <v>399</v>
      </c>
      <c r="D698" s="73" t="s">
        <v>2132</v>
      </c>
      <c r="E698" s="73"/>
      <c r="F698" s="73"/>
      <c r="G698" s="73" t="s">
        <v>42</v>
      </c>
      <c r="H698" s="73"/>
      <c r="I698" s="74"/>
      <c r="J698" s="74"/>
      <c r="K698" s="74"/>
      <c r="L698" s="74"/>
      <c r="M698" s="74"/>
      <c r="N698" s="74"/>
      <c r="O698" s="73"/>
      <c r="P698" s="75"/>
      <c r="Q698" s="75"/>
      <c r="R698" s="75"/>
      <c r="S698" s="75"/>
      <c r="T698" s="75"/>
      <c r="U698" s="75"/>
      <c r="V698" s="75"/>
      <c r="W698" s="75"/>
      <c r="X698" s="75"/>
      <c r="Y698" s="75"/>
      <c r="Z698" s="75"/>
    </row>
    <row r="699" spans="1:26" ht="15.75" customHeight="1" x14ac:dyDescent="0.2">
      <c r="A699" s="73" t="s">
        <v>2133</v>
      </c>
      <c r="B699" s="73" t="s">
        <v>2134</v>
      </c>
      <c r="C699" s="73" t="s">
        <v>399</v>
      </c>
      <c r="D699" s="73" t="s">
        <v>2135</v>
      </c>
      <c r="E699" s="73"/>
      <c r="F699" s="73"/>
      <c r="G699" s="73" t="s">
        <v>42</v>
      </c>
      <c r="H699" s="73"/>
      <c r="I699" s="74"/>
      <c r="J699" s="74"/>
      <c r="K699" s="74"/>
      <c r="L699" s="74"/>
      <c r="M699" s="74"/>
      <c r="N699" s="74"/>
      <c r="O699" s="73"/>
      <c r="P699" s="75"/>
      <c r="Q699" s="75"/>
      <c r="R699" s="75"/>
      <c r="S699" s="75"/>
      <c r="T699" s="75"/>
      <c r="U699" s="75"/>
      <c r="V699" s="75"/>
      <c r="W699" s="75"/>
      <c r="X699" s="75"/>
      <c r="Y699" s="75"/>
      <c r="Z699" s="75"/>
    </row>
    <row r="700" spans="1:26" ht="15.75" customHeight="1" x14ac:dyDescent="0.2">
      <c r="A700" s="73" t="s">
        <v>2136</v>
      </c>
      <c r="B700" s="73" t="s">
        <v>2137</v>
      </c>
      <c r="C700" s="73" t="s">
        <v>399</v>
      </c>
      <c r="D700" s="73" t="s">
        <v>2138</v>
      </c>
      <c r="E700" s="73"/>
      <c r="F700" s="73"/>
      <c r="G700" s="73" t="s">
        <v>42</v>
      </c>
      <c r="H700" s="73"/>
      <c r="I700" s="74"/>
      <c r="J700" s="74"/>
      <c r="K700" s="74"/>
      <c r="L700" s="74"/>
      <c r="M700" s="74"/>
      <c r="N700" s="74"/>
      <c r="O700" s="73"/>
      <c r="P700" s="75"/>
      <c r="Q700" s="75"/>
      <c r="R700" s="75"/>
      <c r="S700" s="75"/>
      <c r="T700" s="75"/>
      <c r="U700" s="75"/>
      <c r="V700" s="75"/>
      <c r="W700" s="75"/>
      <c r="X700" s="75"/>
      <c r="Y700" s="75"/>
      <c r="Z700" s="75"/>
    </row>
    <row r="701" spans="1:26" ht="15.75" customHeight="1" x14ac:dyDescent="0.2">
      <c r="A701" s="73" t="s">
        <v>2139</v>
      </c>
      <c r="B701" s="73" t="s">
        <v>2140</v>
      </c>
      <c r="C701" s="73" t="s">
        <v>241</v>
      </c>
      <c r="D701" s="73" t="s">
        <v>2141</v>
      </c>
      <c r="E701" s="73" t="s">
        <v>2142</v>
      </c>
      <c r="F701" s="73">
        <v>49.89</v>
      </c>
      <c r="G701" s="73" t="s">
        <v>42</v>
      </c>
      <c r="H701" s="73"/>
      <c r="I701" s="74"/>
      <c r="J701" s="74"/>
      <c r="K701" s="74"/>
      <c r="L701" s="74"/>
      <c r="M701" s="74"/>
      <c r="N701" s="74"/>
      <c r="O701" s="73"/>
      <c r="P701" s="75"/>
      <c r="Q701" s="75"/>
      <c r="R701" s="75"/>
      <c r="S701" s="75"/>
      <c r="T701" s="75"/>
      <c r="U701" s="75"/>
      <c r="V701" s="75"/>
      <c r="W701" s="75"/>
      <c r="X701" s="75"/>
      <c r="Y701" s="75"/>
      <c r="Z701" s="75"/>
    </row>
    <row r="702" spans="1:26" ht="15.75" customHeight="1" x14ac:dyDescent="0.2">
      <c r="A702" s="73" t="s">
        <v>2143</v>
      </c>
      <c r="B702" s="73" t="s">
        <v>2144</v>
      </c>
      <c r="C702" s="73" t="s">
        <v>241</v>
      </c>
      <c r="D702" s="73" t="s">
        <v>2145</v>
      </c>
      <c r="E702" s="73" t="s">
        <v>2146</v>
      </c>
      <c r="F702" s="73">
        <v>12.73</v>
      </c>
      <c r="G702" s="73"/>
      <c r="H702" s="73"/>
      <c r="I702" s="74"/>
      <c r="J702" s="74"/>
      <c r="K702" s="74"/>
      <c r="L702" s="74"/>
      <c r="M702" s="74"/>
      <c r="N702" s="74"/>
      <c r="O702" s="73"/>
      <c r="P702" s="75"/>
      <c r="Q702" s="75"/>
      <c r="R702" s="75"/>
      <c r="S702" s="75"/>
      <c r="T702" s="75"/>
      <c r="U702" s="75"/>
      <c r="V702" s="75"/>
      <c r="W702" s="75"/>
      <c r="X702" s="75"/>
      <c r="Y702" s="75"/>
      <c r="Z702" s="75"/>
    </row>
    <row r="703" spans="1:26" ht="15.75" customHeight="1" x14ac:dyDescent="0.2">
      <c r="A703" s="73" t="s">
        <v>2147</v>
      </c>
      <c r="B703" s="73" t="s">
        <v>2148</v>
      </c>
      <c r="C703" s="73" t="s">
        <v>121</v>
      </c>
      <c r="D703" s="73" t="s">
        <v>2149</v>
      </c>
      <c r="E703" s="73" t="s">
        <v>2146</v>
      </c>
      <c r="F703" s="73">
        <v>50</v>
      </c>
      <c r="G703" s="73"/>
      <c r="H703" s="73"/>
      <c r="I703" s="74"/>
      <c r="J703" s="74"/>
      <c r="K703" s="74"/>
      <c r="L703" s="74"/>
      <c r="M703" s="74"/>
      <c r="N703" s="74"/>
      <c r="O703" s="73"/>
      <c r="P703" s="75"/>
      <c r="Q703" s="75"/>
      <c r="R703" s="75"/>
      <c r="S703" s="75"/>
      <c r="T703" s="75"/>
      <c r="U703" s="75"/>
      <c r="V703" s="75"/>
      <c r="W703" s="75"/>
      <c r="X703" s="75"/>
      <c r="Y703" s="75"/>
      <c r="Z703" s="75"/>
    </row>
    <row r="704" spans="1:26" ht="15.75" customHeight="1" x14ac:dyDescent="0.2">
      <c r="A704" s="73" t="s">
        <v>2150</v>
      </c>
      <c r="B704" s="73" t="s">
        <v>2151</v>
      </c>
      <c r="C704" s="73" t="s">
        <v>241</v>
      </c>
      <c r="D704" s="73" t="s">
        <v>2152</v>
      </c>
      <c r="E704" s="73" t="s">
        <v>2153</v>
      </c>
      <c r="F704" s="73">
        <v>240.75</v>
      </c>
      <c r="G704" s="73"/>
      <c r="H704" s="73"/>
      <c r="I704" s="74"/>
      <c r="J704" s="74"/>
      <c r="K704" s="74"/>
      <c r="L704" s="74"/>
      <c r="M704" s="74"/>
      <c r="N704" s="74"/>
      <c r="O704" s="73"/>
      <c r="P704" s="75"/>
      <c r="Q704" s="75"/>
      <c r="R704" s="75"/>
      <c r="S704" s="75"/>
      <c r="T704" s="75"/>
      <c r="U704" s="75"/>
      <c r="V704" s="75"/>
      <c r="W704" s="75"/>
      <c r="X704" s="75"/>
      <c r="Y704" s="75"/>
      <c r="Z704" s="75"/>
    </row>
    <row r="705" spans="1:26" ht="15.75" customHeight="1" x14ac:dyDescent="0.2">
      <c r="A705" s="73" t="s">
        <v>2154</v>
      </c>
      <c r="B705" s="73" t="s">
        <v>2155</v>
      </c>
      <c r="C705" s="73" t="s">
        <v>121</v>
      </c>
      <c r="D705" s="73" t="s">
        <v>2156</v>
      </c>
      <c r="E705" s="73" t="s">
        <v>2157</v>
      </c>
      <c r="F705" s="73"/>
      <c r="G705" s="73"/>
      <c r="H705" s="73"/>
      <c r="I705" s="74"/>
      <c r="J705" s="74"/>
      <c r="K705" s="74"/>
      <c r="L705" s="74"/>
      <c r="M705" s="74"/>
      <c r="N705" s="74"/>
      <c r="O705" s="73"/>
      <c r="P705" s="75"/>
      <c r="Q705" s="75"/>
      <c r="R705" s="75"/>
      <c r="S705" s="75"/>
      <c r="T705" s="75"/>
      <c r="U705" s="75"/>
      <c r="V705" s="75"/>
      <c r="W705" s="75"/>
      <c r="X705" s="75"/>
      <c r="Y705" s="75"/>
      <c r="Z705" s="75"/>
    </row>
    <row r="706" spans="1:26" ht="15.75" customHeight="1" x14ac:dyDescent="0.2">
      <c r="A706" s="73" t="s">
        <v>2158</v>
      </c>
      <c r="B706" s="73" t="s">
        <v>2159</v>
      </c>
      <c r="C706" s="73" t="s">
        <v>399</v>
      </c>
      <c r="D706" s="73"/>
      <c r="E706" s="73" t="s">
        <v>194</v>
      </c>
      <c r="F706" s="73"/>
      <c r="G706" s="73"/>
      <c r="H706" s="73"/>
      <c r="I706" s="74"/>
      <c r="J706" s="74"/>
      <c r="K706" s="74"/>
      <c r="L706" s="74"/>
      <c r="M706" s="74"/>
      <c r="N706" s="74"/>
      <c r="O706" s="73"/>
      <c r="P706" s="75"/>
      <c r="Q706" s="75"/>
      <c r="R706" s="75"/>
      <c r="S706" s="75"/>
      <c r="T706" s="75"/>
      <c r="U706" s="75"/>
      <c r="V706" s="75"/>
      <c r="W706" s="75"/>
      <c r="X706" s="75"/>
      <c r="Y706" s="75"/>
      <c r="Z706" s="75"/>
    </row>
    <row r="707" spans="1:26" ht="15.75" customHeight="1" x14ac:dyDescent="0.2">
      <c r="A707" s="73" t="s">
        <v>2160</v>
      </c>
      <c r="B707" s="73" t="s">
        <v>2161</v>
      </c>
      <c r="C707" s="73" t="s">
        <v>16</v>
      </c>
      <c r="D707" s="73"/>
      <c r="E707" s="73" t="s">
        <v>2162</v>
      </c>
      <c r="F707" s="73"/>
      <c r="G707" s="73" t="s">
        <v>42</v>
      </c>
      <c r="H707" s="73"/>
      <c r="I707" s="74"/>
      <c r="J707" s="74"/>
      <c r="K707" s="74"/>
      <c r="L707" s="74"/>
      <c r="M707" s="74"/>
      <c r="N707" s="74"/>
      <c r="O707" s="73"/>
      <c r="P707" s="75"/>
      <c r="Q707" s="75"/>
      <c r="R707" s="75"/>
      <c r="S707" s="75"/>
      <c r="T707" s="75"/>
      <c r="U707" s="75"/>
      <c r="V707" s="75"/>
      <c r="W707" s="75"/>
      <c r="X707" s="75"/>
      <c r="Y707" s="75"/>
      <c r="Z707" s="75"/>
    </row>
    <row r="708" spans="1:26" ht="15.75" customHeight="1" x14ac:dyDescent="0.2">
      <c r="A708" s="73" t="s">
        <v>2163</v>
      </c>
      <c r="B708" s="73" t="s">
        <v>2093</v>
      </c>
      <c r="C708" s="73" t="s">
        <v>2065</v>
      </c>
      <c r="D708" s="73" t="s">
        <v>2164</v>
      </c>
      <c r="E708" s="73" t="s">
        <v>385</v>
      </c>
      <c r="F708" s="73"/>
      <c r="G708" s="73"/>
      <c r="H708" s="76" t="s">
        <v>2165</v>
      </c>
      <c r="I708" s="74"/>
      <c r="J708" s="74"/>
      <c r="K708" s="74"/>
      <c r="L708" s="74"/>
      <c r="M708" s="74"/>
      <c r="N708" s="74"/>
      <c r="O708" s="73"/>
      <c r="P708" s="75"/>
      <c r="Q708" s="75"/>
      <c r="R708" s="75"/>
      <c r="S708" s="75"/>
      <c r="T708" s="75"/>
      <c r="U708" s="75"/>
      <c r="V708" s="75"/>
      <c r="W708" s="75"/>
      <c r="X708" s="75"/>
      <c r="Y708" s="75"/>
      <c r="Z708" s="75"/>
    </row>
    <row r="709" spans="1:26" ht="15.75" customHeight="1" x14ac:dyDescent="0.2">
      <c r="A709" s="73" t="s">
        <v>2166</v>
      </c>
      <c r="B709" s="73" t="s">
        <v>2167</v>
      </c>
      <c r="C709" s="73" t="s">
        <v>145</v>
      </c>
      <c r="D709" s="73" t="s">
        <v>2167</v>
      </c>
      <c r="E709" s="73" t="s">
        <v>2168</v>
      </c>
      <c r="F709" s="73">
        <v>330</v>
      </c>
      <c r="G709" s="73"/>
      <c r="H709" s="73"/>
      <c r="I709" s="74"/>
      <c r="J709" s="74"/>
      <c r="K709" s="74"/>
      <c r="L709" s="74"/>
      <c r="M709" s="74"/>
      <c r="N709" s="74"/>
      <c r="O709" s="73"/>
      <c r="P709" s="75"/>
      <c r="Q709" s="75"/>
      <c r="R709" s="75"/>
      <c r="S709" s="75"/>
      <c r="T709" s="75"/>
      <c r="U709" s="75"/>
      <c r="V709" s="75"/>
      <c r="W709" s="75"/>
      <c r="X709" s="75"/>
      <c r="Y709" s="75"/>
      <c r="Z709" s="75"/>
    </row>
    <row r="710" spans="1:26" ht="15.75" customHeight="1" x14ac:dyDescent="0.2">
      <c r="A710" s="73" t="s">
        <v>2169</v>
      </c>
      <c r="B710" s="77" t="s">
        <v>2170</v>
      </c>
      <c r="C710" s="77" t="s">
        <v>145</v>
      </c>
      <c r="D710" s="73" t="s">
        <v>2171</v>
      </c>
      <c r="E710" s="77" t="s">
        <v>385</v>
      </c>
      <c r="F710" s="73"/>
      <c r="G710" s="73"/>
      <c r="H710" s="73"/>
      <c r="I710" s="74"/>
      <c r="J710" s="74"/>
      <c r="K710" s="74"/>
      <c r="L710" s="74"/>
      <c r="M710" s="74"/>
      <c r="N710" s="74"/>
      <c r="O710" s="73"/>
      <c r="P710" s="75"/>
      <c r="Q710" s="75"/>
      <c r="R710" s="75"/>
      <c r="S710" s="75"/>
      <c r="T710" s="75"/>
      <c r="U710" s="75"/>
      <c r="V710" s="75"/>
      <c r="W710" s="75"/>
      <c r="X710" s="75"/>
      <c r="Y710" s="75"/>
      <c r="Z710" s="75"/>
    </row>
    <row r="711" spans="1:26" ht="15.75" customHeight="1" x14ac:dyDescent="0.2">
      <c r="A711" s="73" t="s">
        <v>2172</v>
      </c>
      <c r="B711" s="77" t="s">
        <v>2173</v>
      </c>
      <c r="C711" s="77" t="s">
        <v>145</v>
      </c>
      <c r="D711" s="73" t="s">
        <v>2171</v>
      </c>
      <c r="E711" s="77" t="s">
        <v>385</v>
      </c>
      <c r="F711" s="73"/>
      <c r="G711" s="73"/>
      <c r="H711" s="73"/>
      <c r="I711" s="74"/>
      <c r="J711" s="74"/>
      <c r="K711" s="74"/>
      <c r="L711" s="74"/>
      <c r="M711" s="74"/>
      <c r="N711" s="74"/>
      <c r="O711" s="73"/>
      <c r="P711" s="75"/>
      <c r="Q711" s="75"/>
      <c r="R711" s="75"/>
      <c r="S711" s="75"/>
      <c r="T711" s="75"/>
      <c r="U711" s="75"/>
      <c r="V711" s="75"/>
      <c r="W711" s="75"/>
      <c r="X711" s="75"/>
      <c r="Y711" s="75"/>
      <c r="Z711" s="75"/>
    </row>
    <row r="712" spans="1:26" ht="15.75" customHeight="1" x14ac:dyDescent="0.2">
      <c r="A712" s="73" t="s">
        <v>2174</v>
      </c>
      <c r="B712" s="77" t="s">
        <v>2175</v>
      </c>
      <c r="C712" s="73" t="s">
        <v>56</v>
      </c>
      <c r="D712" s="78" t="s">
        <v>2176</v>
      </c>
      <c r="E712" s="77" t="s">
        <v>2177</v>
      </c>
      <c r="F712" s="73">
        <v>27.69</v>
      </c>
      <c r="G712" s="73"/>
      <c r="H712" s="73"/>
      <c r="I712" s="74"/>
      <c r="J712" s="74"/>
      <c r="K712" s="74"/>
      <c r="L712" s="74"/>
      <c r="M712" s="74"/>
      <c r="N712" s="74"/>
      <c r="O712" s="73"/>
      <c r="P712" s="75"/>
      <c r="Q712" s="75"/>
      <c r="R712" s="75"/>
      <c r="S712" s="75"/>
      <c r="T712" s="75"/>
      <c r="U712" s="75"/>
      <c r="V712" s="75"/>
      <c r="W712" s="75"/>
      <c r="X712" s="75"/>
      <c r="Y712" s="75"/>
      <c r="Z712" s="75"/>
    </row>
    <row r="713" spans="1:26" ht="15.75" customHeight="1" x14ac:dyDescent="0.2">
      <c r="A713" s="73" t="s">
        <v>2178</v>
      </c>
      <c r="B713" s="77" t="s">
        <v>2179</v>
      </c>
      <c r="C713" s="77" t="s">
        <v>241</v>
      </c>
      <c r="D713" s="78" t="s">
        <v>2180</v>
      </c>
      <c r="E713" s="77" t="s">
        <v>2177</v>
      </c>
      <c r="F713" s="73">
        <v>36</v>
      </c>
      <c r="G713" s="73"/>
      <c r="H713" s="79" t="s">
        <v>2181</v>
      </c>
      <c r="I713" s="74"/>
      <c r="J713" s="74"/>
      <c r="K713" s="74"/>
      <c r="L713" s="74"/>
      <c r="M713" s="74"/>
      <c r="N713" s="74"/>
      <c r="O713" s="73"/>
      <c r="P713" s="75"/>
      <c r="Q713" s="75"/>
      <c r="R713" s="75"/>
      <c r="S713" s="75"/>
      <c r="T713" s="75"/>
      <c r="U713" s="75"/>
      <c r="V713" s="75"/>
      <c r="W713" s="75"/>
      <c r="X713" s="75"/>
      <c r="Y713" s="75"/>
      <c r="Z713" s="75"/>
    </row>
    <row r="714" spans="1:26" ht="15.75" customHeight="1" x14ac:dyDescent="0.2">
      <c r="A714" s="73" t="s">
        <v>2182</v>
      </c>
      <c r="B714" s="77" t="s">
        <v>2183</v>
      </c>
      <c r="C714" s="77" t="s">
        <v>2184</v>
      </c>
      <c r="D714" s="73" t="s">
        <v>254</v>
      </c>
      <c r="E714" s="77" t="s">
        <v>2185</v>
      </c>
      <c r="F714" s="73"/>
      <c r="G714" s="73"/>
      <c r="H714" s="79"/>
      <c r="I714" s="74"/>
      <c r="J714" s="74"/>
      <c r="K714" s="74"/>
      <c r="L714" s="74"/>
      <c r="M714" s="74"/>
      <c r="N714" s="74"/>
      <c r="O714" s="73"/>
      <c r="P714" s="75"/>
      <c r="Q714" s="75"/>
      <c r="R714" s="75"/>
      <c r="S714" s="75"/>
      <c r="T714" s="75"/>
      <c r="U714" s="75"/>
      <c r="V714" s="75"/>
      <c r="W714" s="75"/>
      <c r="X714" s="75"/>
      <c r="Y714" s="75"/>
      <c r="Z714" s="75"/>
    </row>
    <row r="715" spans="1:26" ht="15.75" customHeight="1" x14ac:dyDescent="0.2">
      <c r="A715" s="73" t="s">
        <v>2186</v>
      </c>
      <c r="B715" s="77" t="s">
        <v>2187</v>
      </c>
      <c r="C715" s="77" t="s">
        <v>2188</v>
      </c>
      <c r="D715" s="73"/>
      <c r="E715" s="77" t="s">
        <v>2189</v>
      </c>
      <c r="F715" s="73">
        <v>24.55</v>
      </c>
      <c r="G715" s="73"/>
      <c r="H715" s="79" t="s">
        <v>2190</v>
      </c>
      <c r="I715" s="74">
        <v>0</v>
      </c>
      <c r="J715" s="74">
        <v>0</v>
      </c>
      <c r="K715" s="74">
        <v>100</v>
      </c>
      <c r="L715" s="74">
        <v>0</v>
      </c>
      <c r="M715" s="74"/>
      <c r="N715" s="74"/>
      <c r="O715" s="73"/>
      <c r="P715" s="75"/>
      <c r="Q715" s="75"/>
      <c r="R715" s="75"/>
      <c r="S715" s="75"/>
      <c r="T715" s="75"/>
      <c r="U715" s="75"/>
      <c r="V715" s="75"/>
      <c r="W715" s="75"/>
      <c r="X715" s="75"/>
      <c r="Y715" s="75"/>
      <c r="Z715" s="75"/>
    </row>
    <row r="716" spans="1:26" ht="15.75" customHeight="1" x14ac:dyDescent="0.2">
      <c r="A716" s="73" t="s">
        <v>2191</v>
      </c>
      <c r="B716" s="77" t="s">
        <v>2192</v>
      </c>
      <c r="C716" s="77" t="s">
        <v>2193</v>
      </c>
      <c r="D716" s="73"/>
      <c r="E716" s="77"/>
      <c r="F716" s="73">
        <v>32.799999999999997</v>
      </c>
      <c r="G716" s="73" t="s">
        <v>42</v>
      </c>
      <c r="H716" s="79"/>
      <c r="I716" s="74"/>
      <c r="J716" s="74"/>
      <c r="K716" s="74"/>
      <c r="L716" s="74"/>
      <c r="M716" s="74"/>
      <c r="N716" s="74"/>
      <c r="O716" s="73"/>
      <c r="P716" s="75"/>
      <c r="Q716" s="75"/>
      <c r="R716" s="75"/>
      <c r="S716" s="75"/>
      <c r="T716" s="75"/>
      <c r="U716" s="75"/>
      <c r="V716" s="75"/>
      <c r="W716" s="75"/>
      <c r="X716" s="75"/>
      <c r="Y716" s="75"/>
      <c r="Z716" s="75"/>
    </row>
    <row r="717" spans="1:26" ht="15.75" customHeight="1" x14ac:dyDescent="0.2">
      <c r="A717" s="73" t="s">
        <v>2194</v>
      </c>
      <c r="B717" s="77" t="s">
        <v>2195</v>
      </c>
      <c r="C717" s="77" t="s">
        <v>1757</v>
      </c>
      <c r="D717" s="78" t="s">
        <v>2196</v>
      </c>
      <c r="E717" s="77" t="s">
        <v>2197</v>
      </c>
      <c r="F717" s="73">
        <v>44</v>
      </c>
      <c r="G717" s="73"/>
      <c r="H717" s="79" t="s">
        <v>2198</v>
      </c>
      <c r="I717" s="74"/>
      <c r="J717" s="74"/>
      <c r="K717" s="74"/>
      <c r="L717" s="74"/>
      <c r="M717" s="74"/>
      <c r="N717" s="74"/>
      <c r="O717" s="73"/>
      <c r="P717" s="75"/>
      <c r="Q717" s="75"/>
      <c r="R717" s="75"/>
      <c r="S717" s="75"/>
      <c r="T717" s="75"/>
      <c r="U717" s="75"/>
      <c r="V717" s="75"/>
      <c r="W717" s="75"/>
      <c r="X717" s="75"/>
      <c r="Y717" s="75"/>
      <c r="Z717" s="75"/>
    </row>
    <row r="718" spans="1:26" ht="15.75" customHeight="1" x14ac:dyDescent="0.2">
      <c r="A718" s="73" t="s">
        <v>2199</v>
      </c>
      <c r="B718" s="77" t="s">
        <v>2200</v>
      </c>
      <c r="C718" s="77" t="s">
        <v>2201</v>
      </c>
      <c r="D718" s="73" t="s">
        <v>2202</v>
      </c>
      <c r="E718" s="77"/>
      <c r="F718" s="73">
        <v>11.8</v>
      </c>
      <c r="G718" s="73"/>
      <c r="H718" s="79" t="s">
        <v>2203</v>
      </c>
      <c r="I718" s="74"/>
      <c r="J718" s="74"/>
      <c r="K718" s="74"/>
      <c r="L718" s="74"/>
      <c r="M718" s="74"/>
      <c r="N718" s="74"/>
      <c r="O718" s="80" t="s">
        <v>2204</v>
      </c>
      <c r="P718" s="75"/>
      <c r="Q718" s="75"/>
      <c r="R718" s="75"/>
      <c r="S718" s="75"/>
      <c r="T718" s="75"/>
      <c r="U718" s="75"/>
      <c r="V718" s="75"/>
      <c r="W718" s="75"/>
      <c r="X718" s="75"/>
      <c r="Y718" s="75"/>
      <c r="Z718" s="75"/>
    </row>
    <row r="719" spans="1:26" ht="15.75" customHeight="1" x14ac:dyDescent="0.2">
      <c r="A719" s="73" t="s">
        <v>2205</v>
      </c>
      <c r="B719" s="77" t="s">
        <v>2206</v>
      </c>
      <c r="C719" s="77" t="s">
        <v>960</v>
      </c>
      <c r="D719" s="73" t="s">
        <v>2207</v>
      </c>
      <c r="E719" s="77" t="s">
        <v>2208</v>
      </c>
      <c r="F719" s="73"/>
      <c r="G719" s="73" t="s">
        <v>42</v>
      </c>
      <c r="H719" s="79"/>
      <c r="I719" s="74"/>
      <c r="J719" s="74"/>
      <c r="K719" s="74"/>
      <c r="L719" s="74"/>
      <c r="M719" s="74"/>
      <c r="N719" s="74"/>
      <c r="O719" s="73"/>
      <c r="P719" s="75"/>
      <c r="Q719" s="75"/>
      <c r="R719" s="75"/>
      <c r="S719" s="75"/>
      <c r="T719" s="75"/>
      <c r="U719" s="75"/>
      <c r="V719" s="75"/>
      <c r="W719" s="75"/>
      <c r="X719" s="75"/>
      <c r="Y719" s="75"/>
      <c r="Z719" s="75"/>
    </row>
    <row r="720" spans="1:26" ht="15.75" customHeight="1" x14ac:dyDescent="0.2">
      <c r="A720" s="73" t="s">
        <v>2209</v>
      </c>
      <c r="B720" s="77" t="s">
        <v>2210</v>
      </c>
      <c r="C720" s="77" t="s">
        <v>960</v>
      </c>
      <c r="D720" s="73" t="s">
        <v>2211</v>
      </c>
      <c r="E720" s="77" t="s">
        <v>2208</v>
      </c>
      <c r="F720" s="73"/>
      <c r="G720" s="73"/>
      <c r="H720" s="79"/>
      <c r="I720" s="74"/>
      <c r="J720" s="74"/>
      <c r="K720" s="74"/>
      <c r="L720" s="74"/>
      <c r="M720" s="74"/>
      <c r="N720" s="74"/>
      <c r="O720" s="73"/>
      <c r="P720" s="75"/>
      <c r="Q720" s="75"/>
      <c r="R720" s="75"/>
      <c r="S720" s="75"/>
      <c r="T720" s="75"/>
      <c r="U720" s="75"/>
      <c r="V720" s="75"/>
      <c r="W720" s="75"/>
      <c r="X720" s="75"/>
      <c r="Y720" s="75"/>
      <c r="Z720" s="75"/>
    </row>
    <row r="721" spans="1:26" ht="15.75" customHeight="1" x14ac:dyDescent="0.2">
      <c r="A721" s="73" t="s">
        <v>2212</v>
      </c>
      <c r="B721" s="77" t="s">
        <v>2213</v>
      </c>
      <c r="C721" s="77" t="s">
        <v>2214</v>
      </c>
      <c r="D721" s="73" t="s">
        <v>2215</v>
      </c>
      <c r="E721" s="77" t="s">
        <v>1099</v>
      </c>
      <c r="F721" s="73"/>
      <c r="G721" s="73"/>
      <c r="H721" s="79" t="s">
        <v>2216</v>
      </c>
      <c r="I721" s="74"/>
      <c r="J721" s="74"/>
      <c r="K721" s="74"/>
      <c r="L721" s="74"/>
      <c r="M721" s="74"/>
      <c r="N721" s="74"/>
      <c r="O721" s="73"/>
      <c r="P721" s="75"/>
      <c r="Q721" s="75"/>
      <c r="R721" s="75"/>
      <c r="S721" s="75"/>
      <c r="T721" s="75"/>
      <c r="U721" s="75"/>
      <c r="V721" s="75"/>
      <c r="W721" s="75"/>
      <c r="X721" s="75"/>
      <c r="Y721" s="75"/>
      <c r="Z721" s="75"/>
    </row>
    <row r="722" spans="1:26" ht="15.75" customHeight="1" x14ac:dyDescent="0.2">
      <c r="A722" s="73" t="s">
        <v>2217</v>
      </c>
      <c r="B722" s="77" t="s">
        <v>2218</v>
      </c>
      <c r="C722" s="77" t="s">
        <v>960</v>
      </c>
      <c r="D722" s="73" t="s">
        <v>2219</v>
      </c>
      <c r="E722" s="77" t="s">
        <v>2208</v>
      </c>
      <c r="F722" s="73"/>
      <c r="G722" s="73" t="s">
        <v>42</v>
      </c>
      <c r="H722" s="79"/>
      <c r="I722" s="74"/>
      <c r="J722" s="74"/>
      <c r="K722" s="74"/>
      <c r="L722" s="74"/>
      <c r="M722" s="74"/>
      <c r="N722" s="74"/>
      <c r="O722" s="73"/>
      <c r="P722" s="75"/>
      <c r="Q722" s="75"/>
      <c r="R722" s="75"/>
      <c r="S722" s="75"/>
      <c r="T722" s="75"/>
      <c r="U722" s="75"/>
      <c r="V722" s="75"/>
      <c r="W722" s="75"/>
      <c r="X722" s="75"/>
      <c r="Y722" s="75"/>
      <c r="Z722" s="75"/>
    </row>
    <row r="723" spans="1:26" ht="15.75" customHeight="1" x14ac:dyDescent="0.2">
      <c r="A723" s="73" t="s">
        <v>2220</v>
      </c>
      <c r="B723" s="77" t="s">
        <v>2221</v>
      </c>
      <c r="C723" s="77" t="s">
        <v>2222</v>
      </c>
      <c r="D723" s="73"/>
      <c r="E723" s="77"/>
      <c r="F723" s="73"/>
      <c r="G723" s="73" t="s">
        <v>42</v>
      </c>
      <c r="H723" s="79"/>
      <c r="I723" s="74"/>
      <c r="J723" s="74"/>
      <c r="K723" s="74"/>
      <c r="L723" s="74"/>
      <c r="M723" s="74"/>
      <c r="N723" s="74"/>
      <c r="O723" s="73"/>
      <c r="P723" s="75"/>
      <c r="Q723" s="75"/>
      <c r="R723" s="75"/>
      <c r="S723" s="75"/>
      <c r="T723" s="75"/>
      <c r="U723" s="75"/>
      <c r="V723" s="75"/>
      <c r="W723" s="75"/>
      <c r="X723" s="75"/>
      <c r="Y723" s="75"/>
      <c r="Z723" s="75"/>
    </row>
    <row r="724" spans="1:26" ht="15.75" customHeight="1" x14ac:dyDescent="0.2">
      <c r="A724" s="73" t="s">
        <v>2223</v>
      </c>
      <c r="B724" s="77" t="s">
        <v>2224</v>
      </c>
      <c r="C724" s="77" t="s">
        <v>184</v>
      </c>
      <c r="D724" s="73" t="s">
        <v>2225</v>
      </c>
      <c r="E724" s="77" t="s">
        <v>2226</v>
      </c>
      <c r="F724" s="73">
        <v>24.15</v>
      </c>
      <c r="G724" s="73"/>
      <c r="H724" s="79"/>
      <c r="I724" s="74"/>
      <c r="J724" s="74"/>
      <c r="K724" s="74"/>
      <c r="L724" s="74"/>
      <c r="M724" s="74"/>
      <c r="N724" s="74"/>
      <c r="O724" s="73"/>
      <c r="P724" s="75"/>
      <c r="Q724" s="75"/>
      <c r="R724" s="75"/>
      <c r="S724" s="75"/>
      <c r="T724" s="75"/>
      <c r="U724" s="75"/>
      <c r="V724" s="75"/>
      <c r="W724" s="75"/>
      <c r="X724" s="75"/>
      <c r="Y724" s="75"/>
      <c r="Z724" s="75"/>
    </row>
    <row r="725" spans="1:26" ht="15.75" customHeight="1" x14ac:dyDescent="0.2">
      <c r="A725" s="81" t="s">
        <v>2227</v>
      </c>
      <c r="B725" s="82" t="s">
        <v>2228</v>
      </c>
      <c r="C725" s="82" t="s">
        <v>214</v>
      </c>
      <c r="D725" s="81" t="s">
        <v>2229</v>
      </c>
      <c r="E725" s="82"/>
      <c r="F725" s="81"/>
      <c r="G725" s="81"/>
      <c r="H725" s="83"/>
      <c r="I725" s="84"/>
      <c r="J725" s="84"/>
      <c r="K725" s="84"/>
      <c r="L725" s="84"/>
      <c r="M725" s="84"/>
      <c r="N725" s="84"/>
      <c r="O725" s="73"/>
      <c r="P725" s="75"/>
      <c r="Q725" s="75"/>
      <c r="R725" s="75"/>
      <c r="S725" s="75"/>
      <c r="T725" s="75"/>
      <c r="U725" s="75"/>
      <c r="V725" s="75"/>
      <c r="W725" s="75"/>
      <c r="X725" s="75"/>
      <c r="Y725" s="75"/>
      <c r="Z725" s="75"/>
    </row>
    <row r="726" spans="1:26" ht="15.75" customHeight="1" x14ac:dyDescent="0.2">
      <c r="A726" s="73" t="s">
        <v>2230</v>
      </c>
      <c r="B726" s="77" t="s">
        <v>2231</v>
      </c>
      <c r="C726" s="77" t="s">
        <v>214</v>
      </c>
      <c r="D726" s="73" t="s">
        <v>2232</v>
      </c>
      <c r="E726" s="77"/>
      <c r="F726" s="73"/>
      <c r="G726" s="73"/>
      <c r="H726" s="79"/>
      <c r="I726" s="74"/>
      <c r="J726" s="74"/>
      <c r="K726" s="74"/>
      <c r="L726" s="74"/>
      <c r="M726" s="74"/>
      <c r="N726" s="74"/>
      <c r="O726" s="73"/>
      <c r="P726" s="75"/>
      <c r="Q726" s="75"/>
      <c r="R726" s="75"/>
      <c r="S726" s="75"/>
      <c r="T726" s="75"/>
      <c r="U726" s="75"/>
      <c r="V726" s="75"/>
      <c r="W726" s="75"/>
      <c r="X726" s="75"/>
      <c r="Y726" s="75"/>
      <c r="Z726" s="75"/>
    </row>
    <row r="727" spans="1:26" ht="15.75" customHeight="1" x14ac:dyDescent="0.2">
      <c r="A727" s="73" t="s">
        <v>2233</v>
      </c>
      <c r="B727" s="77" t="s">
        <v>2234</v>
      </c>
      <c r="C727" s="77" t="s">
        <v>214</v>
      </c>
      <c r="D727" s="73" t="s">
        <v>2235</v>
      </c>
      <c r="E727" s="77"/>
      <c r="F727" s="73"/>
      <c r="G727" s="73"/>
      <c r="H727" s="79" t="s">
        <v>2236</v>
      </c>
      <c r="I727" s="74"/>
      <c r="J727" s="74"/>
      <c r="K727" s="74"/>
      <c r="L727" s="74"/>
      <c r="M727" s="74"/>
      <c r="N727" s="74"/>
      <c r="O727" s="73"/>
      <c r="P727" s="75"/>
      <c r="Q727" s="75"/>
      <c r="R727" s="75"/>
      <c r="S727" s="75"/>
      <c r="T727" s="75"/>
      <c r="U727" s="75"/>
      <c r="V727" s="75"/>
      <c r="W727" s="75"/>
      <c r="X727" s="75"/>
      <c r="Y727" s="75"/>
      <c r="Z727" s="75"/>
    </row>
    <row r="728" spans="1:26" ht="15.75" customHeight="1" x14ac:dyDescent="0.2">
      <c r="A728" s="73" t="s">
        <v>2237</v>
      </c>
      <c r="B728" s="77" t="s">
        <v>2238</v>
      </c>
      <c r="C728" s="77" t="s">
        <v>214</v>
      </c>
      <c r="D728" s="73" t="s">
        <v>2239</v>
      </c>
      <c r="E728" s="77"/>
      <c r="F728" s="73"/>
      <c r="G728" s="73"/>
      <c r="H728" s="79"/>
      <c r="I728" s="74"/>
      <c r="J728" s="74"/>
      <c r="K728" s="74"/>
      <c r="L728" s="74"/>
      <c r="M728" s="74"/>
      <c r="N728" s="74"/>
      <c r="O728" s="73"/>
      <c r="P728" s="75"/>
      <c r="Q728" s="75"/>
      <c r="R728" s="75"/>
      <c r="S728" s="75"/>
      <c r="T728" s="75"/>
      <c r="U728" s="75"/>
      <c r="V728" s="75"/>
      <c r="W728" s="75"/>
      <c r="X728" s="75"/>
      <c r="Y728" s="75"/>
      <c r="Z728" s="75"/>
    </row>
    <row r="729" spans="1:26" ht="15.75" customHeight="1" x14ac:dyDescent="0.2">
      <c r="A729" s="73" t="s">
        <v>2240</v>
      </c>
      <c r="B729" s="77" t="s">
        <v>2241</v>
      </c>
      <c r="C729" s="77" t="s">
        <v>214</v>
      </c>
      <c r="D729" s="73" t="s">
        <v>2242</v>
      </c>
      <c r="E729" s="77"/>
      <c r="F729" s="73"/>
      <c r="G729" s="73"/>
      <c r="H729" s="79"/>
      <c r="I729" s="74"/>
      <c r="J729" s="74"/>
      <c r="K729" s="74"/>
      <c r="L729" s="74"/>
      <c r="M729" s="74"/>
      <c r="N729" s="74"/>
      <c r="O729" s="73"/>
      <c r="P729" s="75"/>
      <c r="Q729" s="75"/>
      <c r="R729" s="75"/>
      <c r="S729" s="75"/>
      <c r="T729" s="75"/>
      <c r="U729" s="75"/>
      <c r="V729" s="75"/>
      <c r="W729" s="75"/>
      <c r="X729" s="75"/>
      <c r="Y729" s="75"/>
      <c r="Z729" s="75"/>
    </row>
    <row r="730" spans="1:26" ht="15.75" customHeight="1" x14ac:dyDescent="0.2">
      <c r="A730" s="73" t="s">
        <v>2243</v>
      </c>
      <c r="B730" s="77" t="s">
        <v>2244</v>
      </c>
      <c r="C730" s="77" t="s">
        <v>214</v>
      </c>
      <c r="D730" s="73" t="s">
        <v>2245</v>
      </c>
      <c r="E730" s="77"/>
      <c r="F730" s="73"/>
      <c r="G730" s="73" t="s">
        <v>42</v>
      </c>
      <c r="H730" s="79"/>
      <c r="I730" s="74"/>
      <c r="J730" s="74"/>
      <c r="K730" s="74"/>
      <c r="L730" s="74"/>
      <c r="M730" s="74"/>
      <c r="N730" s="74"/>
      <c r="O730" s="73"/>
      <c r="P730" s="75"/>
      <c r="Q730" s="75"/>
      <c r="R730" s="75"/>
      <c r="S730" s="75"/>
      <c r="T730" s="75"/>
      <c r="U730" s="75"/>
      <c r="V730" s="75"/>
      <c r="W730" s="75"/>
      <c r="X730" s="75"/>
      <c r="Y730" s="75"/>
      <c r="Z730" s="75"/>
    </row>
    <row r="731" spans="1:26" ht="15.75" customHeight="1" x14ac:dyDescent="0.2">
      <c r="A731" s="73" t="s">
        <v>2246</v>
      </c>
      <c r="B731" s="77" t="s">
        <v>2247</v>
      </c>
      <c r="C731" s="77" t="s">
        <v>988</v>
      </c>
      <c r="D731" s="73" t="s">
        <v>2248</v>
      </c>
      <c r="E731" s="77"/>
      <c r="F731" s="73"/>
      <c r="G731" s="73"/>
      <c r="H731" s="79"/>
      <c r="I731" s="74"/>
      <c r="J731" s="74"/>
      <c r="K731" s="74"/>
      <c r="L731" s="74"/>
      <c r="M731" s="74"/>
      <c r="N731" s="74"/>
      <c r="O731" s="73"/>
      <c r="P731" s="75"/>
      <c r="Q731" s="75"/>
      <c r="R731" s="75"/>
      <c r="S731" s="75"/>
      <c r="T731" s="75"/>
      <c r="U731" s="75"/>
      <c r="V731" s="75"/>
      <c r="W731" s="75"/>
      <c r="X731" s="75"/>
      <c r="Y731" s="75"/>
      <c r="Z731" s="75"/>
    </row>
    <row r="732" spans="1:26" ht="15.75" customHeight="1" x14ac:dyDescent="0.2">
      <c r="A732" s="73" t="s">
        <v>2249</v>
      </c>
      <c r="B732" s="77" t="s">
        <v>2250</v>
      </c>
      <c r="C732" s="77" t="s">
        <v>988</v>
      </c>
      <c r="D732" s="73" t="s">
        <v>2251</v>
      </c>
      <c r="E732" s="77"/>
      <c r="F732" s="73"/>
      <c r="G732" s="73"/>
      <c r="H732" s="79"/>
      <c r="I732" s="74"/>
      <c r="J732" s="74"/>
      <c r="K732" s="74"/>
      <c r="L732" s="74"/>
      <c r="M732" s="74"/>
      <c r="N732" s="74"/>
      <c r="O732" s="73"/>
      <c r="P732" s="75"/>
      <c r="Q732" s="75"/>
      <c r="R732" s="75"/>
      <c r="S732" s="75"/>
      <c r="T732" s="75"/>
      <c r="U732" s="75"/>
      <c r="V732" s="75"/>
      <c r="W732" s="75"/>
      <c r="X732" s="75"/>
      <c r="Y732" s="75"/>
      <c r="Z732" s="75"/>
    </row>
    <row r="733" spans="1:26" ht="15.75" customHeight="1" x14ac:dyDescent="0.2">
      <c r="A733" s="73" t="s">
        <v>2252</v>
      </c>
      <c r="B733" s="77" t="s">
        <v>2253</v>
      </c>
      <c r="C733" s="77" t="s">
        <v>2188</v>
      </c>
      <c r="D733" s="73" t="s">
        <v>2242</v>
      </c>
      <c r="E733" s="77" t="s">
        <v>385</v>
      </c>
      <c r="F733" s="73">
        <v>39</v>
      </c>
      <c r="G733" s="73"/>
      <c r="H733" s="79" t="s">
        <v>2254</v>
      </c>
      <c r="I733" s="74"/>
      <c r="J733" s="74"/>
      <c r="K733" s="74"/>
      <c r="L733" s="74"/>
      <c r="M733" s="74"/>
      <c r="N733" s="74"/>
      <c r="O733" s="73"/>
      <c r="P733" s="75"/>
      <c r="Q733" s="75"/>
      <c r="R733" s="75"/>
      <c r="S733" s="75"/>
      <c r="T733" s="75"/>
      <c r="U733" s="75"/>
      <c r="V733" s="75"/>
      <c r="W733" s="75"/>
      <c r="X733" s="75"/>
      <c r="Y733" s="75"/>
      <c r="Z733" s="75"/>
    </row>
    <row r="734" spans="1:26" ht="15.75" customHeight="1" x14ac:dyDescent="0.2">
      <c r="A734" s="73" t="s">
        <v>2255</v>
      </c>
      <c r="B734" s="77" t="s">
        <v>2256</v>
      </c>
      <c r="C734" s="77" t="s">
        <v>2188</v>
      </c>
      <c r="D734" s="73" t="s">
        <v>2257</v>
      </c>
      <c r="E734" s="77" t="s">
        <v>385</v>
      </c>
      <c r="F734" s="73">
        <v>18</v>
      </c>
      <c r="G734" s="73"/>
      <c r="H734" s="79" t="s">
        <v>999</v>
      </c>
      <c r="I734" s="74"/>
      <c r="J734" s="74"/>
      <c r="K734" s="74"/>
      <c r="L734" s="74"/>
      <c r="M734" s="74"/>
      <c r="N734" s="74"/>
      <c r="O734" s="73"/>
      <c r="P734" s="75"/>
      <c r="Q734" s="75"/>
      <c r="R734" s="75"/>
      <c r="S734" s="75"/>
      <c r="T734" s="75"/>
      <c r="U734" s="75"/>
      <c r="V734" s="75"/>
      <c r="W734" s="75"/>
      <c r="X734" s="75"/>
      <c r="Y734" s="75"/>
      <c r="Z734" s="75"/>
    </row>
    <row r="735" spans="1:26" ht="15.75" customHeight="1" x14ac:dyDescent="0.2">
      <c r="A735" s="73" t="s">
        <v>2258</v>
      </c>
      <c r="B735" s="77" t="s">
        <v>2259</v>
      </c>
      <c r="C735" s="77" t="s">
        <v>2188</v>
      </c>
      <c r="D735" s="73" t="s">
        <v>2260</v>
      </c>
      <c r="E735" s="77" t="s">
        <v>2261</v>
      </c>
      <c r="F735" s="73">
        <v>9.3000000000000007</v>
      </c>
      <c r="G735" s="73"/>
      <c r="H735" s="79"/>
      <c r="I735" s="74"/>
      <c r="J735" s="74"/>
      <c r="K735" s="74"/>
      <c r="L735" s="74"/>
      <c r="M735" s="74"/>
      <c r="N735" s="74"/>
      <c r="O735" s="73"/>
      <c r="P735" s="75"/>
      <c r="Q735" s="75"/>
      <c r="R735" s="75"/>
      <c r="S735" s="75"/>
      <c r="T735" s="75"/>
      <c r="U735" s="75"/>
      <c r="V735" s="75"/>
      <c r="W735" s="75"/>
      <c r="X735" s="75"/>
      <c r="Y735" s="75"/>
      <c r="Z735" s="75"/>
    </row>
    <row r="736" spans="1:26" ht="15.75" customHeight="1" x14ac:dyDescent="0.2">
      <c r="A736" s="73" t="s">
        <v>2262</v>
      </c>
      <c r="B736" s="77" t="s">
        <v>2263</v>
      </c>
      <c r="C736" s="77" t="s">
        <v>16</v>
      </c>
      <c r="D736" s="73" t="s">
        <v>2264</v>
      </c>
      <c r="E736" s="77" t="s">
        <v>2226</v>
      </c>
      <c r="F736" s="73"/>
      <c r="G736" s="73"/>
      <c r="H736" s="79"/>
      <c r="I736" s="74"/>
      <c r="J736" s="74"/>
      <c r="K736" s="74"/>
      <c r="L736" s="74"/>
      <c r="M736" s="74"/>
      <c r="N736" s="74"/>
      <c r="O736" s="73"/>
      <c r="P736" s="75"/>
      <c r="Q736" s="75"/>
      <c r="R736" s="75"/>
      <c r="S736" s="75"/>
      <c r="T736" s="75"/>
      <c r="U736" s="75"/>
      <c r="V736" s="75"/>
      <c r="W736" s="75"/>
      <c r="X736" s="75"/>
      <c r="Y736" s="75"/>
      <c r="Z736" s="75"/>
    </row>
    <row r="737" spans="1:26" ht="15.75" customHeight="1" x14ac:dyDescent="0.2">
      <c r="A737" s="73" t="s">
        <v>2265</v>
      </c>
      <c r="B737" s="77" t="s">
        <v>2266</v>
      </c>
      <c r="C737" s="77" t="s">
        <v>16</v>
      </c>
      <c r="D737" s="73" t="s">
        <v>2267</v>
      </c>
      <c r="E737" s="77" t="s">
        <v>2226</v>
      </c>
      <c r="F737" s="73"/>
      <c r="G737" s="73"/>
      <c r="H737" s="79"/>
      <c r="I737" s="74"/>
      <c r="J737" s="74"/>
      <c r="K737" s="74"/>
      <c r="L737" s="74"/>
      <c r="M737" s="74"/>
      <c r="N737" s="74"/>
      <c r="O737" s="73"/>
      <c r="P737" s="75"/>
      <c r="Q737" s="75"/>
      <c r="R737" s="75"/>
      <c r="S737" s="75"/>
      <c r="T737" s="75"/>
      <c r="U737" s="75"/>
      <c r="V737" s="75"/>
      <c r="W737" s="75"/>
      <c r="X737" s="75"/>
      <c r="Y737" s="75"/>
      <c r="Z737" s="75"/>
    </row>
    <row r="738" spans="1:26" ht="15.75" customHeight="1" x14ac:dyDescent="0.2">
      <c r="A738" s="73" t="s">
        <v>2268</v>
      </c>
      <c r="B738" s="77" t="s">
        <v>2269</v>
      </c>
      <c r="C738" s="77" t="s">
        <v>2270</v>
      </c>
      <c r="D738" s="73" t="s">
        <v>2271</v>
      </c>
      <c r="E738" s="77"/>
      <c r="F738" s="73"/>
      <c r="G738" s="73" t="s">
        <v>577</v>
      </c>
      <c r="H738" s="79" t="s">
        <v>2272</v>
      </c>
      <c r="I738" s="74"/>
      <c r="J738" s="74"/>
      <c r="K738" s="74"/>
      <c r="L738" s="74"/>
      <c r="M738" s="74"/>
      <c r="N738" s="74"/>
      <c r="O738" s="73"/>
      <c r="P738" s="75"/>
      <c r="Q738" s="75"/>
      <c r="R738" s="75"/>
      <c r="S738" s="75"/>
      <c r="T738" s="75"/>
      <c r="U738" s="75"/>
      <c r="V738" s="75"/>
      <c r="W738" s="75"/>
      <c r="X738" s="75"/>
      <c r="Y738" s="75"/>
      <c r="Z738" s="75"/>
    </row>
    <row r="739" spans="1:26" ht="15.75" customHeight="1" x14ac:dyDescent="0.2">
      <c r="A739" s="73" t="s">
        <v>2273</v>
      </c>
      <c r="B739" s="77" t="s">
        <v>2274</v>
      </c>
      <c r="C739" s="77" t="s">
        <v>2275</v>
      </c>
      <c r="D739" s="73" t="s">
        <v>2276</v>
      </c>
      <c r="E739" s="77" t="s">
        <v>2277</v>
      </c>
      <c r="F739" s="73">
        <v>27.85</v>
      </c>
      <c r="G739" s="73"/>
      <c r="H739" s="85" t="s">
        <v>2278</v>
      </c>
      <c r="I739" s="74"/>
      <c r="J739" s="74"/>
      <c r="K739" s="74"/>
      <c r="L739" s="74"/>
      <c r="M739" s="74"/>
      <c r="N739" s="74"/>
      <c r="O739" s="73"/>
      <c r="P739" s="75"/>
      <c r="Q739" s="75"/>
      <c r="R739" s="75"/>
      <c r="S739" s="75"/>
      <c r="T739" s="75"/>
      <c r="U739" s="75"/>
      <c r="V739" s="75"/>
      <c r="W739" s="75"/>
      <c r="X739" s="75"/>
      <c r="Y739" s="75"/>
      <c r="Z739" s="75"/>
    </row>
    <row r="740" spans="1:26" ht="170.25" customHeight="1" x14ac:dyDescent="0.2">
      <c r="A740" s="73" t="s">
        <v>2279</v>
      </c>
      <c r="B740" s="77" t="s">
        <v>2280</v>
      </c>
      <c r="C740" s="77" t="s">
        <v>16</v>
      </c>
      <c r="D740" s="73" t="s">
        <v>2281</v>
      </c>
      <c r="E740" s="77" t="s">
        <v>2208</v>
      </c>
      <c r="F740" s="73"/>
      <c r="G740" s="73"/>
      <c r="H740" s="79" t="s">
        <v>2282</v>
      </c>
      <c r="I740" s="74"/>
      <c r="J740" s="74"/>
      <c r="K740" s="74"/>
      <c r="L740" s="74"/>
      <c r="M740" s="74"/>
      <c r="N740" s="74"/>
      <c r="O740" s="73"/>
      <c r="P740" s="75"/>
      <c r="Q740" s="75"/>
      <c r="R740" s="75"/>
      <c r="S740" s="75"/>
      <c r="T740" s="75"/>
      <c r="U740" s="75"/>
      <c r="V740" s="75"/>
      <c r="W740" s="75"/>
      <c r="X740" s="75"/>
      <c r="Y740" s="75"/>
      <c r="Z740" s="75"/>
    </row>
    <row r="741" spans="1:26" ht="15.75" customHeight="1" x14ac:dyDescent="0.2">
      <c r="A741" s="73" t="s">
        <v>2283</v>
      </c>
      <c r="B741" s="77" t="s">
        <v>2284</v>
      </c>
      <c r="C741" s="77" t="s">
        <v>2285</v>
      </c>
      <c r="D741" s="73" t="s">
        <v>2286</v>
      </c>
      <c r="E741" s="77"/>
      <c r="F741" s="73">
        <v>27.3</v>
      </c>
      <c r="G741" s="73"/>
      <c r="H741" s="79" t="s">
        <v>2287</v>
      </c>
      <c r="I741" s="74"/>
      <c r="J741" s="74"/>
      <c r="K741" s="74"/>
      <c r="L741" s="74"/>
      <c r="M741" s="74"/>
      <c r="N741" s="74"/>
      <c r="O741" s="73"/>
      <c r="P741" s="75"/>
      <c r="Q741" s="75"/>
      <c r="R741" s="75"/>
      <c r="S741" s="75"/>
      <c r="T741" s="75"/>
      <c r="U741" s="75"/>
      <c r="V741" s="75"/>
      <c r="W741" s="75"/>
      <c r="X741" s="75"/>
      <c r="Y741" s="75"/>
      <c r="Z741" s="75"/>
    </row>
    <row r="742" spans="1:26" ht="15.75" customHeight="1" x14ac:dyDescent="0.2">
      <c r="A742" s="73" t="s">
        <v>2288</v>
      </c>
      <c r="B742" s="77" t="s">
        <v>2289</v>
      </c>
      <c r="C742" s="77" t="s">
        <v>2285</v>
      </c>
      <c r="D742" s="73" t="s">
        <v>2290</v>
      </c>
      <c r="E742" s="77"/>
      <c r="F742" s="73"/>
      <c r="G742" s="75"/>
      <c r="H742" s="79"/>
      <c r="I742" s="74"/>
      <c r="J742" s="74"/>
      <c r="K742" s="74"/>
      <c r="L742" s="74"/>
      <c r="M742" s="74"/>
      <c r="N742" s="74"/>
      <c r="O742" s="73"/>
      <c r="P742" s="75"/>
      <c r="Q742" s="75"/>
      <c r="R742" s="75"/>
      <c r="S742" s="75"/>
      <c r="T742" s="75"/>
      <c r="U742" s="75"/>
      <c r="V742" s="75"/>
      <c r="W742" s="75"/>
      <c r="X742" s="75"/>
      <c r="Y742" s="75"/>
      <c r="Z742" s="75"/>
    </row>
    <row r="743" spans="1:26" ht="15.75" customHeight="1" x14ac:dyDescent="0.2">
      <c r="A743" s="73" t="s">
        <v>2291</v>
      </c>
      <c r="B743" s="77" t="s">
        <v>2292</v>
      </c>
      <c r="C743" s="77" t="s">
        <v>1734</v>
      </c>
      <c r="D743" s="73"/>
      <c r="E743" s="77"/>
      <c r="F743" s="73"/>
      <c r="G743" s="73"/>
      <c r="H743" s="79"/>
      <c r="I743" s="74"/>
      <c r="J743" s="74"/>
      <c r="K743" s="74"/>
      <c r="L743" s="74"/>
      <c r="M743" s="74"/>
      <c r="N743" s="74"/>
      <c r="O743" s="73"/>
      <c r="P743" s="75"/>
      <c r="Q743" s="75"/>
      <c r="R743" s="75"/>
      <c r="S743" s="75"/>
      <c r="T743" s="75"/>
      <c r="U743" s="75"/>
      <c r="V743" s="75"/>
      <c r="W743" s="75"/>
      <c r="X743" s="75"/>
      <c r="Y743" s="75"/>
      <c r="Z743" s="75"/>
    </row>
    <row r="744" spans="1:26" ht="15.75" customHeight="1" x14ac:dyDescent="0.2">
      <c r="A744" s="73" t="s">
        <v>2293</v>
      </c>
      <c r="B744" s="77" t="s">
        <v>2294</v>
      </c>
      <c r="C744" s="77" t="s">
        <v>2295</v>
      </c>
      <c r="D744" s="73" t="s">
        <v>2281</v>
      </c>
      <c r="E744" s="77" t="s">
        <v>385</v>
      </c>
      <c r="F744" s="73">
        <v>17.5</v>
      </c>
      <c r="G744" s="73"/>
      <c r="H744" s="79" t="s">
        <v>2296</v>
      </c>
      <c r="I744" s="74"/>
      <c r="J744" s="74"/>
      <c r="K744" s="74"/>
      <c r="L744" s="74"/>
      <c r="M744" s="74"/>
      <c r="N744" s="74"/>
      <c r="O744" s="73"/>
      <c r="P744" s="75"/>
      <c r="Q744" s="75"/>
      <c r="R744" s="75"/>
      <c r="S744" s="75"/>
      <c r="T744" s="75"/>
      <c r="U744" s="75"/>
      <c r="V744" s="75"/>
      <c r="W744" s="75"/>
      <c r="X744" s="75"/>
      <c r="Y744" s="75"/>
      <c r="Z744" s="75"/>
    </row>
    <row r="745" spans="1:26" ht="15.75" customHeight="1" x14ac:dyDescent="0.2">
      <c r="A745" s="73" t="s">
        <v>2297</v>
      </c>
      <c r="B745" s="77" t="s">
        <v>2298</v>
      </c>
      <c r="C745" s="77" t="s">
        <v>2299</v>
      </c>
      <c r="D745" s="73" t="s">
        <v>2300</v>
      </c>
      <c r="E745" s="77" t="s">
        <v>385</v>
      </c>
      <c r="F745" s="73">
        <v>25.1</v>
      </c>
      <c r="G745" s="73"/>
      <c r="H745" s="79" t="s">
        <v>2301</v>
      </c>
      <c r="I745" s="74"/>
      <c r="J745" s="74"/>
      <c r="K745" s="74">
        <v>100</v>
      </c>
      <c r="L745" s="74"/>
      <c r="M745" s="74" t="s">
        <v>2302</v>
      </c>
      <c r="N745" s="74"/>
      <c r="O745" s="73"/>
      <c r="P745" s="75"/>
      <c r="Q745" s="75"/>
      <c r="R745" s="75"/>
      <c r="S745" s="75"/>
      <c r="T745" s="75"/>
      <c r="U745" s="75"/>
      <c r="V745" s="75"/>
      <c r="W745" s="75"/>
      <c r="X745" s="75"/>
      <c r="Y745" s="75"/>
      <c r="Z745" s="75"/>
    </row>
    <row r="746" spans="1:26" ht="15.75" customHeight="1" x14ac:dyDescent="0.2">
      <c r="A746" s="73" t="s">
        <v>2303</v>
      </c>
      <c r="B746" s="77" t="s">
        <v>2304</v>
      </c>
      <c r="C746" s="77" t="s">
        <v>1719</v>
      </c>
      <c r="D746" s="73" t="s">
        <v>2276</v>
      </c>
      <c r="E746" s="77" t="s">
        <v>2277</v>
      </c>
      <c r="F746" s="73"/>
      <c r="G746" s="73"/>
      <c r="H746" s="79" t="s">
        <v>2305</v>
      </c>
      <c r="I746" s="74"/>
      <c r="J746" s="74"/>
      <c r="K746" s="74"/>
      <c r="L746" s="74"/>
      <c r="M746" s="74"/>
      <c r="N746" s="74"/>
      <c r="O746" s="73"/>
      <c r="P746" s="75"/>
      <c r="Q746" s="75"/>
      <c r="R746" s="75"/>
      <c r="S746" s="75"/>
      <c r="T746" s="75"/>
      <c r="U746" s="75"/>
      <c r="V746" s="75"/>
      <c r="W746" s="75"/>
      <c r="X746" s="75"/>
      <c r="Y746" s="75"/>
      <c r="Z746" s="75"/>
    </row>
    <row r="747" spans="1:26" ht="15.75" customHeight="1" x14ac:dyDescent="0.2">
      <c r="A747" s="73" t="s">
        <v>2306</v>
      </c>
      <c r="B747" s="77" t="s">
        <v>2307</v>
      </c>
      <c r="C747" s="77" t="s">
        <v>16</v>
      </c>
      <c r="D747" s="73" t="s">
        <v>2308</v>
      </c>
      <c r="E747" s="77" t="s">
        <v>2309</v>
      </c>
      <c r="F747" s="73">
        <v>32.799999999999997</v>
      </c>
      <c r="G747" s="73"/>
      <c r="H747" s="79" t="s">
        <v>2310</v>
      </c>
      <c r="I747" s="74"/>
      <c r="J747" s="74"/>
      <c r="K747" s="74"/>
      <c r="L747" s="74"/>
      <c r="M747" s="74"/>
      <c r="N747" s="74"/>
      <c r="O747" s="73"/>
      <c r="P747" s="75"/>
      <c r="Q747" s="75"/>
      <c r="R747" s="75"/>
      <c r="S747" s="75"/>
      <c r="T747" s="75"/>
      <c r="U747" s="75"/>
      <c r="V747" s="75"/>
      <c r="W747" s="75"/>
      <c r="X747" s="75"/>
      <c r="Y747" s="75"/>
      <c r="Z747" s="75"/>
    </row>
    <row r="748" spans="1:26" ht="15.75" customHeight="1" x14ac:dyDescent="0.2">
      <c r="A748" s="73" t="s">
        <v>2311</v>
      </c>
      <c r="B748" s="77" t="s">
        <v>2312</v>
      </c>
      <c r="C748" s="77" t="s">
        <v>2313</v>
      </c>
      <c r="D748" s="78" t="s">
        <v>2314</v>
      </c>
      <c r="E748" s="77" t="s">
        <v>2226</v>
      </c>
      <c r="F748" s="73">
        <v>48.7</v>
      </c>
      <c r="G748" s="73"/>
      <c r="H748" s="79" t="s">
        <v>2315</v>
      </c>
      <c r="I748" s="74"/>
      <c r="J748" s="74"/>
      <c r="K748" s="74"/>
      <c r="L748" s="74"/>
      <c r="M748" s="74"/>
      <c r="N748" s="74"/>
      <c r="O748" s="73"/>
      <c r="P748" s="75"/>
      <c r="Q748" s="75"/>
      <c r="R748" s="75"/>
      <c r="S748" s="75"/>
      <c r="T748" s="75"/>
      <c r="U748" s="75"/>
      <c r="V748" s="75"/>
      <c r="W748" s="75"/>
      <c r="X748" s="75"/>
      <c r="Y748" s="75"/>
      <c r="Z748" s="75"/>
    </row>
    <row r="749" spans="1:26" ht="33.75" customHeight="1" x14ac:dyDescent="0.2">
      <c r="A749" s="73" t="s">
        <v>2316</v>
      </c>
      <c r="B749" s="77" t="s">
        <v>2317</v>
      </c>
      <c r="C749" s="77" t="s">
        <v>2313</v>
      </c>
      <c r="D749" s="78" t="s">
        <v>2318</v>
      </c>
      <c r="E749" s="77" t="s">
        <v>2226</v>
      </c>
      <c r="F749" s="73">
        <v>9.9499999999999993</v>
      </c>
      <c r="G749" s="73"/>
      <c r="H749" s="79" t="s">
        <v>2319</v>
      </c>
      <c r="I749" s="74"/>
      <c r="J749" s="74"/>
      <c r="K749" s="74"/>
      <c r="L749" s="74"/>
      <c r="M749" s="74"/>
      <c r="N749" s="74"/>
      <c r="O749" s="73"/>
      <c r="P749" s="75"/>
      <c r="Q749" s="75"/>
      <c r="R749" s="75"/>
      <c r="S749" s="75"/>
      <c r="T749" s="75"/>
      <c r="U749" s="75"/>
      <c r="V749" s="75"/>
      <c r="W749" s="75"/>
      <c r="X749" s="75"/>
      <c r="Y749" s="75"/>
      <c r="Z749" s="75"/>
    </row>
    <row r="750" spans="1:26" ht="34.5" customHeight="1" x14ac:dyDescent="0.2">
      <c r="A750" s="73" t="s">
        <v>2320</v>
      </c>
      <c r="B750" s="77" t="s">
        <v>2321</v>
      </c>
      <c r="C750" s="77" t="s">
        <v>2313</v>
      </c>
      <c r="D750" s="78" t="s">
        <v>2322</v>
      </c>
      <c r="E750" s="77" t="s">
        <v>2323</v>
      </c>
      <c r="F750" s="73"/>
      <c r="G750" s="73"/>
      <c r="H750" s="86" t="s">
        <v>2324</v>
      </c>
      <c r="I750" s="74"/>
      <c r="J750" s="74"/>
      <c r="K750" s="74"/>
      <c r="L750" s="74"/>
      <c r="M750" s="74"/>
      <c r="N750" s="74"/>
      <c r="O750" s="73"/>
      <c r="P750" s="75"/>
      <c r="Q750" s="75"/>
      <c r="R750" s="75"/>
      <c r="S750" s="75"/>
      <c r="T750" s="75"/>
      <c r="U750" s="75"/>
      <c r="V750" s="75"/>
      <c r="W750" s="75"/>
      <c r="X750" s="75"/>
      <c r="Y750" s="75"/>
      <c r="Z750" s="75"/>
    </row>
    <row r="751" spans="1:26" ht="164.25" customHeight="1" x14ac:dyDescent="0.2">
      <c r="A751" s="73" t="s">
        <v>2329</v>
      </c>
      <c r="B751" s="73" t="s">
        <v>2330</v>
      </c>
      <c r="C751" s="77" t="s">
        <v>56</v>
      </c>
      <c r="D751" s="78" t="s">
        <v>2331</v>
      </c>
      <c r="E751" s="77" t="s">
        <v>2327</v>
      </c>
      <c r="F751" s="73"/>
      <c r="G751" s="73"/>
      <c r="H751" s="79" t="s">
        <v>2332</v>
      </c>
      <c r="I751" s="74"/>
      <c r="J751" s="74"/>
      <c r="K751" s="74"/>
      <c r="L751" s="74"/>
      <c r="M751" s="74"/>
      <c r="N751" s="74"/>
      <c r="O751" s="73"/>
      <c r="P751" s="75"/>
      <c r="Q751" s="75"/>
      <c r="R751" s="75"/>
      <c r="S751" s="75"/>
      <c r="T751" s="75"/>
      <c r="U751" s="75"/>
      <c r="V751" s="75"/>
      <c r="W751" s="75"/>
      <c r="X751" s="75"/>
      <c r="Y751" s="75"/>
      <c r="Z751" s="75"/>
    </row>
    <row r="752" spans="1:26" ht="15.75" customHeight="1" x14ac:dyDescent="0.2">
      <c r="A752" s="73" t="s">
        <v>2333</v>
      </c>
      <c r="B752" s="73" t="s">
        <v>2334</v>
      </c>
      <c r="C752" s="77" t="s">
        <v>2335</v>
      </c>
      <c r="D752" s="78" t="s">
        <v>2336</v>
      </c>
      <c r="E752" s="77" t="s">
        <v>2226</v>
      </c>
      <c r="F752" s="73">
        <v>12</v>
      </c>
      <c r="G752" s="73"/>
      <c r="H752" s="79" t="s">
        <v>2337</v>
      </c>
      <c r="I752" s="74">
        <v>0</v>
      </c>
      <c r="J752" s="74">
        <v>0</v>
      </c>
      <c r="K752" s="74">
        <v>70</v>
      </c>
      <c r="L752" s="74">
        <v>0</v>
      </c>
      <c r="M752" s="74" t="s">
        <v>2338</v>
      </c>
      <c r="N752" s="74" t="s">
        <v>2339</v>
      </c>
      <c r="O752" s="73"/>
      <c r="P752" s="75"/>
      <c r="Q752" s="75"/>
      <c r="R752" s="75"/>
      <c r="S752" s="75"/>
      <c r="T752" s="75"/>
      <c r="U752" s="75"/>
      <c r="V752" s="75"/>
      <c r="W752" s="75"/>
      <c r="X752" s="75"/>
      <c r="Y752" s="75"/>
      <c r="Z752" s="75"/>
    </row>
    <row r="753" spans="1:26" ht="15.75" customHeight="1" x14ac:dyDescent="0.2">
      <c r="A753" s="73" t="s">
        <v>2340</v>
      </c>
      <c r="B753" s="73" t="s">
        <v>2341</v>
      </c>
      <c r="C753" s="73" t="s">
        <v>347</v>
      </c>
      <c r="D753" s="77" t="s">
        <v>2342</v>
      </c>
      <c r="E753" s="77" t="s">
        <v>2343</v>
      </c>
      <c r="F753" s="73" t="s">
        <v>2344</v>
      </c>
      <c r="G753" s="73"/>
      <c r="H753" s="79" t="s">
        <v>2345</v>
      </c>
      <c r="I753" s="74"/>
      <c r="J753" s="74"/>
      <c r="K753" s="74"/>
      <c r="L753" s="74"/>
      <c r="M753" s="74"/>
      <c r="N753" s="74"/>
      <c r="O753" s="73"/>
      <c r="P753" s="75"/>
      <c r="Q753" s="75"/>
      <c r="R753" s="75"/>
      <c r="S753" s="75"/>
      <c r="T753" s="75"/>
      <c r="U753" s="75"/>
      <c r="V753" s="75"/>
      <c r="W753" s="75"/>
      <c r="X753" s="75"/>
      <c r="Y753" s="75"/>
      <c r="Z753" s="75"/>
    </row>
    <row r="754" spans="1:26" ht="15.75" customHeight="1" x14ac:dyDescent="0.2">
      <c r="A754" s="73" t="s">
        <v>2346</v>
      </c>
      <c r="B754" s="73" t="s">
        <v>2347</v>
      </c>
      <c r="C754" s="73" t="s">
        <v>184</v>
      </c>
      <c r="D754" s="77" t="s">
        <v>2348</v>
      </c>
      <c r="E754" s="77" t="s">
        <v>385</v>
      </c>
      <c r="F754" s="73"/>
      <c r="G754" s="73"/>
      <c r="H754" s="79"/>
      <c r="I754" s="74"/>
      <c r="J754" s="74"/>
      <c r="K754" s="74"/>
      <c r="L754" s="74"/>
      <c r="M754" s="74"/>
      <c r="N754" s="74"/>
      <c r="O754" s="73"/>
      <c r="P754" s="75"/>
      <c r="Q754" s="75"/>
      <c r="R754" s="75"/>
      <c r="S754" s="75"/>
      <c r="T754" s="75"/>
      <c r="U754" s="75"/>
      <c r="V754" s="75"/>
      <c r="W754" s="75"/>
      <c r="X754" s="75"/>
      <c r="Y754" s="75"/>
      <c r="Z754" s="75"/>
    </row>
    <row r="755" spans="1:26" ht="15.75" customHeight="1" x14ac:dyDescent="0.2">
      <c r="A755" s="73" t="s">
        <v>2349</v>
      </c>
      <c r="B755" s="73" t="s">
        <v>2350</v>
      </c>
      <c r="C755" s="73" t="s">
        <v>2351</v>
      </c>
      <c r="D755" s="79" t="s">
        <v>2352</v>
      </c>
      <c r="E755" s="77"/>
      <c r="F755" s="73"/>
      <c r="G755" s="73"/>
      <c r="H755" s="79" t="s">
        <v>2353</v>
      </c>
      <c r="I755" s="74"/>
      <c r="J755" s="74"/>
      <c r="K755" s="74"/>
      <c r="L755" s="74"/>
      <c r="M755" s="74"/>
      <c r="N755" s="74"/>
      <c r="O755" s="73"/>
      <c r="P755" s="75"/>
      <c r="Q755" s="75"/>
      <c r="R755" s="75"/>
      <c r="S755" s="75"/>
      <c r="T755" s="75"/>
      <c r="U755" s="75"/>
      <c r="V755" s="75"/>
      <c r="W755" s="75"/>
      <c r="X755" s="75"/>
      <c r="Y755" s="75"/>
      <c r="Z755" s="75"/>
    </row>
    <row r="756" spans="1:26" ht="15.75" customHeight="1" x14ac:dyDescent="0.2">
      <c r="A756" s="73" t="s">
        <v>2354</v>
      </c>
      <c r="B756" s="73" t="s">
        <v>2355</v>
      </c>
      <c r="C756" s="73" t="s">
        <v>2356</v>
      </c>
      <c r="D756" s="77" t="s">
        <v>2357</v>
      </c>
      <c r="E756" s="77" t="s">
        <v>2323</v>
      </c>
      <c r="F756" s="73">
        <v>49.13</v>
      </c>
      <c r="G756" s="73"/>
      <c r="H756" s="79" t="s">
        <v>2358</v>
      </c>
      <c r="I756" s="74">
        <v>0</v>
      </c>
      <c r="J756" s="74">
        <v>0</v>
      </c>
      <c r="K756" s="74">
        <v>100</v>
      </c>
      <c r="L756" s="74">
        <v>0</v>
      </c>
      <c r="M756" s="74" t="s">
        <v>2359</v>
      </c>
      <c r="N756" s="74" t="s">
        <v>2360</v>
      </c>
      <c r="O756" s="73"/>
      <c r="P756" s="75"/>
      <c r="Q756" s="75"/>
      <c r="R756" s="75"/>
      <c r="S756" s="75"/>
      <c r="T756" s="75"/>
      <c r="U756" s="75"/>
      <c r="V756" s="75"/>
      <c r="W756" s="75"/>
      <c r="X756" s="75"/>
      <c r="Y756" s="75"/>
      <c r="Z756" s="75"/>
    </row>
    <row r="757" spans="1:26" ht="15.75" customHeight="1" x14ac:dyDescent="0.2">
      <c r="A757" s="73" t="s">
        <v>2361</v>
      </c>
      <c r="B757" s="73" t="s">
        <v>1350</v>
      </c>
      <c r="C757" s="73" t="s">
        <v>520</v>
      </c>
      <c r="D757" s="77" t="s">
        <v>1351</v>
      </c>
      <c r="E757" s="77" t="s">
        <v>2362</v>
      </c>
      <c r="F757" s="73">
        <v>22.5</v>
      </c>
      <c r="G757" s="73"/>
      <c r="H757" s="87" t="s">
        <v>2363</v>
      </c>
      <c r="I757" s="74"/>
      <c r="J757" s="74"/>
      <c r="K757" s="74"/>
      <c r="L757" s="74"/>
      <c r="M757" s="74"/>
      <c r="N757" s="74"/>
      <c r="O757" s="73"/>
      <c r="P757" s="75"/>
      <c r="Q757" s="75"/>
      <c r="R757" s="75"/>
      <c r="S757" s="75"/>
      <c r="T757" s="75"/>
      <c r="U757" s="75"/>
      <c r="V757" s="75"/>
      <c r="W757" s="75"/>
      <c r="X757" s="75"/>
      <c r="Y757" s="75"/>
      <c r="Z757" s="75"/>
    </row>
    <row r="758" spans="1:26" ht="112.5" customHeight="1" x14ac:dyDescent="0.2">
      <c r="A758" s="73" t="s">
        <v>2364</v>
      </c>
      <c r="B758" s="73" t="s">
        <v>2365</v>
      </c>
      <c r="C758" s="73" t="s">
        <v>520</v>
      </c>
      <c r="D758" s="77" t="s">
        <v>2366</v>
      </c>
      <c r="E758" s="77" t="s">
        <v>2367</v>
      </c>
      <c r="F758" s="73"/>
      <c r="G758" s="73"/>
      <c r="H758" s="87" t="s">
        <v>2368</v>
      </c>
      <c r="I758" s="74"/>
      <c r="J758" s="74"/>
      <c r="K758" s="74"/>
      <c r="L758" s="74"/>
      <c r="M758" s="74"/>
      <c r="N758" s="74"/>
      <c r="O758" s="73"/>
      <c r="P758" s="75"/>
      <c r="Q758" s="75"/>
      <c r="R758" s="75"/>
      <c r="S758" s="75"/>
      <c r="T758" s="75"/>
      <c r="U758" s="75"/>
      <c r="V758" s="75"/>
      <c r="W758" s="75"/>
      <c r="X758" s="75"/>
      <c r="Y758" s="75"/>
      <c r="Z758" s="75"/>
    </row>
    <row r="759" spans="1:26" ht="100.5" customHeight="1" x14ac:dyDescent="0.2">
      <c r="A759" s="73" t="s">
        <v>2369</v>
      </c>
      <c r="B759" s="73" t="s">
        <v>2370</v>
      </c>
      <c r="C759" s="73" t="s">
        <v>347</v>
      </c>
      <c r="D759" s="77"/>
      <c r="E759" s="77" t="s">
        <v>2343</v>
      </c>
      <c r="F759" s="73">
        <v>5.9</v>
      </c>
      <c r="G759" s="73"/>
      <c r="H759" s="87" t="s">
        <v>2371</v>
      </c>
      <c r="I759" s="74"/>
      <c r="J759" s="74"/>
      <c r="K759" s="74"/>
      <c r="L759" s="74"/>
      <c r="M759" s="74"/>
      <c r="N759" s="74"/>
      <c r="O759" s="73"/>
      <c r="P759" s="75"/>
      <c r="Q759" s="75"/>
      <c r="R759" s="75"/>
      <c r="S759" s="75"/>
      <c r="T759" s="75"/>
      <c r="U759" s="75"/>
      <c r="V759" s="75"/>
      <c r="W759" s="75"/>
      <c r="X759" s="75"/>
      <c r="Y759" s="75"/>
      <c r="Z759" s="75"/>
    </row>
    <row r="760" spans="1:26" ht="100.5" customHeight="1" x14ac:dyDescent="0.2">
      <c r="A760" s="73" t="s">
        <v>2372</v>
      </c>
      <c r="B760" s="73" t="s">
        <v>2373</v>
      </c>
      <c r="C760" s="73" t="s">
        <v>347</v>
      </c>
      <c r="D760" s="79" t="s">
        <v>2374</v>
      </c>
      <c r="E760" s="77" t="s">
        <v>2343</v>
      </c>
      <c r="F760" s="73">
        <v>7.2</v>
      </c>
      <c r="G760" s="73"/>
      <c r="H760" s="87" t="s">
        <v>2375</v>
      </c>
      <c r="I760" s="74"/>
      <c r="J760" s="74"/>
      <c r="K760" s="74"/>
      <c r="L760" s="74"/>
      <c r="M760" s="74"/>
      <c r="N760" s="74"/>
      <c r="O760" s="73"/>
      <c r="P760" s="75"/>
      <c r="Q760" s="75"/>
      <c r="R760" s="75"/>
      <c r="S760" s="75"/>
      <c r="T760" s="75"/>
      <c r="U760" s="75"/>
      <c r="V760" s="75"/>
      <c r="W760" s="75"/>
      <c r="X760" s="75"/>
      <c r="Y760" s="75"/>
      <c r="Z760" s="75"/>
    </row>
    <row r="761" spans="1:26" ht="100.5" customHeight="1" x14ac:dyDescent="0.2">
      <c r="A761" s="73" t="s">
        <v>2376</v>
      </c>
      <c r="B761" s="73" t="s">
        <v>2377</v>
      </c>
      <c r="C761" s="73" t="s">
        <v>347</v>
      </c>
      <c r="D761" s="79" t="s">
        <v>2378</v>
      </c>
      <c r="E761" s="77" t="s">
        <v>2343</v>
      </c>
      <c r="F761" s="73">
        <v>7.5</v>
      </c>
      <c r="G761" s="73"/>
      <c r="H761" s="87" t="s">
        <v>2379</v>
      </c>
      <c r="I761" s="74"/>
      <c r="J761" s="74"/>
      <c r="K761" s="74"/>
      <c r="L761" s="74"/>
      <c r="M761" s="74"/>
      <c r="N761" s="74"/>
      <c r="O761" s="73"/>
      <c r="P761" s="75"/>
      <c r="Q761" s="75"/>
      <c r="R761" s="75"/>
      <c r="S761" s="75"/>
      <c r="T761" s="75"/>
      <c r="U761" s="75"/>
      <c r="V761" s="75"/>
      <c r="W761" s="75"/>
      <c r="X761" s="75"/>
      <c r="Y761" s="75"/>
      <c r="Z761" s="75"/>
    </row>
    <row r="762" spans="1:26" ht="100.5" customHeight="1" x14ac:dyDescent="0.2">
      <c r="A762" s="73" t="s">
        <v>2380</v>
      </c>
      <c r="B762" s="73" t="s">
        <v>2381</v>
      </c>
      <c r="C762" s="73" t="s">
        <v>2382</v>
      </c>
      <c r="D762" s="79" t="s">
        <v>2383</v>
      </c>
      <c r="E762" s="77" t="s">
        <v>2384</v>
      </c>
      <c r="F762" s="73">
        <v>9.9499999999999993</v>
      </c>
      <c r="G762" s="73"/>
      <c r="H762" s="87" t="s">
        <v>2385</v>
      </c>
      <c r="I762" s="74"/>
      <c r="J762" s="74"/>
      <c r="K762" s="74"/>
      <c r="L762" s="74"/>
      <c r="M762" s="74"/>
      <c r="N762" s="74"/>
      <c r="O762" s="73"/>
      <c r="P762" s="75"/>
      <c r="Q762" s="75"/>
      <c r="R762" s="75"/>
      <c r="S762" s="75"/>
      <c r="T762" s="75"/>
      <c r="U762" s="75"/>
      <c r="V762" s="75"/>
      <c r="W762" s="75"/>
      <c r="X762" s="75"/>
      <c r="Y762" s="75"/>
      <c r="Z762" s="75"/>
    </row>
    <row r="763" spans="1:26" ht="100.5" customHeight="1" x14ac:dyDescent="0.2">
      <c r="A763" s="73" t="s">
        <v>2386</v>
      </c>
      <c r="B763" s="73" t="s">
        <v>2387</v>
      </c>
      <c r="C763" s="73" t="s">
        <v>347</v>
      </c>
      <c r="D763" s="79" t="s">
        <v>2388</v>
      </c>
      <c r="E763" s="77" t="s">
        <v>2343</v>
      </c>
      <c r="F763" s="73"/>
      <c r="G763" s="73"/>
      <c r="H763" s="87"/>
      <c r="I763" s="74"/>
      <c r="J763" s="74"/>
      <c r="K763" s="74"/>
      <c r="L763" s="74"/>
      <c r="M763" s="74"/>
      <c r="N763" s="74"/>
      <c r="O763" s="73"/>
      <c r="P763" s="75"/>
      <c r="Q763" s="75"/>
      <c r="R763" s="75"/>
      <c r="S763" s="75"/>
      <c r="T763" s="75"/>
      <c r="U763" s="75"/>
      <c r="V763" s="75"/>
      <c r="W763" s="75"/>
      <c r="X763" s="75"/>
      <c r="Y763" s="75"/>
      <c r="Z763" s="75"/>
    </row>
    <row r="764" spans="1:26" ht="100.5" customHeight="1" x14ac:dyDescent="0.2">
      <c r="A764" s="73" t="s">
        <v>2389</v>
      </c>
      <c r="B764" s="73" t="s">
        <v>2390</v>
      </c>
      <c r="C764" s="73" t="s">
        <v>2391</v>
      </c>
      <c r="D764" s="79" t="s">
        <v>2392</v>
      </c>
      <c r="E764" s="77" t="s">
        <v>2393</v>
      </c>
      <c r="F764" s="73">
        <v>26.2</v>
      </c>
      <c r="G764" s="73"/>
      <c r="H764" s="87" t="s">
        <v>386</v>
      </c>
      <c r="I764" s="74"/>
      <c r="J764" s="74"/>
      <c r="K764" s="74"/>
      <c r="L764" s="74"/>
      <c r="M764" s="74" t="s">
        <v>522</v>
      </c>
      <c r="N764" s="74" t="s">
        <v>2394</v>
      </c>
      <c r="O764" s="73"/>
      <c r="P764" s="75"/>
      <c r="Q764" s="75"/>
      <c r="R764" s="75"/>
      <c r="S764" s="75"/>
      <c r="T764" s="75"/>
      <c r="U764" s="75"/>
      <c r="V764" s="75"/>
      <c r="W764" s="75"/>
      <c r="X764" s="75"/>
      <c r="Y764" s="75"/>
      <c r="Z764" s="75"/>
    </row>
    <row r="765" spans="1:26" ht="100.5" customHeight="1" x14ac:dyDescent="0.2">
      <c r="A765" s="73" t="s">
        <v>2395</v>
      </c>
      <c r="B765" s="73" t="s">
        <v>2396</v>
      </c>
      <c r="C765" s="73" t="s">
        <v>407</v>
      </c>
      <c r="D765" s="79" t="s">
        <v>2397</v>
      </c>
      <c r="E765" s="77" t="s">
        <v>2398</v>
      </c>
      <c r="F765" s="73"/>
      <c r="G765" s="73"/>
      <c r="H765" s="87" t="s">
        <v>2399</v>
      </c>
      <c r="I765" s="74"/>
      <c r="J765" s="74"/>
      <c r="K765" s="74"/>
      <c r="L765" s="74"/>
      <c r="M765" s="74" t="s">
        <v>522</v>
      </c>
      <c r="N765" s="74" t="s">
        <v>2400</v>
      </c>
      <c r="O765" s="73"/>
      <c r="P765" s="75"/>
      <c r="Q765" s="75"/>
      <c r="R765" s="75"/>
      <c r="S765" s="75"/>
      <c r="T765" s="75"/>
      <c r="U765" s="75"/>
      <c r="V765" s="75"/>
      <c r="W765" s="75"/>
      <c r="X765" s="75"/>
      <c r="Y765" s="75"/>
      <c r="Z765" s="75"/>
    </row>
    <row r="766" spans="1:26" ht="42" customHeight="1" x14ac:dyDescent="0.2">
      <c r="A766" s="73" t="s">
        <v>2401</v>
      </c>
      <c r="B766" s="73" t="s">
        <v>2402</v>
      </c>
      <c r="C766" s="73" t="s">
        <v>1081</v>
      </c>
      <c r="D766" s="79" t="s">
        <v>2235</v>
      </c>
      <c r="E766" s="77" t="s">
        <v>2403</v>
      </c>
      <c r="F766" s="73"/>
      <c r="G766" s="73"/>
      <c r="H766" s="87" t="s">
        <v>2404</v>
      </c>
      <c r="I766" s="74"/>
      <c r="J766" s="74"/>
      <c r="K766" s="74"/>
      <c r="L766" s="74"/>
      <c r="M766" s="74"/>
      <c r="N766" s="74"/>
      <c r="O766" s="73"/>
      <c r="P766" s="75"/>
      <c r="Q766" s="75"/>
      <c r="R766" s="75"/>
      <c r="S766" s="75"/>
      <c r="T766" s="75"/>
      <c r="U766" s="75"/>
      <c r="V766" s="75"/>
      <c r="W766" s="75"/>
      <c r="X766" s="75"/>
      <c r="Y766" s="75"/>
      <c r="Z766" s="75"/>
    </row>
    <row r="767" spans="1:26" ht="69" customHeight="1" x14ac:dyDescent="0.2">
      <c r="A767" s="73" t="s">
        <v>2405</v>
      </c>
      <c r="B767" s="73" t="s">
        <v>2406</v>
      </c>
      <c r="C767" s="73" t="s">
        <v>2407</v>
      </c>
      <c r="D767" s="79" t="s">
        <v>2408</v>
      </c>
      <c r="E767" s="77" t="s">
        <v>385</v>
      </c>
      <c r="F767" s="73">
        <v>96.62</v>
      </c>
      <c r="G767" s="73"/>
      <c r="H767" s="87" t="s">
        <v>2409</v>
      </c>
      <c r="I767" s="74"/>
      <c r="J767" s="74"/>
      <c r="K767" s="74"/>
      <c r="L767" s="74"/>
      <c r="M767" s="74"/>
      <c r="N767" s="88" t="s">
        <v>2410</v>
      </c>
      <c r="O767" s="73"/>
      <c r="P767" s="75"/>
      <c r="Q767" s="75"/>
      <c r="R767" s="75"/>
      <c r="S767" s="75"/>
      <c r="T767" s="75"/>
      <c r="U767" s="75"/>
      <c r="V767" s="75"/>
      <c r="W767" s="75"/>
      <c r="X767" s="75"/>
      <c r="Y767" s="75"/>
      <c r="Z767" s="75"/>
    </row>
    <row r="768" spans="1:26" ht="69" customHeight="1" x14ac:dyDescent="0.2">
      <c r="A768" s="73" t="s">
        <v>2411</v>
      </c>
      <c r="B768" s="73" t="s">
        <v>2412</v>
      </c>
      <c r="C768" s="73" t="s">
        <v>2065</v>
      </c>
      <c r="D768" s="79" t="s">
        <v>2413</v>
      </c>
      <c r="E768" s="77" t="s">
        <v>2414</v>
      </c>
      <c r="F768" s="73"/>
      <c r="G768" s="73"/>
      <c r="H768" s="87" t="s">
        <v>2415</v>
      </c>
      <c r="I768" s="74"/>
      <c r="J768" s="74"/>
      <c r="K768" s="74"/>
      <c r="L768" s="74"/>
      <c r="M768" s="74" t="s">
        <v>522</v>
      </c>
      <c r="N768" s="88"/>
      <c r="O768" s="73"/>
      <c r="P768" s="75"/>
      <c r="Q768" s="75"/>
      <c r="R768" s="75"/>
      <c r="S768" s="75"/>
      <c r="T768" s="75"/>
      <c r="U768" s="75"/>
      <c r="V768" s="75"/>
      <c r="W768" s="75"/>
      <c r="X768" s="75"/>
      <c r="Y768" s="75"/>
      <c r="Z768" s="75"/>
    </row>
    <row r="769" spans="1:26" ht="69" customHeight="1" x14ac:dyDescent="0.2">
      <c r="A769" s="73" t="s">
        <v>2416</v>
      </c>
      <c r="B769" s="73" t="s">
        <v>2417</v>
      </c>
      <c r="C769" s="73" t="s">
        <v>184</v>
      </c>
      <c r="D769" s="79" t="s">
        <v>2418</v>
      </c>
      <c r="E769" s="77" t="s">
        <v>385</v>
      </c>
      <c r="F769" s="73">
        <v>60</v>
      </c>
      <c r="G769" s="73"/>
      <c r="H769" s="87" t="s">
        <v>2419</v>
      </c>
      <c r="I769" s="74"/>
      <c r="J769" s="74"/>
      <c r="K769" s="74"/>
      <c r="L769" s="74"/>
      <c r="M769" s="74" t="s">
        <v>2420</v>
      </c>
      <c r="N769" s="88"/>
      <c r="O769" s="73"/>
      <c r="P769" s="75"/>
      <c r="Q769" s="75"/>
      <c r="R769" s="75"/>
      <c r="S769" s="75"/>
      <c r="T769" s="75"/>
      <c r="U769" s="75"/>
      <c r="V769" s="75"/>
      <c r="W769" s="75"/>
      <c r="X769" s="75"/>
      <c r="Y769" s="75"/>
      <c r="Z769" s="75"/>
    </row>
    <row r="770" spans="1:26" ht="69" customHeight="1" x14ac:dyDescent="0.2">
      <c r="A770" s="73" t="s">
        <v>2421</v>
      </c>
      <c r="B770" s="73" t="s">
        <v>2422</v>
      </c>
      <c r="C770" s="73" t="s">
        <v>184</v>
      </c>
      <c r="D770" s="79" t="s">
        <v>2423</v>
      </c>
      <c r="E770" s="77" t="s">
        <v>385</v>
      </c>
      <c r="F770" s="73">
        <v>22.8</v>
      </c>
      <c r="G770" s="73"/>
      <c r="H770" s="87" t="s">
        <v>2424</v>
      </c>
      <c r="I770" s="74"/>
      <c r="J770" s="74"/>
      <c r="K770" s="74"/>
      <c r="L770" s="74"/>
      <c r="M770" s="74" t="s">
        <v>522</v>
      </c>
      <c r="N770" s="88"/>
      <c r="O770" s="73"/>
      <c r="P770" s="75"/>
      <c r="Q770" s="75"/>
      <c r="R770" s="75"/>
      <c r="S770" s="75"/>
      <c r="T770" s="75"/>
      <c r="U770" s="75"/>
      <c r="V770" s="75"/>
      <c r="W770" s="75"/>
      <c r="X770" s="75"/>
      <c r="Y770" s="75"/>
      <c r="Z770" s="75"/>
    </row>
    <row r="771" spans="1:26" ht="117" customHeight="1" x14ac:dyDescent="0.2">
      <c r="A771" s="73" t="s">
        <v>2425</v>
      </c>
      <c r="B771" s="73" t="s">
        <v>2426</v>
      </c>
      <c r="C771" s="73" t="s">
        <v>2427</v>
      </c>
      <c r="D771" s="79" t="s">
        <v>2428</v>
      </c>
      <c r="E771" s="77" t="s">
        <v>2189</v>
      </c>
      <c r="F771" s="73">
        <v>43.6</v>
      </c>
      <c r="G771" s="73"/>
      <c r="H771" s="87" t="s">
        <v>999</v>
      </c>
      <c r="I771" s="74">
        <v>7.38</v>
      </c>
      <c r="J771" s="74">
        <v>0</v>
      </c>
      <c r="K771" s="74">
        <v>82.25</v>
      </c>
      <c r="L771" s="74">
        <v>0</v>
      </c>
      <c r="M771" s="74" t="s">
        <v>522</v>
      </c>
      <c r="N771" s="88" t="s">
        <v>2429</v>
      </c>
      <c r="O771" s="73"/>
      <c r="P771" s="75"/>
      <c r="Q771" s="75"/>
      <c r="R771" s="75"/>
      <c r="S771" s="75"/>
      <c r="T771" s="75"/>
      <c r="U771" s="75"/>
      <c r="V771" s="75"/>
      <c r="W771" s="75"/>
      <c r="X771" s="75"/>
      <c r="Y771" s="75"/>
      <c r="Z771" s="75"/>
    </row>
    <row r="772" spans="1:26" ht="134.25" customHeight="1" x14ac:dyDescent="0.2">
      <c r="A772" s="73" t="s">
        <v>2430</v>
      </c>
      <c r="B772" s="73" t="s">
        <v>2431</v>
      </c>
      <c r="C772" s="73" t="s">
        <v>1684</v>
      </c>
      <c r="D772" s="79" t="s">
        <v>2432</v>
      </c>
      <c r="E772" s="77" t="s">
        <v>2189</v>
      </c>
      <c r="F772" s="73">
        <v>167</v>
      </c>
      <c r="G772" s="73"/>
      <c r="H772" s="87" t="s">
        <v>2433</v>
      </c>
      <c r="I772" s="74"/>
      <c r="J772" s="74"/>
      <c r="K772" s="74"/>
      <c r="L772" s="74"/>
      <c r="M772" s="74" t="s">
        <v>522</v>
      </c>
      <c r="N772" s="88"/>
      <c r="O772" s="73"/>
      <c r="P772" s="75"/>
      <c r="Q772" s="75"/>
      <c r="R772" s="75"/>
      <c r="S772" s="75"/>
      <c r="T772" s="75"/>
      <c r="U772" s="75"/>
      <c r="V772" s="75"/>
      <c r="W772" s="75"/>
      <c r="X772" s="75"/>
      <c r="Y772" s="75"/>
      <c r="Z772" s="75"/>
    </row>
    <row r="773" spans="1:26" ht="57" customHeight="1" x14ac:dyDescent="0.2">
      <c r="A773" s="73" t="s">
        <v>2434</v>
      </c>
      <c r="B773" s="73" t="s">
        <v>2435</v>
      </c>
      <c r="C773" s="73" t="s">
        <v>2436</v>
      </c>
      <c r="D773" s="79" t="s">
        <v>2437</v>
      </c>
      <c r="E773" s="77" t="s">
        <v>2189</v>
      </c>
      <c r="F773" s="73"/>
      <c r="G773" s="73"/>
      <c r="H773" s="87" t="s">
        <v>2438</v>
      </c>
      <c r="I773" s="74"/>
      <c r="J773" s="74"/>
      <c r="K773" s="74"/>
      <c r="L773" s="74"/>
      <c r="M773" s="74" t="s">
        <v>522</v>
      </c>
      <c r="N773" s="88"/>
      <c r="O773" s="73"/>
      <c r="P773" s="75"/>
      <c r="Q773" s="75"/>
      <c r="R773" s="75"/>
      <c r="S773" s="75"/>
      <c r="T773" s="75"/>
      <c r="U773" s="75"/>
      <c r="V773" s="75"/>
      <c r="W773" s="75"/>
      <c r="X773" s="75"/>
      <c r="Y773" s="75"/>
      <c r="Z773" s="75"/>
    </row>
    <row r="774" spans="1:26" ht="57" customHeight="1" x14ac:dyDescent="0.2">
      <c r="A774" s="73" t="s">
        <v>2439</v>
      </c>
      <c r="B774" s="73" t="s">
        <v>2440</v>
      </c>
      <c r="C774" s="73" t="s">
        <v>184</v>
      </c>
      <c r="D774" s="79" t="s">
        <v>2441</v>
      </c>
      <c r="E774" s="77" t="s">
        <v>2442</v>
      </c>
      <c r="F774" s="73">
        <v>99</v>
      </c>
      <c r="G774" s="73"/>
      <c r="H774" s="87" t="s">
        <v>2443</v>
      </c>
      <c r="I774" s="74"/>
      <c r="J774" s="74"/>
      <c r="K774" s="74"/>
      <c r="L774" s="74"/>
      <c r="M774" s="74" t="s">
        <v>522</v>
      </c>
      <c r="N774" s="88"/>
      <c r="O774" s="73"/>
      <c r="P774" s="75"/>
      <c r="Q774" s="75"/>
      <c r="R774" s="75"/>
      <c r="S774" s="75"/>
      <c r="T774" s="75"/>
      <c r="U774" s="75"/>
      <c r="V774" s="75"/>
      <c r="W774" s="75"/>
      <c r="X774" s="75"/>
      <c r="Y774" s="75"/>
      <c r="Z774" s="75"/>
    </row>
    <row r="775" spans="1:26" ht="120.75" customHeight="1" x14ac:dyDescent="0.2">
      <c r="A775" s="73" t="s">
        <v>2444</v>
      </c>
      <c r="B775" s="73" t="s">
        <v>2445</v>
      </c>
      <c r="C775" s="73" t="s">
        <v>2446</v>
      </c>
      <c r="D775" s="79" t="s">
        <v>2447</v>
      </c>
      <c r="E775" s="77" t="s">
        <v>2442</v>
      </c>
      <c r="F775" s="73"/>
      <c r="G775" s="73"/>
      <c r="H775" s="87" t="s">
        <v>2448</v>
      </c>
      <c r="I775" s="74"/>
      <c r="J775" s="74"/>
      <c r="K775" s="74"/>
      <c r="L775" s="74"/>
      <c r="M775" s="74" t="s">
        <v>522</v>
      </c>
      <c r="N775" s="88"/>
      <c r="O775" s="73"/>
      <c r="P775" s="75"/>
      <c r="Q775" s="75"/>
      <c r="R775" s="75"/>
      <c r="S775" s="75"/>
      <c r="T775" s="75"/>
      <c r="U775" s="75"/>
      <c r="V775" s="75"/>
      <c r="W775" s="75"/>
      <c r="X775" s="75"/>
      <c r="Y775" s="75"/>
      <c r="Z775" s="75"/>
    </row>
    <row r="776" spans="1:26" ht="87" customHeight="1" x14ac:dyDescent="0.2">
      <c r="A776" s="73" t="s">
        <v>2449</v>
      </c>
      <c r="B776" s="73" t="s">
        <v>2450</v>
      </c>
      <c r="C776" s="73" t="s">
        <v>2446</v>
      </c>
      <c r="D776" s="79" t="s">
        <v>2447</v>
      </c>
      <c r="E776" s="77" t="s">
        <v>2442</v>
      </c>
      <c r="F776" s="73"/>
      <c r="G776" s="73"/>
      <c r="H776" s="87" t="s">
        <v>2451</v>
      </c>
      <c r="I776" s="74"/>
      <c r="J776" s="74"/>
      <c r="K776" s="74"/>
      <c r="L776" s="74"/>
      <c r="M776" s="74" t="s">
        <v>522</v>
      </c>
      <c r="N776" s="88"/>
      <c r="O776" s="73"/>
      <c r="P776" s="75"/>
      <c r="Q776" s="75"/>
      <c r="R776" s="75"/>
      <c r="S776" s="75"/>
      <c r="T776" s="75"/>
      <c r="U776" s="75"/>
      <c r="V776" s="75"/>
      <c r="W776" s="75"/>
      <c r="X776" s="75"/>
      <c r="Y776" s="75"/>
      <c r="Z776" s="75"/>
    </row>
    <row r="777" spans="1:26" ht="36" customHeight="1" x14ac:dyDescent="0.2">
      <c r="A777" s="73" t="s">
        <v>2452</v>
      </c>
      <c r="B777" s="73" t="s">
        <v>2453</v>
      </c>
      <c r="C777" s="73" t="s">
        <v>2454</v>
      </c>
      <c r="D777" s="79" t="s">
        <v>2455</v>
      </c>
      <c r="E777" s="77" t="s">
        <v>2442</v>
      </c>
      <c r="F777" s="73">
        <v>33.5</v>
      </c>
      <c r="G777" s="73"/>
      <c r="H777" s="87" t="s">
        <v>2456</v>
      </c>
      <c r="I777" s="74"/>
      <c r="J777" s="74"/>
      <c r="K777" s="74"/>
      <c r="L777" s="74"/>
      <c r="M777" s="74" t="s">
        <v>522</v>
      </c>
      <c r="N777" s="88"/>
      <c r="O777" s="73"/>
      <c r="P777" s="75"/>
      <c r="Q777" s="75"/>
      <c r="R777" s="75"/>
      <c r="S777" s="75"/>
      <c r="T777" s="75"/>
      <c r="U777" s="75"/>
      <c r="V777" s="75"/>
      <c r="W777" s="75"/>
      <c r="X777" s="75"/>
      <c r="Y777" s="75"/>
      <c r="Z777" s="75"/>
    </row>
    <row r="778" spans="1:26" ht="36" customHeight="1" x14ac:dyDescent="0.2">
      <c r="A778" s="73" t="s">
        <v>2457</v>
      </c>
      <c r="B778" s="73" t="s">
        <v>2458</v>
      </c>
      <c r="C778" s="73" t="s">
        <v>2454</v>
      </c>
      <c r="D778" s="79" t="s">
        <v>2459</v>
      </c>
      <c r="E778" s="77" t="s">
        <v>2460</v>
      </c>
      <c r="F778" s="73">
        <v>24.2</v>
      </c>
      <c r="G778" s="73"/>
      <c r="H778" s="87" t="s">
        <v>2461</v>
      </c>
      <c r="I778" s="74"/>
      <c r="J778" s="74"/>
      <c r="K778" s="74"/>
      <c r="L778" s="74"/>
      <c r="M778" s="74" t="s">
        <v>522</v>
      </c>
      <c r="N778" s="88"/>
      <c r="O778" s="73"/>
      <c r="P778" s="75"/>
      <c r="Q778" s="75"/>
      <c r="R778" s="75"/>
      <c r="S778" s="75"/>
      <c r="T778" s="75"/>
      <c r="U778" s="75"/>
      <c r="V778" s="75"/>
      <c r="W778" s="75"/>
      <c r="X778" s="75"/>
      <c r="Y778" s="75"/>
      <c r="Z778" s="75"/>
    </row>
    <row r="779" spans="1:26" ht="36" customHeight="1" x14ac:dyDescent="0.2">
      <c r="A779" s="73" t="s">
        <v>2462</v>
      </c>
      <c r="B779" s="73" t="s">
        <v>2463</v>
      </c>
      <c r="C779" s="73" t="s">
        <v>2464</v>
      </c>
      <c r="D779" s="79" t="s">
        <v>2465</v>
      </c>
      <c r="E779" s="77" t="s">
        <v>2466</v>
      </c>
      <c r="F779" s="73"/>
      <c r="G779" s="73"/>
      <c r="H779" s="87" t="s">
        <v>2467</v>
      </c>
      <c r="I779" s="74"/>
      <c r="J779" s="74"/>
      <c r="K779" s="74"/>
      <c r="L779" s="74"/>
      <c r="M779" s="74"/>
      <c r="N779" s="88"/>
      <c r="O779" s="73"/>
      <c r="P779" s="75"/>
      <c r="Q779" s="75"/>
      <c r="R779" s="75"/>
      <c r="S779" s="75"/>
      <c r="T779" s="75"/>
      <c r="U779" s="75"/>
      <c r="V779" s="75"/>
      <c r="W779" s="75"/>
      <c r="X779" s="75"/>
      <c r="Y779" s="75"/>
      <c r="Z779" s="75"/>
    </row>
    <row r="780" spans="1:26" ht="36" customHeight="1" x14ac:dyDescent="0.2">
      <c r="A780" s="73" t="s">
        <v>2468</v>
      </c>
      <c r="B780" s="73" t="s">
        <v>2469</v>
      </c>
      <c r="C780" s="73" t="s">
        <v>2464</v>
      </c>
      <c r="D780" s="79" t="s">
        <v>2470</v>
      </c>
      <c r="E780" s="77" t="s">
        <v>2466</v>
      </c>
      <c r="F780" s="73"/>
      <c r="G780" s="73"/>
      <c r="H780" s="87" t="s">
        <v>2471</v>
      </c>
      <c r="I780" s="74"/>
      <c r="J780" s="74"/>
      <c r="K780" s="74"/>
      <c r="L780" s="74"/>
      <c r="M780" s="74"/>
      <c r="N780" s="88"/>
      <c r="O780" s="73"/>
      <c r="P780" s="75"/>
      <c r="Q780" s="75"/>
      <c r="R780" s="75"/>
      <c r="S780" s="75"/>
      <c r="T780" s="75"/>
      <c r="U780" s="75"/>
      <c r="V780" s="75"/>
      <c r="W780" s="75"/>
      <c r="X780" s="75"/>
      <c r="Y780" s="75"/>
      <c r="Z780" s="75"/>
    </row>
    <row r="781" spans="1:26" ht="72" customHeight="1" x14ac:dyDescent="0.2">
      <c r="A781" s="73" t="s">
        <v>2472</v>
      </c>
      <c r="B781" s="73" t="s">
        <v>2473</v>
      </c>
      <c r="C781" s="73" t="s">
        <v>420</v>
      </c>
      <c r="D781" s="79" t="s">
        <v>2474</v>
      </c>
      <c r="E781" s="77" t="s">
        <v>2475</v>
      </c>
      <c r="F781" s="73"/>
      <c r="G781" s="73"/>
      <c r="H781" s="87" t="s">
        <v>2476</v>
      </c>
      <c r="I781" s="74"/>
      <c r="J781" s="74"/>
      <c r="K781" s="74"/>
      <c r="L781" s="74"/>
      <c r="M781" s="74"/>
      <c r="N781" s="88"/>
      <c r="O781" s="73"/>
      <c r="P781" s="75"/>
      <c r="Q781" s="75"/>
      <c r="R781" s="75"/>
      <c r="S781" s="75"/>
      <c r="T781" s="75"/>
      <c r="U781" s="75"/>
      <c r="V781" s="75"/>
      <c r="W781" s="75"/>
      <c r="X781" s="75"/>
      <c r="Y781" s="75"/>
      <c r="Z781" s="75"/>
    </row>
    <row r="782" spans="1:26" ht="85.5" customHeight="1" x14ac:dyDescent="0.2">
      <c r="A782" s="73" t="s">
        <v>2477</v>
      </c>
      <c r="B782" s="73" t="s">
        <v>2478</v>
      </c>
      <c r="C782" s="73" t="s">
        <v>2454</v>
      </c>
      <c r="D782" s="79" t="s">
        <v>2479</v>
      </c>
      <c r="E782" s="77" t="s">
        <v>2323</v>
      </c>
      <c r="F782" s="73">
        <v>25.11</v>
      </c>
      <c r="G782" s="73"/>
      <c r="H782" s="87" t="s">
        <v>2480</v>
      </c>
      <c r="I782" s="74"/>
      <c r="J782" s="74"/>
      <c r="K782" s="74"/>
      <c r="L782" s="74"/>
      <c r="M782" s="74"/>
      <c r="N782" s="88"/>
      <c r="O782" s="73"/>
      <c r="P782" s="75"/>
      <c r="Q782" s="75"/>
      <c r="R782" s="75"/>
      <c r="S782" s="75"/>
      <c r="T782" s="75"/>
      <c r="U782" s="75"/>
      <c r="V782" s="75"/>
      <c r="W782" s="75"/>
      <c r="X782" s="75"/>
      <c r="Y782" s="75"/>
      <c r="Z782" s="75"/>
    </row>
    <row r="783" spans="1:26" ht="36" customHeight="1" x14ac:dyDescent="0.2">
      <c r="A783" s="73" t="s">
        <v>2481</v>
      </c>
      <c r="B783" s="73" t="s">
        <v>2482</v>
      </c>
      <c r="C783" s="73" t="s">
        <v>2454</v>
      </c>
      <c r="D783" s="79" t="s">
        <v>2483</v>
      </c>
      <c r="E783" s="77" t="s">
        <v>2323</v>
      </c>
      <c r="F783" s="73">
        <v>21.59</v>
      </c>
      <c r="G783" s="73"/>
      <c r="H783" s="87" t="s">
        <v>2484</v>
      </c>
      <c r="I783" s="74"/>
      <c r="J783" s="74"/>
      <c r="K783" s="74"/>
      <c r="L783" s="74"/>
      <c r="M783" s="74"/>
      <c r="N783" s="88"/>
      <c r="O783" s="73"/>
      <c r="P783" s="75"/>
      <c r="Q783" s="75"/>
      <c r="R783" s="75"/>
      <c r="S783" s="75"/>
      <c r="T783" s="75"/>
      <c r="U783" s="75"/>
      <c r="V783" s="75"/>
      <c r="W783" s="75"/>
      <c r="X783" s="75"/>
      <c r="Y783" s="75"/>
      <c r="Z783" s="75"/>
    </row>
    <row r="784" spans="1:26" ht="53.25" customHeight="1" x14ac:dyDescent="0.2">
      <c r="A784" s="4" t="s">
        <v>2485</v>
      </c>
      <c r="B784" s="4" t="s">
        <v>2486</v>
      </c>
      <c r="C784" s="4" t="s">
        <v>2487</v>
      </c>
      <c r="D784" s="4"/>
      <c r="E784" s="4"/>
      <c r="F784" s="4"/>
      <c r="G784" s="4" t="s">
        <v>42</v>
      </c>
      <c r="H784" s="4"/>
      <c r="I784" s="5"/>
      <c r="J784" s="5"/>
      <c r="K784" s="5"/>
      <c r="L784" s="5"/>
      <c r="M784" s="5"/>
      <c r="N784" s="5"/>
      <c r="O784" s="4"/>
      <c r="P784" s="75"/>
      <c r="Q784" s="75"/>
      <c r="R784" s="75"/>
      <c r="S784" s="75"/>
      <c r="T784" s="75"/>
      <c r="U784" s="75"/>
      <c r="V784" s="75"/>
      <c r="W784" s="75"/>
      <c r="X784" s="75"/>
      <c r="Y784" s="75"/>
      <c r="Z784" s="75"/>
    </row>
    <row r="785" spans="1:26" ht="66" customHeight="1" x14ac:dyDescent="0.2">
      <c r="A785" s="4" t="s">
        <v>2488</v>
      </c>
      <c r="B785" s="4" t="s">
        <v>2489</v>
      </c>
      <c r="C785" s="4" t="s">
        <v>594</v>
      </c>
      <c r="D785" s="4"/>
      <c r="E785" s="4"/>
      <c r="F785" s="4"/>
      <c r="G785" s="4"/>
      <c r="H785" s="4"/>
      <c r="I785" s="5"/>
      <c r="J785" s="5"/>
      <c r="K785" s="5"/>
      <c r="L785" s="5"/>
      <c r="M785" s="5"/>
      <c r="N785" s="5"/>
      <c r="O785" s="4"/>
      <c r="P785" s="75"/>
      <c r="Q785" s="75"/>
      <c r="R785" s="75"/>
      <c r="S785" s="75"/>
      <c r="T785" s="75"/>
      <c r="U785" s="75"/>
      <c r="V785" s="75"/>
      <c r="W785" s="75"/>
      <c r="X785" s="75"/>
      <c r="Y785" s="75"/>
      <c r="Z785" s="75"/>
    </row>
    <row r="786" spans="1:26" ht="15.75" customHeight="1" x14ac:dyDescent="0.2">
      <c r="A786" s="4" t="s">
        <v>2490</v>
      </c>
      <c r="B786" s="4" t="s">
        <v>2491</v>
      </c>
      <c r="C786" s="4" t="s">
        <v>594</v>
      </c>
      <c r="D786" s="4"/>
      <c r="E786" s="4" t="s">
        <v>17</v>
      </c>
      <c r="F786" s="4">
        <v>560</v>
      </c>
      <c r="G786" s="4"/>
      <c r="H786" s="4" t="s">
        <v>2492</v>
      </c>
      <c r="I786" s="5"/>
      <c r="J786" s="5"/>
      <c r="K786" s="5"/>
      <c r="L786" s="5"/>
      <c r="M786" s="5"/>
      <c r="N786" s="5"/>
      <c r="O786" s="4"/>
      <c r="P786" s="75"/>
      <c r="Q786" s="75"/>
      <c r="R786" s="75"/>
      <c r="S786" s="75"/>
      <c r="T786" s="75"/>
      <c r="U786" s="75"/>
      <c r="V786" s="75"/>
      <c r="W786" s="75"/>
      <c r="X786" s="75"/>
      <c r="Y786" s="75"/>
      <c r="Z786" s="75"/>
    </row>
    <row r="787" spans="1:26" ht="15.75" customHeight="1" x14ac:dyDescent="0.2">
      <c r="A787" s="4" t="s">
        <v>2493</v>
      </c>
      <c r="B787" s="4" t="s">
        <v>2494</v>
      </c>
      <c r="C787" s="4" t="s">
        <v>803</v>
      </c>
      <c r="D787" s="4" t="s">
        <v>2495</v>
      </c>
      <c r="E787" s="4" t="s">
        <v>21</v>
      </c>
      <c r="F787" s="4"/>
      <c r="G787" s="4"/>
      <c r="H787" s="4"/>
      <c r="I787" s="5"/>
      <c r="J787" s="5"/>
      <c r="K787" s="5"/>
      <c r="L787" s="5"/>
      <c r="M787" s="5"/>
      <c r="N787" s="5"/>
      <c r="O787" s="4"/>
      <c r="P787" s="75"/>
      <c r="Q787" s="75"/>
      <c r="R787" s="75"/>
      <c r="S787" s="75"/>
      <c r="T787" s="75"/>
      <c r="U787" s="75"/>
      <c r="V787" s="75"/>
      <c r="W787" s="75"/>
      <c r="X787" s="75"/>
      <c r="Y787" s="75"/>
      <c r="Z787" s="75"/>
    </row>
    <row r="788" spans="1:26" ht="15.75" customHeight="1" x14ac:dyDescent="0.2">
      <c r="A788" s="4" t="s">
        <v>2496</v>
      </c>
      <c r="B788" s="4" t="s">
        <v>2497</v>
      </c>
      <c r="C788" s="4"/>
      <c r="D788" s="4"/>
      <c r="E788" s="4"/>
      <c r="F788" s="4"/>
      <c r="G788" s="4"/>
      <c r="H788" s="4"/>
      <c r="I788" s="5"/>
      <c r="J788" s="5"/>
      <c r="K788" s="5"/>
      <c r="L788" s="5"/>
      <c r="M788" s="5"/>
      <c r="N788" s="5"/>
      <c r="O788" s="4"/>
      <c r="P788" s="75"/>
      <c r="Q788" s="75"/>
      <c r="R788" s="75"/>
      <c r="S788" s="75"/>
      <c r="T788" s="75"/>
      <c r="U788" s="75"/>
      <c r="V788" s="75"/>
      <c r="W788" s="75"/>
      <c r="X788" s="75"/>
      <c r="Y788" s="75"/>
      <c r="Z788" s="75"/>
    </row>
    <row r="789" spans="1:26" ht="15.75" customHeight="1" x14ac:dyDescent="0.2">
      <c r="A789" s="4" t="s">
        <v>2498</v>
      </c>
      <c r="B789" s="4" t="s">
        <v>2499</v>
      </c>
      <c r="C789" s="4" t="s">
        <v>16</v>
      </c>
      <c r="D789" s="4" t="s">
        <v>2500</v>
      </c>
      <c r="E789" s="4" t="s">
        <v>21</v>
      </c>
      <c r="F789" s="4"/>
      <c r="G789" s="4"/>
      <c r="H789" s="4"/>
      <c r="I789" s="5"/>
      <c r="J789" s="5"/>
      <c r="K789" s="5"/>
      <c r="L789" s="5"/>
      <c r="M789" s="5"/>
      <c r="N789" s="5"/>
      <c r="O789" s="4"/>
      <c r="P789" s="75"/>
      <c r="Q789" s="75"/>
      <c r="R789" s="75"/>
      <c r="S789" s="75"/>
      <c r="T789" s="75"/>
      <c r="U789" s="75"/>
      <c r="V789" s="75"/>
      <c r="W789" s="75"/>
      <c r="X789" s="75"/>
      <c r="Y789" s="75"/>
      <c r="Z789" s="75"/>
    </row>
    <row r="790" spans="1:26" ht="15.75" customHeight="1" x14ac:dyDescent="0.2">
      <c r="A790" s="4" t="s">
        <v>2501</v>
      </c>
      <c r="B790" s="4" t="s">
        <v>2502</v>
      </c>
      <c r="C790" s="4" t="s">
        <v>610</v>
      </c>
      <c r="D790" s="4" t="s">
        <v>2503</v>
      </c>
      <c r="E790" s="4" t="s">
        <v>1770</v>
      </c>
      <c r="F790" s="4">
        <v>639</v>
      </c>
      <c r="G790" s="4"/>
      <c r="H790" s="4"/>
      <c r="I790" s="5"/>
      <c r="J790" s="5"/>
      <c r="K790" s="5"/>
      <c r="L790" s="5"/>
      <c r="M790" s="5"/>
      <c r="N790" s="5"/>
      <c r="O790" s="4"/>
      <c r="P790" s="75"/>
      <c r="Q790" s="75"/>
      <c r="R790" s="75"/>
      <c r="S790" s="75"/>
      <c r="T790" s="75"/>
      <c r="U790" s="75"/>
      <c r="V790" s="75"/>
      <c r="W790" s="75"/>
      <c r="X790" s="75"/>
      <c r="Y790" s="75"/>
      <c r="Z790" s="75"/>
    </row>
    <row r="791" spans="1:26" ht="15.75" customHeight="1" x14ac:dyDescent="0.2">
      <c r="A791" s="4" t="s">
        <v>2504</v>
      </c>
      <c r="B791" s="4" t="s">
        <v>2505</v>
      </c>
      <c r="C791" s="4" t="s">
        <v>20</v>
      </c>
      <c r="D791" s="4"/>
      <c r="E791" s="4" t="s">
        <v>2506</v>
      </c>
      <c r="F791" s="4"/>
      <c r="G791" s="4"/>
      <c r="H791" s="4"/>
      <c r="I791" s="5"/>
      <c r="J791" s="5"/>
      <c r="K791" s="5"/>
      <c r="L791" s="5"/>
      <c r="M791" s="5"/>
      <c r="N791" s="5"/>
      <c r="O791" s="4"/>
      <c r="P791" s="75"/>
      <c r="Q791" s="75"/>
      <c r="R791" s="75"/>
      <c r="S791" s="75"/>
      <c r="T791" s="75"/>
      <c r="U791" s="75"/>
      <c r="V791" s="75"/>
      <c r="W791" s="75"/>
      <c r="X791" s="75"/>
      <c r="Y791" s="75"/>
      <c r="Z791" s="75"/>
    </row>
    <row r="792" spans="1:26" ht="15.75" customHeight="1" x14ac:dyDescent="0.2">
      <c r="A792" s="4" t="s">
        <v>2507</v>
      </c>
      <c r="B792" s="4" t="s">
        <v>2508</v>
      </c>
      <c r="C792" s="4" t="s">
        <v>656</v>
      </c>
      <c r="D792" s="4"/>
      <c r="E792" s="4"/>
      <c r="F792" s="4"/>
      <c r="G792" s="4"/>
      <c r="H792" s="4"/>
      <c r="I792" s="5"/>
      <c r="J792" s="5"/>
      <c r="K792" s="5"/>
      <c r="L792" s="5"/>
      <c r="M792" s="5"/>
      <c r="N792" s="5"/>
      <c r="O792" s="4"/>
      <c r="P792" s="75"/>
      <c r="Q792" s="75"/>
      <c r="R792" s="75"/>
      <c r="S792" s="75"/>
      <c r="T792" s="75"/>
      <c r="U792" s="75"/>
      <c r="V792" s="75"/>
      <c r="W792" s="75"/>
      <c r="X792" s="75"/>
      <c r="Y792" s="75"/>
      <c r="Z792" s="75"/>
    </row>
    <row r="793" spans="1:26" ht="15.75" customHeight="1" x14ac:dyDescent="0.2">
      <c r="A793" s="4" t="s">
        <v>2509</v>
      </c>
      <c r="B793" s="4" t="s">
        <v>2510</v>
      </c>
      <c r="C793" s="4" t="s">
        <v>610</v>
      </c>
      <c r="D793" s="4"/>
      <c r="E793" s="4"/>
      <c r="F793" s="4"/>
      <c r="G793" s="4"/>
      <c r="H793" s="4"/>
      <c r="I793" s="5"/>
      <c r="J793" s="5"/>
      <c r="K793" s="5"/>
      <c r="L793" s="5"/>
      <c r="M793" s="5"/>
      <c r="N793" s="5"/>
      <c r="O793" s="4"/>
      <c r="P793" s="75"/>
      <c r="Q793" s="75"/>
      <c r="R793" s="75"/>
      <c r="S793" s="75"/>
      <c r="T793" s="75"/>
      <c r="U793" s="75"/>
      <c r="V793" s="75"/>
      <c r="W793" s="75"/>
      <c r="X793" s="75"/>
      <c r="Y793" s="75"/>
      <c r="Z793" s="75"/>
    </row>
    <row r="794" spans="1:26" ht="15.75" customHeight="1" x14ac:dyDescent="0.2">
      <c r="A794" s="4" t="s">
        <v>2511</v>
      </c>
      <c r="B794" s="4" t="s">
        <v>2512</v>
      </c>
      <c r="C794" s="4" t="s">
        <v>20</v>
      </c>
      <c r="D794" s="4"/>
      <c r="E794" s="4"/>
      <c r="F794" s="4">
        <v>6500</v>
      </c>
      <c r="G794" s="4"/>
      <c r="H794" s="4"/>
      <c r="I794" s="5"/>
      <c r="J794" s="5"/>
      <c r="K794" s="5"/>
      <c r="L794" s="5"/>
      <c r="M794" s="5"/>
      <c r="N794" s="5"/>
      <c r="O794" s="4"/>
      <c r="P794" s="75"/>
      <c r="Q794" s="75"/>
      <c r="R794" s="75"/>
      <c r="S794" s="75"/>
      <c r="T794" s="75"/>
      <c r="U794" s="75"/>
      <c r="V794" s="75"/>
      <c r="W794" s="75"/>
      <c r="X794" s="75"/>
      <c r="Y794" s="75"/>
      <c r="Z794" s="75"/>
    </row>
    <row r="795" spans="1:26" ht="15.75" customHeight="1" x14ac:dyDescent="0.2">
      <c r="A795" s="4" t="s">
        <v>2513</v>
      </c>
      <c r="B795" s="4" t="s">
        <v>2514</v>
      </c>
      <c r="C795" s="4" t="s">
        <v>594</v>
      </c>
      <c r="D795" s="4"/>
      <c r="E795" s="4"/>
      <c r="F795" s="4">
        <v>9135</v>
      </c>
      <c r="G795" s="4"/>
      <c r="H795" s="4"/>
      <c r="I795" s="5"/>
      <c r="J795" s="5"/>
      <c r="K795" s="5"/>
      <c r="L795" s="5"/>
      <c r="M795" s="5"/>
      <c r="N795" s="5"/>
      <c r="O795" s="4"/>
      <c r="P795" s="75"/>
      <c r="Q795" s="75"/>
      <c r="R795" s="75"/>
      <c r="S795" s="75"/>
      <c r="T795" s="75"/>
      <c r="U795" s="75"/>
      <c r="V795" s="75"/>
      <c r="W795" s="75"/>
      <c r="X795" s="75"/>
      <c r="Y795" s="75"/>
      <c r="Z795" s="75"/>
    </row>
    <row r="796" spans="1:26" ht="15.75" customHeight="1" x14ac:dyDescent="0.2">
      <c r="A796" s="4" t="s">
        <v>2515</v>
      </c>
      <c r="B796" s="4" t="s">
        <v>2516</v>
      </c>
      <c r="C796" s="4" t="s">
        <v>20</v>
      </c>
      <c r="D796" s="4"/>
      <c r="E796" s="4" t="s">
        <v>2517</v>
      </c>
      <c r="F796" s="4">
        <v>4500</v>
      </c>
      <c r="G796" s="4"/>
      <c r="H796" s="4"/>
      <c r="I796" s="5"/>
      <c r="J796" s="5"/>
      <c r="K796" s="5"/>
      <c r="L796" s="5"/>
      <c r="M796" s="5"/>
      <c r="N796" s="5"/>
      <c r="O796" s="4"/>
      <c r="P796" s="75"/>
      <c r="Q796" s="75"/>
      <c r="R796" s="75"/>
      <c r="S796" s="75"/>
      <c r="T796" s="75"/>
      <c r="U796" s="75"/>
      <c r="V796" s="75"/>
      <c r="W796" s="75"/>
      <c r="X796" s="75"/>
      <c r="Y796" s="75"/>
      <c r="Z796" s="75"/>
    </row>
    <row r="797" spans="1:26" ht="15.75" customHeight="1" x14ac:dyDescent="0.2">
      <c r="A797" s="4" t="s">
        <v>2518</v>
      </c>
      <c r="B797" s="4" t="s">
        <v>2519</v>
      </c>
      <c r="C797" s="4" t="s">
        <v>20</v>
      </c>
      <c r="D797" s="4"/>
      <c r="E797" s="4" t="s">
        <v>17</v>
      </c>
      <c r="F797" s="4">
        <v>6500</v>
      </c>
      <c r="G797" s="4"/>
      <c r="H797" s="4"/>
      <c r="I797" s="5">
        <v>100</v>
      </c>
      <c r="J797" s="5">
        <v>0</v>
      </c>
      <c r="K797" s="5">
        <v>0</v>
      </c>
      <c r="L797" s="5">
        <v>0</v>
      </c>
      <c r="M797" s="5" t="s">
        <v>992</v>
      </c>
      <c r="N797" s="5"/>
      <c r="O797" s="4"/>
      <c r="P797" s="75"/>
      <c r="Q797" s="75"/>
      <c r="R797" s="75"/>
      <c r="S797" s="75"/>
      <c r="T797" s="75"/>
      <c r="U797" s="75"/>
      <c r="V797" s="75"/>
      <c r="W797" s="75"/>
      <c r="X797" s="75"/>
      <c r="Y797" s="75"/>
      <c r="Z797" s="75"/>
    </row>
    <row r="798" spans="1:26" ht="15.75" customHeight="1" x14ac:dyDescent="0.2">
      <c r="A798" s="4" t="s">
        <v>2520</v>
      </c>
      <c r="B798" s="4" t="s">
        <v>2521</v>
      </c>
      <c r="C798" s="4" t="s">
        <v>597</v>
      </c>
      <c r="D798" s="4"/>
      <c r="E798" s="4" t="s">
        <v>21</v>
      </c>
      <c r="F798" s="4"/>
      <c r="G798" s="4"/>
      <c r="H798" s="4"/>
      <c r="I798" s="5"/>
      <c r="J798" s="5"/>
      <c r="K798" s="5"/>
      <c r="L798" s="5"/>
      <c r="M798" s="5"/>
      <c r="N798" s="5"/>
      <c r="O798" s="4"/>
      <c r="P798" s="6"/>
      <c r="Q798" s="6"/>
      <c r="R798" s="6"/>
      <c r="S798" s="6"/>
      <c r="T798" s="6"/>
      <c r="U798" s="6"/>
      <c r="V798" s="6"/>
      <c r="W798" s="6"/>
      <c r="X798" s="6"/>
      <c r="Y798" s="6"/>
      <c r="Z798" s="6"/>
    </row>
    <row r="799" spans="1:26" ht="15.75" customHeight="1" x14ac:dyDescent="0.2">
      <c r="A799" s="4" t="s">
        <v>2522</v>
      </c>
      <c r="B799" s="4" t="s">
        <v>2523</v>
      </c>
      <c r="C799" s="4" t="s">
        <v>26</v>
      </c>
      <c r="D799" s="4"/>
      <c r="E799" s="4"/>
      <c r="F799" s="4"/>
      <c r="G799" s="4"/>
      <c r="H799" s="4"/>
      <c r="I799" s="5"/>
      <c r="J799" s="5"/>
      <c r="K799" s="5"/>
      <c r="L799" s="5"/>
      <c r="M799" s="5"/>
      <c r="N799" s="5"/>
      <c r="O799" s="4"/>
      <c r="P799" s="6"/>
      <c r="Q799" s="6"/>
      <c r="R799" s="6"/>
      <c r="S799" s="6"/>
      <c r="T799" s="6"/>
      <c r="U799" s="6"/>
      <c r="V799" s="6"/>
      <c r="W799" s="6"/>
      <c r="X799" s="6"/>
      <c r="Y799" s="6"/>
      <c r="Z799" s="6"/>
    </row>
    <row r="800" spans="1:26" ht="15.75" customHeight="1" x14ac:dyDescent="0.2">
      <c r="A800" s="4" t="s">
        <v>2524</v>
      </c>
      <c r="B800" s="4" t="s">
        <v>2525</v>
      </c>
      <c r="C800" s="4" t="s">
        <v>26</v>
      </c>
      <c r="D800" s="4"/>
      <c r="E800" s="4"/>
      <c r="F800" s="4"/>
      <c r="G800" s="4"/>
      <c r="H800" s="4"/>
      <c r="I800" s="5"/>
      <c r="J800" s="5"/>
      <c r="K800" s="5"/>
      <c r="L800" s="5"/>
      <c r="M800" s="5"/>
      <c r="N800" s="5"/>
      <c r="O800" s="4"/>
      <c r="P800" s="6"/>
      <c r="Q800" s="6"/>
      <c r="R800" s="6"/>
      <c r="S800" s="6"/>
      <c r="T800" s="6"/>
      <c r="U800" s="6"/>
      <c r="V800" s="6"/>
      <c r="W800" s="6"/>
      <c r="X800" s="6"/>
      <c r="Y800" s="6"/>
      <c r="Z800" s="6"/>
    </row>
    <row r="801" spans="1:26" ht="15.75" customHeight="1" x14ac:dyDescent="0.2">
      <c r="A801" s="4" t="s">
        <v>2526</v>
      </c>
      <c r="B801" s="4" t="s">
        <v>2527</v>
      </c>
      <c r="C801" s="4" t="s">
        <v>656</v>
      </c>
      <c r="D801" s="4"/>
      <c r="E801" s="4"/>
      <c r="F801" s="4"/>
      <c r="G801" s="4"/>
      <c r="H801" s="4"/>
      <c r="I801" s="5"/>
      <c r="J801" s="5"/>
      <c r="K801" s="5"/>
      <c r="L801" s="5"/>
      <c r="M801" s="5"/>
      <c r="N801" s="5"/>
      <c r="O801" s="4"/>
      <c r="P801" s="6"/>
      <c r="Q801" s="6"/>
      <c r="R801" s="6"/>
      <c r="S801" s="6"/>
      <c r="T801" s="6"/>
      <c r="U801" s="6"/>
      <c r="V801" s="6"/>
      <c r="W801" s="6"/>
      <c r="X801" s="6"/>
      <c r="Y801" s="6"/>
      <c r="Z801" s="6"/>
    </row>
    <row r="802" spans="1:26" ht="15.75" customHeight="1" x14ac:dyDescent="0.2">
      <c r="A802" s="4" t="s">
        <v>2528</v>
      </c>
      <c r="B802" s="4" t="s">
        <v>2529</v>
      </c>
      <c r="C802" s="4" t="s">
        <v>26</v>
      </c>
      <c r="D802" s="4"/>
      <c r="E802" s="4"/>
      <c r="F802" s="4"/>
      <c r="G802" s="4" t="s">
        <v>42</v>
      </c>
      <c r="H802" s="4"/>
      <c r="I802" s="5"/>
      <c r="J802" s="5"/>
      <c r="K802" s="5"/>
      <c r="L802" s="5"/>
      <c r="M802" s="5"/>
      <c r="N802" s="5"/>
      <c r="O802" s="4"/>
      <c r="P802" s="6"/>
      <c r="Q802" s="6"/>
      <c r="R802" s="6"/>
      <c r="S802" s="6"/>
      <c r="T802" s="6"/>
      <c r="U802" s="6"/>
      <c r="V802" s="6"/>
      <c r="W802" s="6"/>
      <c r="X802" s="6"/>
      <c r="Y802" s="6"/>
      <c r="Z802" s="6"/>
    </row>
    <row r="803" spans="1:26" ht="15.75" customHeight="1" x14ac:dyDescent="0.2">
      <c r="A803" s="4" t="s">
        <v>2530</v>
      </c>
      <c r="B803" s="4" t="s">
        <v>2531</v>
      </c>
      <c r="C803" s="4" t="s">
        <v>610</v>
      </c>
      <c r="D803" s="4"/>
      <c r="E803" s="4"/>
      <c r="F803" s="4"/>
      <c r="G803" s="4"/>
      <c r="H803" s="4"/>
      <c r="I803" s="5"/>
      <c r="J803" s="5"/>
      <c r="K803" s="5"/>
      <c r="L803" s="5"/>
      <c r="M803" s="5"/>
      <c r="N803" s="5"/>
      <c r="O803" s="4"/>
      <c r="P803" s="6"/>
      <c r="Q803" s="6"/>
      <c r="R803" s="6"/>
      <c r="S803" s="6"/>
      <c r="T803" s="6"/>
      <c r="U803" s="6"/>
      <c r="V803" s="6"/>
      <c r="W803" s="6"/>
      <c r="X803" s="6"/>
      <c r="Y803" s="6"/>
      <c r="Z803" s="6"/>
    </row>
    <row r="804" spans="1:26" ht="15.75" customHeight="1" x14ac:dyDescent="0.2">
      <c r="A804" s="4" t="s">
        <v>2532</v>
      </c>
      <c r="B804" s="4" t="s">
        <v>2533</v>
      </c>
      <c r="C804" s="4" t="s">
        <v>610</v>
      </c>
      <c r="D804" s="4"/>
      <c r="E804" s="4"/>
      <c r="F804" s="4"/>
      <c r="G804" s="4"/>
      <c r="H804" s="4"/>
      <c r="I804" s="5"/>
      <c r="J804" s="5"/>
      <c r="K804" s="5"/>
      <c r="L804" s="5"/>
      <c r="M804" s="5"/>
      <c r="N804" s="5"/>
      <c r="O804" s="4"/>
      <c r="P804" s="6"/>
      <c r="Q804" s="6"/>
      <c r="R804" s="6"/>
      <c r="S804" s="6"/>
      <c r="T804" s="6"/>
      <c r="U804" s="6"/>
      <c r="V804" s="6"/>
      <c r="W804" s="6"/>
      <c r="X804" s="6"/>
      <c r="Y804" s="6"/>
      <c r="Z804" s="6"/>
    </row>
    <row r="805" spans="1:26" ht="15.75" customHeight="1" x14ac:dyDescent="0.2">
      <c r="A805" s="4" t="s">
        <v>2534</v>
      </c>
      <c r="B805" s="4" t="s">
        <v>2535</v>
      </c>
      <c r="C805" s="4" t="s">
        <v>610</v>
      </c>
      <c r="D805" s="4"/>
      <c r="E805" s="4"/>
      <c r="F805" s="4"/>
      <c r="G805" s="4"/>
      <c r="H805" s="4"/>
      <c r="I805" s="5"/>
      <c r="J805" s="5"/>
      <c r="K805" s="5"/>
      <c r="L805" s="5"/>
      <c r="M805" s="5"/>
      <c r="N805" s="5"/>
      <c r="O805" s="4"/>
      <c r="P805" s="6"/>
      <c r="Q805" s="6"/>
      <c r="R805" s="6"/>
      <c r="S805" s="6"/>
      <c r="T805" s="6"/>
      <c r="U805" s="6"/>
      <c r="V805" s="6"/>
      <c r="W805" s="6"/>
      <c r="X805" s="6"/>
      <c r="Y805" s="6"/>
      <c r="Z805" s="6"/>
    </row>
    <row r="806" spans="1:26" ht="15.75" customHeight="1" x14ac:dyDescent="0.2">
      <c r="A806" s="4" t="s">
        <v>2536</v>
      </c>
      <c r="B806" s="4" t="s">
        <v>2537</v>
      </c>
      <c r="C806" s="4" t="s">
        <v>610</v>
      </c>
      <c r="D806" s="4"/>
      <c r="E806" s="4"/>
      <c r="F806" s="4"/>
      <c r="G806" s="4"/>
      <c r="H806" s="4"/>
      <c r="I806" s="5"/>
      <c r="J806" s="5"/>
      <c r="K806" s="5"/>
      <c r="L806" s="5"/>
      <c r="M806" s="5"/>
      <c r="N806" s="5"/>
      <c r="O806" s="4"/>
      <c r="P806" s="6"/>
      <c r="Q806" s="6"/>
      <c r="R806" s="6"/>
      <c r="S806" s="6"/>
      <c r="T806" s="6"/>
      <c r="U806" s="6"/>
      <c r="V806" s="6"/>
      <c r="W806" s="6"/>
      <c r="X806" s="6"/>
      <c r="Y806" s="6"/>
      <c r="Z806" s="6"/>
    </row>
    <row r="807" spans="1:26" ht="15.75" customHeight="1" x14ac:dyDescent="0.2">
      <c r="A807" s="4" t="s">
        <v>2538</v>
      </c>
      <c r="B807" s="4" t="s">
        <v>2539</v>
      </c>
      <c r="C807" s="4" t="s">
        <v>26</v>
      </c>
      <c r="D807" s="4"/>
      <c r="E807" s="4"/>
      <c r="F807" s="4"/>
      <c r="G807" s="4"/>
      <c r="H807" s="4"/>
      <c r="I807" s="5"/>
      <c r="J807" s="5"/>
      <c r="K807" s="5"/>
      <c r="L807" s="5"/>
      <c r="M807" s="5"/>
      <c r="N807" s="5"/>
      <c r="O807" s="4"/>
      <c r="P807" s="6"/>
      <c r="Q807" s="6"/>
      <c r="R807" s="6"/>
      <c r="S807" s="6"/>
      <c r="T807" s="6"/>
      <c r="U807" s="6"/>
      <c r="V807" s="6"/>
      <c r="W807" s="6"/>
      <c r="X807" s="6"/>
      <c r="Y807" s="6"/>
      <c r="Z807" s="6"/>
    </row>
    <row r="808" spans="1:26" ht="15.75" customHeight="1" x14ac:dyDescent="0.2">
      <c r="A808" s="4" t="s">
        <v>2540</v>
      </c>
      <c r="B808" s="4" t="s">
        <v>2541</v>
      </c>
      <c r="C808" s="4" t="s">
        <v>1437</v>
      </c>
      <c r="D808" s="4"/>
      <c r="E808" s="4" t="s">
        <v>21</v>
      </c>
      <c r="F808" s="4"/>
      <c r="G808" s="4"/>
      <c r="H808" s="4" t="s">
        <v>2542</v>
      </c>
      <c r="I808" s="5"/>
      <c r="J808" s="5"/>
      <c r="K808" s="5"/>
      <c r="L808" s="5"/>
      <c r="M808" s="5"/>
      <c r="N808" s="5"/>
      <c r="O808" s="4"/>
      <c r="P808" s="6"/>
      <c r="Q808" s="6"/>
      <c r="R808" s="6"/>
      <c r="S808" s="6"/>
      <c r="T808" s="6"/>
      <c r="U808" s="6"/>
      <c r="V808" s="6"/>
      <c r="W808" s="6"/>
      <c r="X808" s="6"/>
      <c r="Y808" s="6"/>
      <c r="Z808" s="6"/>
    </row>
    <row r="809" spans="1:26" ht="15.75" customHeight="1" x14ac:dyDescent="0.2">
      <c r="A809" s="89" t="s">
        <v>2543</v>
      </c>
      <c r="B809" s="89" t="s">
        <v>2544</v>
      </c>
      <c r="C809" s="89" t="s">
        <v>855</v>
      </c>
      <c r="D809" s="89" t="s">
        <v>2545</v>
      </c>
      <c r="E809" s="89"/>
      <c r="F809" s="90">
        <v>0.3</v>
      </c>
      <c r="G809" s="89"/>
      <c r="H809" s="89"/>
      <c r="I809" s="91">
        <v>0</v>
      </c>
      <c r="J809" s="91">
        <v>0</v>
      </c>
      <c r="K809" s="91">
        <v>0</v>
      </c>
      <c r="L809" s="91">
        <v>0</v>
      </c>
      <c r="M809" s="91" t="s">
        <v>2546</v>
      </c>
      <c r="N809" s="91" t="s">
        <v>2547</v>
      </c>
      <c r="O809" s="81"/>
      <c r="P809" s="6"/>
      <c r="Q809" s="6"/>
      <c r="R809" s="6"/>
      <c r="S809" s="6"/>
      <c r="T809" s="6"/>
      <c r="U809" s="6"/>
      <c r="V809" s="6"/>
      <c r="W809" s="6"/>
      <c r="X809" s="6"/>
      <c r="Y809" s="6"/>
      <c r="Z809" s="6"/>
    </row>
    <row r="810" spans="1:26" ht="15.75" customHeight="1" x14ac:dyDescent="0.2">
      <c r="A810" s="89" t="s">
        <v>2548</v>
      </c>
      <c r="B810" s="89" t="s">
        <v>2549</v>
      </c>
      <c r="C810" s="92" t="s">
        <v>2550</v>
      </c>
      <c r="D810" s="92" t="s">
        <v>2551</v>
      </c>
      <c r="E810" s="89"/>
      <c r="F810" s="90">
        <v>96.09</v>
      </c>
      <c r="G810" s="89"/>
      <c r="H810" s="89"/>
      <c r="I810" s="91">
        <v>0</v>
      </c>
      <c r="J810" s="91">
        <v>0</v>
      </c>
      <c r="K810" s="91">
        <v>100</v>
      </c>
      <c r="L810" s="91">
        <v>0</v>
      </c>
      <c r="M810" s="91" t="s">
        <v>2552</v>
      </c>
      <c r="N810" s="91" t="s">
        <v>2553</v>
      </c>
      <c r="O810" s="93" t="s">
        <v>2554</v>
      </c>
      <c r="P810" s="6"/>
      <c r="Q810" s="6"/>
      <c r="R810" s="6"/>
      <c r="S810" s="6"/>
      <c r="T810" s="6"/>
      <c r="U810" s="6"/>
      <c r="V810" s="6"/>
      <c r="W810" s="6"/>
      <c r="X810" s="6"/>
      <c r="Y810" s="6"/>
      <c r="Z810" s="6"/>
    </row>
    <row r="811" spans="1:26" ht="15.75" customHeight="1" x14ac:dyDescent="0.2">
      <c r="A811" s="89" t="s">
        <v>2555</v>
      </c>
      <c r="B811" s="89" t="s">
        <v>2556</v>
      </c>
      <c r="C811" s="89" t="s">
        <v>399</v>
      </c>
      <c r="D811" s="89" t="s">
        <v>2557</v>
      </c>
      <c r="E811" s="89"/>
      <c r="F811" s="90">
        <v>849</v>
      </c>
      <c r="G811" s="89"/>
      <c r="H811" s="89"/>
      <c r="I811" s="91">
        <v>0</v>
      </c>
      <c r="J811" s="91">
        <v>0</v>
      </c>
      <c r="K811" s="91">
        <v>100</v>
      </c>
      <c r="L811" s="91">
        <v>0</v>
      </c>
      <c r="M811" s="91" t="s">
        <v>2552</v>
      </c>
      <c r="N811" s="91"/>
      <c r="O811" s="81"/>
      <c r="P811" s="6"/>
      <c r="Q811" s="6"/>
      <c r="R811" s="6"/>
      <c r="S811" s="6"/>
      <c r="T811" s="6"/>
      <c r="U811" s="6"/>
      <c r="V811" s="6"/>
      <c r="W811" s="6"/>
      <c r="X811" s="6"/>
      <c r="Y811" s="6"/>
      <c r="Z811" s="6"/>
    </row>
    <row r="812" spans="1:26" ht="15.75" customHeight="1" x14ac:dyDescent="0.2">
      <c r="A812" s="89" t="s">
        <v>2558</v>
      </c>
      <c r="B812" s="89" t="s">
        <v>2559</v>
      </c>
      <c r="C812" s="89" t="s">
        <v>2560</v>
      </c>
      <c r="D812" s="92" t="s">
        <v>2561</v>
      </c>
      <c r="E812" s="89" t="s">
        <v>297</v>
      </c>
      <c r="F812" s="90">
        <v>162.9</v>
      </c>
      <c r="G812" s="89"/>
      <c r="H812" s="92" t="s">
        <v>2562</v>
      </c>
      <c r="I812" s="91">
        <v>2</v>
      </c>
      <c r="J812" s="91">
        <v>0</v>
      </c>
      <c r="K812" s="91">
        <v>50</v>
      </c>
      <c r="L812" s="91">
        <v>0</v>
      </c>
      <c r="M812" s="91" t="s">
        <v>2552</v>
      </c>
      <c r="N812" s="94" t="s">
        <v>2563</v>
      </c>
      <c r="O812" s="81"/>
      <c r="P812" s="6"/>
      <c r="Q812" s="6"/>
      <c r="R812" s="6"/>
      <c r="S812" s="6"/>
      <c r="T812" s="6"/>
      <c r="U812" s="6"/>
      <c r="V812" s="6"/>
      <c r="W812" s="6"/>
      <c r="X812" s="6"/>
      <c r="Y812" s="6"/>
      <c r="Z812" s="6"/>
    </row>
    <row r="813" spans="1:26" ht="32.25" customHeight="1" x14ac:dyDescent="0.2">
      <c r="A813" s="89" t="s">
        <v>2564</v>
      </c>
      <c r="B813" s="89" t="s">
        <v>2565</v>
      </c>
      <c r="C813" s="89" t="s">
        <v>1698</v>
      </c>
      <c r="D813" s="89"/>
      <c r="E813" s="89"/>
      <c r="F813" s="90">
        <v>190.38</v>
      </c>
      <c r="G813" s="89"/>
      <c r="H813" s="336"/>
      <c r="I813" s="91">
        <v>93</v>
      </c>
      <c r="J813" s="91">
        <v>0</v>
      </c>
      <c r="K813" s="91">
        <v>0</v>
      </c>
      <c r="L813" s="91">
        <v>0</v>
      </c>
      <c r="M813" s="91" t="s">
        <v>2552</v>
      </c>
      <c r="N813" s="91"/>
      <c r="O813" s="81"/>
      <c r="P813" s="6"/>
      <c r="Q813" s="6"/>
      <c r="R813" s="6"/>
      <c r="S813" s="6"/>
      <c r="T813" s="6"/>
      <c r="U813" s="6"/>
      <c r="V813" s="6"/>
      <c r="W813" s="6"/>
      <c r="X813" s="6"/>
      <c r="Y813" s="6"/>
      <c r="Z813" s="6"/>
    </row>
    <row r="814" spans="1:26" ht="15.75" customHeight="1" x14ac:dyDescent="0.2">
      <c r="A814" s="89" t="s">
        <v>2566</v>
      </c>
      <c r="B814" s="89" t="s">
        <v>2567</v>
      </c>
      <c r="C814" s="89" t="s">
        <v>828</v>
      </c>
      <c r="D814" s="89" t="s">
        <v>2568</v>
      </c>
      <c r="E814" s="89"/>
      <c r="F814" s="90">
        <v>112.1</v>
      </c>
      <c r="G814" s="89"/>
      <c r="H814" s="89"/>
      <c r="I814" s="91">
        <v>0</v>
      </c>
      <c r="J814" s="91">
        <v>0</v>
      </c>
      <c r="K814" s="91">
        <v>97</v>
      </c>
      <c r="L814" s="91">
        <v>0</v>
      </c>
      <c r="M814" s="91" t="s">
        <v>2552</v>
      </c>
      <c r="N814" s="91"/>
      <c r="O814" s="81"/>
      <c r="P814" s="6"/>
      <c r="Q814" s="6"/>
      <c r="R814" s="6"/>
      <c r="S814" s="6"/>
      <c r="T814" s="6"/>
      <c r="U814" s="6"/>
      <c r="V814" s="6"/>
      <c r="W814" s="6"/>
      <c r="X814" s="6"/>
      <c r="Y814" s="6"/>
      <c r="Z814" s="6"/>
    </row>
    <row r="815" spans="1:26" ht="15.75" customHeight="1" x14ac:dyDescent="0.2">
      <c r="A815" s="89" t="s">
        <v>2569</v>
      </c>
      <c r="B815" s="89" t="s">
        <v>2570</v>
      </c>
      <c r="C815" s="89" t="s">
        <v>399</v>
      </c>
      <c r="D815" s="89" t="s">
        <v>2571</v>
      </c>
      <c r="E815" s="89" t="s">
        <v>297</v>
      </c>
      <c r="F815" s="90">
        <v>850</v>
      </c>
      <c r="G815" s="89"/>
      <c r="H815" s="95"/>
      <c r="I815" s="91">
        <v>0</v>
      </c>
      <c r="J815" s="91">
        <v>0</v>
      </c>
      <c r="K815" s="91">
        <v>100</v>
      </c>
      <c r="L815" s="91">
        <v>0</v>
      </c>
      <c r="M815" s="91" t="s">
        <v>2552</v>
      </c>
      <c r="N815" s="91" t="s">
        <v>2572</v>
      </c>
      <c r="O815" s="96" t="s">
        <v>2573</v>
      </c>
      <c r="P815" s="6"/>
      <c r="Q815" s="6"/>
      <c r="R815" s="6"/>
      <c r="S815" s="6"/>
      <c r="T815" s="6"/>
      <c r="U815" s="6"/>
      <c r="V815" s="6"/>
      <c r="W815" s="6"/>
      <c r="X815" s="6"/>
      <c r="Y815" s="6"/>
      <c r="Z815" s="6"/>
    </row>
    <row r="816" spans="1:26" ht="15.75" customHeight="1" x14ac:dyDescent="0.2">
      <c r="A816" s="89" t="s">
        <v>2574</v>
      </c>
      <c r="B816" s="89" t="s">
        <v>2575</v>
      </c>
      <c r="C816" s="89" t="s">
        <v>399</v>
      </c>
      <c r="D816" s="92" t="s">
        <v>301</v>
      </c>
      <c r="E816" s="89" t="s">
        <v>297</v>
      </c>
      <c r="F816" s="90">
        <v>850</v>
      </c>
      <c r="G816" s="89"/>
      <c r="H816" s="89"/>
      <c r="I816" s="91">
        <v>0</v>
      </c>
      <c r="J816" s="91">
        <v>0</v>
      </c>
      <c r="K816" s="91">
        <v>100</v>
      </c>
      <c r="L816" s="91">
        <v>0</v>
      </c>
      <c r="M816" s="91" t="s">
        <v>2552</v>
      </c>
      <c r="N816" s="91" t="s">
        <v>2572</v>
      </c>
      <c r="O816" s="89"/>
      <c r="P816" s="6"/>
      <c r="Q816" s="6"/>
      <c r="R816" s="6"/>
      <c r="S816" s="6"/>
      <c r="T816" s="6"/>
      <c r="U816" s="6"/>
      <c r="V816" s="6"/>
      <c r="W816" s="6"/>
      <c r="X816" s="6"/>
      <c r="Y816" s="6"/>
      <c r="Z816" s="6"/>
    </row>
    <row r="817" spans="1:26" ht="51" customHeight="1" x14ac:dyDescent="0.2">
      <c r="A817" s="89" t="s">
        <v>2576</v>
      </c>
      <c r="B817" s="89" t="s">
        <v>2577</v>
      </c>
      <c r="C817" s="89" t="s">
        <v>1381</v>
      </c>
      <c r="D817" s="329" t="s">
        <v>2578</v>
      </c>
      <c r="E817" s="89"/>
      <c r="F817" s="90">
        <v>720</v>
      </c>
      <c r="G817" s="89"/>
      <c r="H817" s="89"/>
      <c r="I817" s="91">
        <v>100</v>
      </c>
      <c r="J817" s="91">
        <v>95.1</v>
      </c>
      <c r="K817" s="91">
        <v>0</v>
      </c>
      <c r="L817" s="91">
        <v>0</v>
      </c>
      <c r="M817" s="91" t="s">
        <v>2579</v>
      </c>
      <c r="N817" s="91"/>
      <c r="O817" s="89"/>
      <c r="P817" s="6"/>
      <c r="Q817" s="6"/>
      <c r="R817" s="6"/>
      <c r="S817" s="6"/>
      <c r="T817" s="6"/>
      <c r="U817" s="6"/>
      <c r="V817" s="6"/>
      <c r="W817" s="6"/>
      <c r="X817" s="6"/>
      <c r="Y817" s="6"/>
      <c r="Z817" s="6"/>
    </row>
    <row r="818" spans="1:26" ht="15.75" customHeight="1" x14ac:dyDescent="0.2">
      <c r="A818" s="89" t="s">
        <v>2580</v>
      </c>
      <c r="B818" s="89" t="s">
        <v>2577</v>
      </c>
      <c r="C818" s="89" t="s">
        <v>1381</v>
      </c>
      <c r="D818" s="92" t="s">
        <v>2581</v>
      </c>
      <c r="E818" s="89"/>
      <c r="F818" s="90">
        <v>163.15</v>
      </c>
      <c r="G818" s="89"/>
      <c r="H818" s="89"/>
      <c r="I818" s="91"/>
      <c r="J818" s="91"/>
      <c r="K818" s="91"/>
      <c r="L818" s="91"/>
      <c r="M818" s="91"/>
      <c r="N818" s="91"/>
      <c r="O818" s="89"/>
      <c r="P818" s="6"/>
      <c r="Q818" s="6"/>
      <c r="R818" s="6"/>
      <c r="S818" s="6"/>
      <c r="T818" s="6"/>
      <c r="U818" s="6"/>
      <c r="V818" s="6"/>
      <c r="W818" s="6"/>
      <c r="X818" s="6"/>
      <c r="Y818" s="6"/>
      <c r="Z818" s="6"/>
    </row>
    <row r="819" spans="1:26" ht="63.75" customHeight="1" x14ac:dyDescent="0.2">
      <c r="A819" s="89" t="s">
        <v>2582</v>
      </c>
      <c r="B819" s="89" t="s">
        <v>2583</v>
      </c>
      <c r="C819" s="89" t="s">
        <v>2584</v>
      </c>
      <c r="D819" s="89" t="s">
        <v>228</v>
      </c>
      <c r="E819" s="89"/>
      <c r="F819" s="90">
        <v>1859</v>
      </c>
      <c r="G819" s="89"/>
      <c r="H819" s="89"/>
      <c r="I819" s="91">
        <v>0</v>
      </c>
      <c r="J819" s="91">
        <v>0</v>
      </c>
      <c r="K819" s="91">
        <v>98</v>
      </c>
      <c r="L819" s="91">
        <v>0</v>
      </c>
      <c r="M819" s="94" t="s">
        <v>2585</v>
      </c>
      <c r="N819" s="94" t="s">
        <v>2586</v>
      </c>
      <c r="O819" s="89"/>
      <c r="P819" s="6"/>
      <c r="Q819" s="6"/>
      <c r="R819" s="6"/>
      <c r="S819" s="6"/>
      <c r="T819" s="6"/>
      <c r="U819" s="6"/>
      <c r="V819" s="6"/>
      <c r="W819" s="6"/>
      <c r="X819" s="6"/>
      <c r="Y819" s="6"/>
      <c r="Z819" s="6"/>
    </row>
    <row r="820" spans="1:26" ht="63.75" customHeight="1" x14ac:dyDescent="0.2">
      <c r="A820" s="97" t="s">
        <v>2587</v>
      </c>
      <c r="B820" s="97" t="s">
        <v>2588</v>
      </c>
      <c r="C820" s="97" t="s">
        <v>2589</v>
      </c>
      <c r="D820" s="98" t="s">
        <v>2590</v>
      </c>
      <c r="E820" s="97" t="s">
        <v>297</v>
      </c>
      <c r="F820" s="90">
        <v>32.82</v>
      </c>
      <c r="G820" s="97"/>
      <c r="H820" s="99" t="s">
        <v>2591</v>
      </c>
      <c r="I820" s="100">
        <v>0.35</v>
      </c>
      <c r="J820" s="84">
        <v>0</v>
      </c>
      <c r="K820" s="100">
        <v>99.15</v>
      </c>
      <c r="L820" s="100">
        <v>0</v>
      </c>
      <c r="M820" s="101" t="s">
        <v>1740</v>
      </c>
      <c r="N820" s="100" t="s">
        <v>2592</v>
      </c>
      <c r="O820" s="92" t="s">
        <v>2593</v>
      </c>
      <c r="P820" s="6"/>
      <c r="Q820" s="6"/>
      <c r="R820" s="6"/>
      <c r="S820" s="6"/>
      <c r="T820" s="6"/>
      <c r="U820" s="6"/>
      <c r="V820" s="6"/>
      <c r="W820" s="6"/>
      <c r="X820" s="6"/>
      <c r="Y820" s="6"/>
      <c r="Z820" s="6"/>
    </row>
    <row r="821" spans="1:26" ht="15.75" customHeight="1" x14ac:dyDescent="0.2">
      <c r="A821" s="97" t="s">
        <v>2594</v>
      </c>
      <c r="B821" s="97" t="s">
        <v>2595</v>
      </c>
      <c r="C821" s="97" t="s">
        <v>279</v>
      </c>
      <c r="D821" s="98" t="s">
        <v>301</v>
      </c>
      <c r="E821" s="97" t="s">
        <v>297</v>
      </c>
      <c r="F821" s="90">
        <v>1510</v>
      </c>
      <c r="G821" s="97"/>
      <c r="H821" s="97" t="s">
        <v>2596</v>
      </c>
      <c r="I821" s="100"/>
      <c r="J821" s="100"/>
      <c r="K821" s="100">
        <v>100</v>
      </c>
      <c r="L821" s="100"/>
      <c r="M821" s="101" t="s">
        <v>2597</v>
      </c>
      <c r="N821" s="100" t="s">
        <v>2572</v>
      </c>
      <c r="O821" s="99" t="s">
        <v>2598</v>
      </c>
      <c r="P821" s="6"/>
      <c r="Q821" s="6"/>
      <c r="R821" s="6"/>
      <c r="S821" s="6"/>
      <c r="T821" s="6"/>
      <c r="U821" s="6"/>
      <c r="V821" s="6"/>
      <c r="W821" s="6"/>
      <c r="X821" s="6"/>
      <c r="Y821" s="6"/>
      <c r="Z821" s="6"/>
    </row>
    <row r="822" spans="1:26" ht="15.75" customHeight="1" x14ac:dyDescent="0.2">
      <c r="A822" s="97" t="s">
        <v>2599</v>
      </c>
      <c r="B822" s="97" t="s">
        <v>304</v>
      </c>
      <c r="C822" s="97" t="s">
        <v>279</v>
      </c>
      <c r="D822" s="98" t="s">
        <v>296</v>
      </c>
      <c r="E822" s="97" t="s">
        <v>297</v>
      </c>
      <c r="F822" s="90">
        <v>1920</v>
      </c>
      <c r="G822" s="97"/>
      <c r="H822" s="97" t="s">
        <v>2596</v>
      </c>
      <c r="I822" s="100"/>
      <c r="J822" s="341"/>
      <c r="K822" s="100">
        <v>100</v>
      </c>
      <c r="L822" s="100"/>
      <c r="M822" s="101" t="s">
        <v>2597</v>
      </c>
      <c r="N822" s="100" t="s">
        <v>2600</v>
      </c>
      <c r="O822" s="92" t="s">
        <v>2601</v>
      </c>
      <c r="P822" s="6"/>
      <c r="Q822" s="6"/>
      <c r="R822" s="6"/>
      <c r="S822" s="6"/>
      <c r="T822" s="6"/>
      <c r="U822" s="6"/>
      <c r="V822" s="6"/>
      <c r="W822" s="6"/>
      <c r="X822" s="6"/>
      <c r="Y822" s="6"/>
      <c r="Z822" s="6"/>
    </row>
    <row r="823" spans="1:26" ht="15.75" customHeight="1" x14ac:dyDescent="0.2">
      <c r="A823" s="97" t="s">
        <v>2602</v>
      </c>
      <c r="B823" s="97" t="s">
        <v>2603</v>
      </c>
      <c r="C823" s="97" t="s">
        <v>102</v>
      </c>
      <c r="D823" s="98" t="s">
        <v>2604</v>
      </c>
      <c r="E823" s="98" t="s">
        <v>411</v>
      </c>
      <c r="F823" s="90">
        <v>43.88</v>
      </c>
      <c r="G823" s="97"/>
      <c r="H823" s="102" t="s">
        <v>2605</v>
      </c>
      <c r="I823" s="100">
        <v>0.18</v>
      </c>
      <c r="J823" s="100">
        <v>0</v>
      </c>
      <c r="K823" s="100">
        <v>99.35</v>
      </c>
      <c r="L823" s="100">
        <v>0</v>
      </c>
      <c r="M823" s="101" t="s">
        <v>2606</v>
      </c>
      <c r="N823" s="100" t="s">
        <v>2607</v>
      </c>
      <c r="O823" s="98" t="s">
        <v>2608</v>
      </c>
    </row>
    <row r="824" spans="1:26" ht="15.75" customHeight="1" x14ac:dyDescent="0.2">
      <c r="A824" s="103" t="s">
        <v>2609</v>
      </c>
      <c r="B824" s="103" t="s">
        <v>2610</v>
      </c>
      <c r="C824" s="103" t="s">
        <v>918</v>
      </c>
      <c r="D824" s="104" t="s">
        <v>2611</v>
      </c>
      <c r="E824" s="104" t="s">
        <v>297</v>
      </c>
      <c r="F824" s="90">
        <v>200</v>
      </c>
      <c r="G824" s="97"/>
      <c r="H824" s="102" t="s">
        <v>2612</v>
      </c>
      <c r="I824" s="100">
        <v>100</v>
      </c>
      <c r="J824" s="100">
        <v>0</v>
      </c>
      <c r="K824" s="100">
        <v>0</v>
      </c>
      <c r="L824" s="100">
        <v>0</v>
      </c>
      <c r="M824" s="100" t="s">
        <v>2613</v>
      </c>
      <c r="N824" s="100" t="s">
        <v>2614</v>
      </c>
      <c r="O824" s="104" t="s">
        <v>2615</v>
      </c>
      <c r="P824" s="95"/>
      <c r="Q824" s="95"/>
      <c r="R824" s="95"/>
      <c r="S824" s="95"/>
      <c r="T824" s="95"/>
      <c r="U824" s="95"/>
      <c r="V824" s="95"/>
      <c r="W824" s="95"/>
      <c r="X824" s="95"/>
      <c r="Y824" s="95"/>
      <c r="Z824" s="95"/>
    </row>
    <row r="825" spans="1:26" ht="15.75" customHeight="1" x14ac:dyDescent="0.2">
      <c r="A825" s="103" t="s">
        <v>2616</v>
      </c>
      <c r="B825" s="103" t="s">
        <v>240</v>
      </c>
      <c r="C825" s="103" t="s">
        <v>2617</v>
      </c>
      <c r="D825" s="104" t="s">
        <v>2618</v>
      </c>
      <c r="E825" s="104" t="s">
        <v>243</v>
      </c>
      <c r="F825" s="90">
        <v>90</v>
      </c>
      <c r="G825" s="97"/>
      <c r="H825" s="102" t="s">
        <v>2619</v>
      </c>
      <c r="I825" s="100">
        <v>65</v>
      </c>
      <c r="J825" s="100">
        <v>65</v>
      </c>
      <c r="K825" s="100">
        <v>35</v>
      </c>
      <c r="L825" s="100">
        <v>0</v>
      </c>
      <c r="M825" s="100" t="s">
        <v>2552</v>
      </c>
      <c r="N825" s="100" t="s">
        <v>2620</v>
      </c>
      <c r="O825" s="104" t="s">
        <v>2621</v>
      </c>
      <c r="P825" s="95"/>
      <c r="Q825" s="95"/>
      <c r="R825" s="95"/>
      <c r="S825" s="95"/>
      <c r="T825" s="95"/>
      <c r="U825" s="95"/>
      <c r="V825" s="95"/>
      <c r="W825" s="95"/>
      <c r="X825" s="95"/>
      <c r="Y825" s="95"/>
      <c r="Z825" s="95"/>
    </row>
    <row r="826" spans="1:26" ht="225" customHeight="1" x14ac:dyDescent="0.2">
      <c r="A826" s="103" t="s">
        <v>2622</v>
      </c>
      <c r="B826" s="103" t="s">
        <v>1692</v>
      </c>
      <c r="C826" s="103" t="s">
        <v>855</v>
      </c>
      <c r="D826" s="104" t="s">
        <v>2623</v>
      </c>
      <c r="E826" s="104" t="s">
        <v>2624</v>
      </c>
      <c r="F826" s="90">
        <v>0.41199999999999998</v>
      </c>
      <c r="G826" s="97"/>
      <c r="H826" s="102"/>
      <c r="I826" s="100">
        <v>0</v>
      </c>
      <c r="J826" s="100">
        <v>0</v>
      </c>
      <c r="K826" s="100">
        <v>0</v>
      </c>
      <c r="L826" s="100">
        <v>0</v>
      </c>
      <c r="M826" s="100" t="s">
        <v>1695</v>
      </c>
      <c r="N826" s="100"/>
      <c r="O826" s="104"/>
      <c r="P826" s="95"/>
      <c r="Q826" s="95"/>
      <c r="R826" s="95"/>
      <c r="S826" s="95"/>
      <c r="T826" s="95"/>
      <c r="U826" s="95"/>
      <c r="V826" s="95"/>
      <c r="W826" s="95"/>
      <c r="X826" s="95"/>
      <c r="Y826" s="95"/>
      <c r="Z826" s="95"/>
    </row>
    <row r="827" spans="1:26" ht="159" customHeight="1" x14ac:dyDescent="0.2">
      <c r="A827" s="89" t="s">
        <v>2625</v>
      </c>
      <c r="B827" s="89" t="s">
        <v>346</v>
      </c>
      <c r="C827" s="89" t="s">
        <v>347</v>
      </c>
      <c r="D827" s="89" t="s">
        <v>348</v>
      </c>
      <c r="E827" s="89" t="s">
        <v>29</v>
      </c>
      <c r="F827" s="90">
        <v>270</v>
      </c>
      <c r="G827" s="89"/>
      <c r="H827" s="92" t="s">
        <v>349</v>
      </c>
      <c r="I827" s="91">
        <v>0</v>
      </c>
      <c r="J827" s="91">
        <v>0</v>
      </c>
      <c r="K827" s="91">
        <v>100</v>
      </c>
      <c r="L827" s="91">
        <v>0</v>
      </c>
      <c r="M827" s="94" t="s">
        <v>2626</v>
      </c>
      <c r="N827" s="91" t="s">
        <v>350</v>
      </c>
      <c r="O827" s="105" t="s">
        <v>512</v>
      </c>
      <c r="P827" s="95"/>
      <c r="Q827" s="95"/>
      <c r="R827" s="95"/>
      <c r="S827" s="95"/>
      <c r="T827" s="95"/>
      <c r="U827" s="95"/>
      <c r="V827" s="95"/>
      <c r="W827" s="95"/>
      <c r="X827" s="95"/>
      <c r="Y827" s="95"/>
      <c r="Z827" s="95"/>
    </row>
    <row r="828" spans="1:26" ht="39.75" customHeight="1" x14ac:dyDescent="0.2">
      <c r="A828" s="89" t="s">
        <v>2627</v>
      </c>
      <c r="B828" s="89" t="s">
        <v>1747</v>
      </c>
      <c r="C828" s="89" t="s">
        <v>279</v>
      </c>
      <c r="D828" s="92" t="s">
        <v>2628</v>
      </c>
      <c r="E828" s="89" t="s">
        <v>411</v>
      </c>
      <c r="F828" s="90">
        <v>1430</v>
      </c>
      <c r="G828" s="89"/>
      <c r="H828" s="97" t="s">
        <v>2629</v>
      </c>
      <c r="I828" s="91"/>
      <c r="J828" s="91"/>
      <c r="K828" s="91"/>
      <c r="L828" s="91"/>
      <c r="M828" s="94" t="s">
        <v>2552</v>
      </c>
      <c r="N828" s="91"/>
      <c r="O828" s="89"/>
      <c r="P828" s="95"/>
      <c r="Q828" s="95"/>
      <c r="R828" s="95"/>
      <c r="S828" s="95"/>
      <c r="T828" s="95"/>
      <c r="U828" s="95"/>
      <c r="V828" s="95"/>
      <c r="W828" s="95"/>
      <c r="X828" s="95"/>
      <c r="Y828" s="95"/>
      <c r="Z828" s="95"/>
    </row>
    <row r="829" spans="1:26" ht="119" x14ac:dyDescent="0.2">
      <c r="A829" s="89" t="s">
        <v>2630</v>
      </c>
      <c r="B829" s="89" t="s">
        <v>1800</v>
      </c>
      <c r="C829" s="89" t="s">
        <v>896</v>
      </c>
      <c r="D829" s="92" t="s">
        <v>2631</v>
      </c>
      <c r="E829" s="89" t="s">
        <v>411</v>
      </c>
      <c r="F829" s="90">
        <v>68.2</v>
      </c>
      <c r="G829" s="89"/>
      <c r="H829" s="92" t="s">
        <v>2632</v>
      </c>
      <c r="I829" s="91">
        <v>92.67</v>
      </c>
      <c r="J829" s="91">
        <v>0</v>
      </c>
      <c r="K829" s="91">
        <v>0</v>
      </c>
      <c r="L829" s="91">
        <v>0</v>
      </c>
      <c r="M829" s="94" t="s">
        <v>2552</v>
      </c>
      <c r="N829" s="94" t="s">
        <v>1804</v>
      </c>
      <c r="O829" s="92" t="s">
        <v>4081</v>
      </c>
      <c r="P829" s="95"/>
      <c r="Q829" s="95"/>
      <c r="R829" s="95"/>
      <c r="S829" s="95"/>
      <c r="T829" s="95"/>
      <c r="U829" s="95"/>
      <c r="V829" s="95"/>
      <c r="W829" s="95"/>
      <c r="X829" s="95"/>
      <c r="Y829" s="95"/>
      <c r="Z829" s="95"/>
    </row>
    <row r="830" spans="1:26" ht="54.75" customHeight="1" x14ac:dyDescent="0.2">
      <c r="A830" s="89" t="s">
        <v>2638</v>
      </c>
      <c r="B830" s="89" t="s">
        <v>2639</v>
      </c>
      <c r="C830" s="89" t="s">
        <v>170</v>
      </c>
      <c r="D830" s="89" t="s">
        <v>2640</v>
      </c>
      <c r="E830" s="89"/>
      <c r="F830" s="90">
        <v>25.5</v>
      </c>
      <c r="G830" s="89"/>
      <c r="H830" s="89"/>
      <c r="I830" s="91">
        <v>100</v>
      </c>
      <c r="J830" s="91">
        <v>100</v>
      </c>
      <c r="K830" s="91">
        <v>0</v>
      </c>
      <c r="L830" s="91">
        <v>0</v>
      </c>
      <c r="M830" s="91" t="s">
        <v>2552</v>
      </c>
      <c r="N830" s="91"/>
      <c r="O830" s="97"/>
      <c r="P830" s="95"/>
      <c r="Q830" s="95"/>
      <c r="R830" s="95"/>
      <c r="S830" s="95"/>
      <c r="T830" s="95"/>
      <c r="U830" s="95"/>
      <c r="V830" s="95"/>
      <c r="W830" s="95"/>
      <c r="X830" s="95"/>
      <c r="Y830" s="95"/>
      <c r="Z830" s="95"/>
    </row>
    <row r="831" spans="1:26" ht="66.75" customHeight="1" x14ac:dyDescent="0.2">
      <c r="A831" s="89" t="s">
        <v>2641</v>
      </c>
      <c r="B831" s="89" t="s">
        <v>2642</v>
      </c>
      <c r="C831" s="89" t="s">
        <v>170</v>
      </c>
      <c r="D831" s="89" t="s">
        <v>2643</v>
      </c>
      <c r="E831" s="89"/>
      <c r="F831" s="90">
        <v>41.4</v>
      </c>
      <c r="G831" s="89"/>
      <c r="H831" s="89"/>
      <c r="I831" s="91">
        <v>100</v>
      </c>
      <c r="J831" s="91">
        <v>0</v>
      </c>
      <c r="K831" s="91">
        <v>0</v>
      </c>
      <c r="L831" s="91">
        <v>0</v>
      </c>
      <c r="M831" s="91" t="s">
        <v>2552</v>
      </c>
      <c r="N831" s="91"/>
      <c r="O831" s="97"/>
      <c r="P831" s="95"/>
      <c r="Q831" s="95"/>
      <c r="R831" s="95"/>
      <c r="S831" s="95"/>
      <c r="T831" s="95"/>
      <c r="U831" s="95"/>
      <c r="V831" s="95"/>
      <c r="W831" s="95"/>
      <c r="X831" s="95"/>
      <c r="Y831" s="95"/>
      <c r="Z831" s="95"/>
    </row>
    <row r="832" spans="1:26" ht="15.75" customHeight="1" x14ac:dyDescent="0.2">
      <c r="A832" s="89" t="s">
        <v>2644</v>
      </c>
      <c r="B832" s="89" t="s">
        <v>2645</v>
      </c>
      <c r="C832" s="89" t="s">
        <v>170</v>
      </c>
      <c r="D832" s="89" t="s">
        <v>2646</v>
      </c>
      <c r="E832" s="89"/>
      <c r="F832" s="90">
        <v>15.7</v>
      </c>
      <c r="G832" s="89"/>
      <c r="H832" s="89"/>
      <c r="I832" s="91">
        <v>100</v>
      </c>
      <c r="J832" s="91">
        <v>100</v>
      </c>
      <c r="K832" s="91">
        <v>0</v>
      </c>
      <c r="L832" s="91">
        <v>0</v>
      </c>
      <c r="M832" s="91" t="s">
        <v>2552</v>
      </c>
      <c r="N832" s="91"/>
      <c r="O832" s="97"/>
      <c r="P832" s="95"/>
      <c r="Q832" s="95"/>
      <c r="R832" s="95"/>
      <c r="S832" s="95"/>
      <c r="T832" s="95"/>
      <c r="U832" s="95"/>
      <c r="V832" s="95"/>
      <c r="W832" s="95"/>
      <c r="X832" s="95"/>
      <c r="Y832" s="95"/>
      <c r="Z832" s="95"/>
    </row>
    <row r="833" spans="1:26" ht="15.75" customHeight="1" x14ac:dyDescent="0.2">
      <c r="A833" s="89" t="s">
        <v>2647</v>
      </c>
      <c r="B833" s="89" t="s">
        <v>2648</v>
      </c>
      <c r="C833" s="89" t="s">
        <v>170</v>
      </c>
      <c r="D833" s="89" t="s">
        <v>2649</v>
      </c>
      <c r="E833" s="89"/>
      <c r="F833" s="90">
        <v>19</v>
      </c>
      <c r="G833" s="89"/>
      <c r="H833" s="89"/>
      <c r="I833" s="91">
        <v>100</v>
      </c>
      <c r="J833" s="91">
        <v>100</v>
      </c>
      <c r="K833" s="91">
        <v>0</v>
      </c>
      <c r="L833" s="91">
        <v>0</v>
      </c>
      <c r="M833" s="91" t="s">
        <v>2650</v>
      </c>
      <c r="N833" s="91" t="s">
        <v>2650</v>
      </c>
      <c r="O833" s="89"/>
      <c r="P833" s="95"/>
      <c r="Q833" s="95"/>
      <c r="R833" s="95"/>
      <c r="S833" s="95"/>
      <c r="T833" s="95"/>
      <c r="U833" s="95"/>
      <c r="V833" s="95"/>
      <c r="W833" s="95"/>
      <c r="X833" s="95"/>
      <c r="Y833" s="95"/>
      <c r="Z833" s="95"/>
    </row>
    <row r="834" spans="1:26" ht="15.75" customHeight="1" x14ac:dyDescent="0.2">
      <c r="A834" s="89" t="s">
        <v>2651</v>
      </c>
      <c r="B834" s="89" t="s">
        <v>2652</v>
      </c>
      <c r="C834" s="89" t="s">
        <v>170</v>
      </c>
      <c r="D834" s="89" t="s">
        <v>2653</v>
      </c>
      <c r="E834" s="89"/>
      <c r="F834" s="90">
        <v>24.8</v>
      </c>
      <c r="G834" s="89"/>
      <c r="H834" s="89"/>
      <c r="I834" s="91">
        <v>100</v>
      </c>
      <c r="J834" s="91">
        <v>100</v>
      </c>
      <c r="K834" s="91">
        <v>0</v>
      </c>
      <c r="L834" s="91">
        <v>0</v>
      </c>
      <c r="M834" s="91" t="s">
        <v>2552</v>
      </c>
      <c r="N834" s="91"/>
      <c r="O834" s="89"/>
      <c r="P834" s="95"/>
      <c r="Q834" s="95"/>
      <c r="R834" s="95"/>
      <c r="S834" s="95"/>
      <c r="T834" s="95"/>
      <c r="U834" s="95"/>
      <c r="V834" s="95"/>
      <c r="W834" s="95"/>
      <c r="X834" s="95"/>
      <c r="Y834" s="95"/>
      <c r="Z834" s="95"/>
    </row>
    <row r="835" spans="1:26" ht="15.75" customHeight="1" x14ac:dyDescent="0.2">
      <c r="A835" s="89" t="s">
        <v>2654</v>
      </c>
      <c r="B835" s="89" t="s">
        <v>2655</v>
      </c>
      <c r="C835" s="89" t="s">
        <v>170</v>
      </c>
      <c r="D835" s="89" t="s">
        <v>2656</v>
      </c>
      <c r="E835" s="89"/>
      <c r="F835" s="90">
        <v>15.7</v>
      </c>
      <c r="G835" s="89"/>
      <c r="H835" s="89"/>
      <c r="I835" s="91">
        <v>100</v>
      </c>
      <c r="J835" s="91">
        <v>0</v>
      </c>
      <c r="K835" s="91">
        <v>0</v>
      </c>
      <c r="L835" s="91">
        <v>0</v>
      </c>
      <c r="M835" s="91" t="s">
        <v>2552</v>
      </c>
      <c r="N835" s="91"/>
      <c r="O835" s="89"/>
      <c r="P835" s="95"/>
      <c r="Q835" s="95"/>
      <c r="R835" s="95"/>
      <c r="S835" s="95"/>
      <c r="T835" s="95"/>
      <c r="U835" s="95"/>
      <c r="V835" s="95"/>
      <c r="W835" s="95"/>
      <c r="X835" s="95"/>
      <c r="Y835" s="95"/>
      <c r="Z835" s="95"/>
    </row>
    <row r="836" spans="1:26" ht="15.75" customHeight="1" x14ac:dyDescent="0.2">
      <c r="A836" s="89" t="s">
        <v>2657</v>
      </c>
      <c r="B836" s="89" t="s">
        <v>2658</v>
      </c>
      <c r="C836" s="89" t="s">
        <v>170</v>
      </c>
      <c r="D836" s="89" t="s">
        <v>2659</v>
      </c>
      <c r="E836" s="89"/>
      <c r="F836" s="90">
        <v>14.67</v>
      </c>
      <c r="G836" s="89"/>
      <c r="H836" s="89"/>
      <c r="I836" s="91">
        <v>100</v>
      </c>
      <c r="J836" s="91">
        <v>0</v>
      </c>
      <c r="K836" s="91">
        <v>0</v>
      </c>
      <c r="L836" s="91">
        <v>0</v>
      </c>
      <c r="M836" s="91" t="s">
        <v>2552</v>
      </c>
      <c r="N836" s="91"/>
      <c r="O836" s="89"/>
      <c r="P836" s="106"/>
      <c r="Q836" s="106"/>
      <c r="R836" s="106"/>
      <c r="S836" s="106"/>
      <c r="T836" s="106"/>
      <c r="U836" s="106"/>
      <c r="V836" s="106"/>
      <c r="W836" s="106"/>
      <c r="X836" s="106"/>
      <c r="Y836" s="106"/>
      <c r="Z836" s="106"/>
    </row>
    <row r="837" spans="1:26" ht="15.75" customHeight="1" x14ac:dyDescent="0.2">
      <c r="A837" s="89" t="s">
        <v>2660</v>
      </c>
      <c r="B837" s="89" t="s">
        <v>2661</v>
      </c>
      <c r="C837" s="89" t="s">
        <v>2662</v>
      </c>
      <c r="D837" s="89" t="s">
        <v>2663</v>
      </c>
      <c r="E837" s="89"/>
      <c r="F837" s="90">
        <v>38.299999999999997</v>
      </c>
      <c r="G837" s="89"/>
      <c r="H837" s="89"/>
      <c r="I837" s="91">
        <v>100</v>
      </c>
      <c r="J837" s="91">
        <v>100</v>
      </c>
      <c r="K837" s="91">
        <v>0</v>
      </c>
      <c r="L837" s="91">
        <v>0</v>
      </c>
      <c r="M837" s="91" t="s">
        <v>2552</v>
      </c>
      <c r="N837" s="91"/>
      <c r="O837" s="89"/>
      <c r="P837" s="106"/>
      <c r="Q837" s="106"/>
      <c r="R837" s="106"/>
      <c r="S837" s="106"/>
      <c r="T837" s="106"/>
      <c r="U837" s="106"/>
      <c r="V837" s="106"/>
      <c r="W837" s="106"/>
      <c r="X837" s="106"/>
      <c r="Y837" s="106"/>
      <c r="Z837" s="106"/>
    </row>
    <row r="838" spans="1:26" ht="15.75" customHeight="1" x14ac:dyDescent="0.2">
      <c r="A838" s="89" t="s">
        <v>2664</v>
      </c>
      <c r="B838" s="89" t="s">
        <v>2665</v>
      </c>
      <c r="C838" s="89" t="s">
        <v>170</v>
      </c>
      <c r="D838" s="92" t="s">
        <v>2666</v>
      </c>
      <c r="E838" s="89"/>
      <c r="F838" s="90">
        <v>184.4</v>
      </c>
      <c r="G838" s="89"/>
      <c r="H838" s="89"/>
      <c r="I838" s="91">
        <v>100</v>
      </c>
      <c r="J838" s="91">
        <v>0</v>
      </c>
      <c r="K838" s="91">
        <v>0</v>
      </c>
      <c r="L838" s="91">
        <v>0</v>
      </c>
      <c r="M838" s="91"/>
      <c r="N838" s="91"/>
      <c r="O838" s="89"/>
      <c r="P838" s="95"/>
      <c r="Q838" s="95"/>
      <c r="R838" s="95"/>
      <c r="S838" s="95"/>
      <c r="T838" s="95"/>
      <c r="U838" s="95"/>
      <c r="V838" s="95"/>
      <c r="W838" s="95"/>
      <c r="X838" s="95"/>
      <c r="Y838" s="95"/>
      <c r="Z838" s="95"/>
    </row>
    <row r="839" spans="1:26" ht="15.75" customHeight="1" x14ac:dyDescent="0.2">
      <c r="A839" s="89" t="s">
        <v>2633</v>
      </c>
      <c r="B839" s="89" t="s">
        <v>2634</v>
      </c>
      <c r="C839" s="89" t="s">
        <v>1087</v>
      </c>
      <c r="D839" s="89" t="s">
        <v>2635</v>
      </c>
      <c r="E839" s="89"/>
      <c r="F839" s="90">
        <v>12.14</v>
      </c>
      <c r="G839" s="89"/>
      <c r="H839" s="89"/>
      <c r="I839" s="91">
        <v>100</v>
      </c>
      <c r="J839" s="91">
        <v>100</v>
      </c>
      <c r="K839" s="91">
        <v>0</v>
      </c>
      <c r="L839" s="91">
        <v>0</v>
      </c>
      <c r="M839" s="91" t="s">
        <v>2636</v>
      </c>
      <c r="N839" s="91" t="s">
        <v>2637</v>
      </c>
      <c r="O839" s="89" t="s">
        <v>512</v>
      </c>
      <c r="P839" s="95"/>
      <c r="Q839" s="95"/>
      <c r="R839" s="95"/>
      <c r="S839" s="95"/>
      <c r="T839" s="95"/>
      <c r="U839" s="95"/>
      <c r="V839" s="95"/>
      <c r="W839" s="95"/>
      <c r="X839" s="95"/>
      <c r="Y839" s="95"/>
      <c r="Z839" s="95"/>
    </row>
    <row r="840" spans="1:26" ht="15.75" customHeight="1" x14ac:dyDescent="0.2">
      <c r="A840" s="97" t="s">
        <v>2670</v>
      </c>
      <c r="B840" s="97" t="s">
        <v>2671</v>
      </c>
      <c r="C840" s="97" t="s">
        <v>170</v>
      </c>
      <c r="D840" s="98" t="s">
        <v>2672</v>
      </c>
      <c r="E840" s="97"/>
      <c r="F840" s="90">
        <v>46.9</v>
      </c>
      <c r="G840" s="97"/>
      <c r="H840" s="97"/>
      <c r="I840" s="91">
        <v>100</v>
      </c>
      <c r="J840" s="91">
        <v>100</v>
      </c>
      <c r="K840" s="91">
        <v>0</v>
      </c>
      <c r="L840" s="91">
        <v>0</v>
      </c>
      <c r="M840" s="101" t="s">
        <v>577</v>
      </c>
      <c r="N840" s="100" t="s">
        <v>512</v>
      </c>
      <c r="O840" s="89"/>
      <c r="P840" s="95"/>
      <c r="Q840" s="95"/>
      <c r="R840" s="95"/>
      <c r="S840" s="95"/>
      <c r="T840" s="95"/>
      <c r="U840" s="95"/>
      <c r="V840" s="95"/>
      <c r="W840" s="95"/>
      <c r="X840" s="95"/>
      <c r="Y840" s="95"/>
      <c r="Z840" s="95"/>
    </row>
    <row r="841" spans="1:26" ht="15.75" customHeight="1" x14ac:dyDescent="0.2">
      <c r="A841" s="97" t="s">
        <v>2673</v>
      </c>
      <c r="B841" s="97" t="s">
        <v>2674</v>
      </c>
      <c r="C841" s="97" t="s">
        <v>855</v>
      </c>
      <c r="D841" s="98" t="s">
        <v>2675</v>
      </c>
      <c r="E841" s="97" t="s">
        <v>2676</v>
      </c>
      <c r="F841" s="90"/>
      <c r="G841" s="97"/>
      <c r="H841" s="97"/>
      <c r="I841" s="100"/>
      <c r="J841" s="100"/>
      <c r="K841" s="100"/>
      <c r="L841" s="100"/>
      <c r="M841" s="101" t="s">
        <v>2677</v>
      </c>
      <c r="N841" s="107" t="s">
        <v>2678</v>
      </c>
      <c r="O841" s="89"/>
      <c r="P841" s="95"/>
      <c r="Q841" s="95"/>
      <c r="R841" s="95"/>
      <c r="S841" s="95"/>
      <c r="T841" s="95"/>
      <c r="U841" s="95"/>
      <c r="V841" s="95"/>
      <c r="W841" s="95"/>
      <c r="X841" s="95"/>
      <c r="Y841" s="95"/>
      <c r="Z841" s="95"/>
    </row>
    <row r="842" spans="1:26" ht="15.75" customHeight="1" x14ac:dyDescent="0.2">
      <c r="A842" s="89" t="s">
        <v>2667</v>
      </c>
      <c r="B842" s="89" t="s">
        <v>2668</v>
      </c>
      <c r="C842" s="89" t="s">
        <v>1087</v>
      </c>
      <c r="D842" s="89" t="s">
        <v>2669</v>
      </c>
      <c r="E842" s="89"/>
      <c r="F842" s="90">
        <v>51.47</v>
      </c>
      <c r="G842" s="89"/>
      <c r="H842" s="89"/>
      <c r="I842" s="91">
        <v>100</v>
      </c>
      <c r="J842" s="91">
        <v>100</v>
      </c>
      <c r="K842" s="91">
        <v>0</v>
      </c>
      <c r="L842" s="91">
        <v>0</v>
      </c>
      <c r="M842" s="91" t="s">
        <v>2636</v>
      </c>
      <c r="N842" s="91"/>
      <c r="O842" s="89"/>
      <c r="P842" s="95"/>
      <c r="Q842" s="95"/>
      <c r="R842" s="95"/>
      <c r="S842" s="95"/>
      <c r="T842" s="95"/>
      <c r="U842" s="95"/>
      <c r="V842" s="95"/>
      <c r="W842" s="95"/>
      <c r="X842" s="95"/>
      <c r="Y842" s="95"/>
      <c r="Z842" s="95"/>
    </row>
    <row r="843" spans="1:26" ht="15.75" customHeight="1" x14ac:dyDescent="0.2">
      <c r="A843" s="89" t="s">
        <v>2679</v>
      </c>
      <c r="B843" s="89" t="s">
        <v>2680</v>
      </c>
      <c r="C843" s="89" t="s">
        <v>864</v>
      </c>
      <c r="D843" s="89"/>
      <c r="E843" s="89"/>
      <c r="F843" s="90">
        <v>16</v>
      </c>
      <c r="G843" s="89"/>
      <c r="H843" s="89"/>
      <c r="I843" s="91">
        <v>100</v>
      </c>
      <c r="J843" s="91">
        <v>100</v>
      </c>
      <c r="K843" s="91">
        <v>0</v>
      </c>
      <c r="L843" s="91">
        <v>0</v>
      </c>
      <c r="M843" s="91" t="s">
        <v>2636</v>
      </c>
      <c r="N843" s="91"/>
      <c r="O843" s="89"/>
      <c r="P843" s="95"/>
      <c r="Q843" s="95"/>
      <c r="R843" s="95"/>
      <c r="S843" s="95"/>
      <c r="T843" s="95"/>
      <c r="U843" s="95"/>
      <c r="V843" s="95"/>
      <c r="W843" s="95"/>
      <c r="X843" s="95"/>
      <c r="Y843" s="95"/>
      <c r="Z843" s="95"/>
    </row>
    <row r="844" spans="1:26" ht="15.75" customHeight="1" x14ac:dyDescent="0.2">
      <c r="A844" s="89" t="s">
        <v>2681</v>
      </c>
      <c r="B844" s="89" t="s">
        <v>2682</v>
      </c>
      <c r="C844" s="89" t="s">
        <v>873</v>
      </c>
      <c r="D844" s="89" t="s">
        <v>2683</v>
      </c>
      <c r="E844" s="89" t="s">
        <v>882</v>
      </c>
      <c r="F844" s="90">
        <v>17</v>
      </c>
      <c r="G844" s="89"/>
      <c r="H844" s="89" t="s">
        <v>2684</v>
      </c>
      <c r="I844" s="91">
        <v>100</v>
      </c>
      <c r="J844" s="91">
        <v>100</v>
      </c>
      <c r="K844" s="91">
        <v>0</v>
      </c>
      <c r="L844" s="91">
        <v>0</v>
      </c>
      <c r="M844" s="91" t="s">
        <v>2636</v>
      </c>
      <c r="N844" s="91" t="s">
        <v>2685</v>
      </c>
      <c r="O844" s="89"/>
      <c r="P844" s="95"/>
      <c r="Q844" s="95"/>
      <c r="R844" s="95"/>
      <c r="S844" s="95"/>
      <c r="T844" s="95"/>
      <c r="U844" s="95"/>
      <c r="V844" s="95"/>
      <c r="W844" s="95"/>
      <c r="X844" s="95"/>
      <c r="Y844" s="95"/>
      <c r="Z844" s="95"/>
    </row>
    <row r="845" spans="1:26" ht="15.75" customHeight="1" x14ac:dyDescent="0.2">
      <c r="A845" s="89" t="s">
        <v>2686</v>
      </c>
      <c r="B845" s="89" t="s">
        <v>2687</v>
      </c>
      <c r="C845" s="89" t="s">
        <v>864</v>
      </c>
      <c r="D845" s="89" t="s">
        <v>2688</v>
      </c>
      <c r="E845" s="89" t="s">
        <v>882</v>
      </c>
      <c r="F845" s="90">
        <v>18.46</v>
      </c>
      <c r="G845" s="89"/>
      <c r="H845" s="89"/>
      <c r="I845" s="91">
        <v>100</v>
      </c>
      <c r="J845" s="91">
        <v>100</v>
      </c>
      <c r="K845" s="91">
        <v>0</v>
      </c>
      <c r="L845" s="91">
        <v>0</v>
      </c>
      <c r="M845" s="91" t="s">
        <v>2636</v>
      </c>
      <c r="N845" s="91" t="s">
        <v>2689</v>
      </c>
      <c r="O845" s="97"/>
      <c r="P845" s="95"/>
      <c r="Q845" s="95"/>
      <c r="R845" s="95"/>
      <c r="S845" s="95"/>
      <c r="T845" s="95"/>
      <c r="U845" s="95"/>
      <c r="V845" s="95"/>
      <c r="W845" s="95"/>
      <c r="X845" s="95"/>
      <c r="Y845" s="95"/>
      <c r="Z845" s="95"/>
    </row>
    <row r="846" spans="1:26" ht="15.75" customHeight="1" x14ac:dyDescent="0.2">
      <c r="A846" s="89" t="s">
        <v>2690</v>
      </c>
      <c r="B846" s="89" t="s">
        <v>2691</v>
      </c>
      <c r="C846" s="89" t="s">
        <v>864</v>
      </c>
      <c r="D846" s="89" t="s">
        <v>2692</v>
      </c>
      <c r="E846" s="89" t="s">
        <v>882</v>
      </c>
      <c r="F846" s="90">
        <v>7.38</v>
      </c>
      <c r="G846" s="89"/>
      <c r="H846" s="89"/>
      <c r="I846" s="91">
        <v>100</v>
      </c>
      <c r="J846" s="91">
        <v>100</v>
      </c>
      <c r="K846" s="91">
        <v>0</v>
      </c>
      <c r="L846" s="91">
        <v>0</v>
      </c>
      <c r="M846" s="91" t="s">
        <v>2636</v>
      </c>
      <c r="N846" s="91" t="s">
        <v>2693</v>
      </c>
      <c r="O846" s="97"/>
      <c r="P846" s="95"/>
      <c r="Q846" s="95"/>
      <c r="R846" s="95"/>
      <c r="S846" s="95"/>
      <c r="T846" s="95"/>
      <c r="U846" s="95"/>
      <c r="V846" s="95"/>
      <c r="W846" s="95"/>
      <c r="X846" s="95"/>
      <c r="Y846" s="95"/>
      <c r="Z846" s="95"/>
    </row>
    <row r="847" spans="1:26" ht="15.75" customHeight="1" x14ac:dyDescent="0.2">
      <c r="A847" s="89" t="s">
        <v>2694</v>
      </c>
      <c r="B847" s="89" t="s">
        <v>2695</v>
      </c>
      <c r="C847" s="89" t="s">
        <v>864</v>
      </c>
      <c r="D847" s="89" t="s">
        <v>4041</v>
      </c>
      <c r="E847" s="89"/>
      <c r="F847" s="90">
        <v>3.32</v>
      </c>
      <c r="G847" s="89"/>
      <c r="H847" s="89"/>
      <c r="I847" s="91">
        <v>100</v>
      </c>
      <c r="J847" s="91">
        <v>100</v>
      </c>
      <c r="K847" s="91">
        <v>0</v>
      </c>
      <c r="L847" s="91">
        <v>0</v>
      </c>
      <c r="M847" s="91" t="s">
        <v>2636</v>
      </c>
      <c r="N847" s="91"/>
      <c r="O847" s="89"/>
      <c r="P847" s="95"/>
      <c r="Q847" s="95"/>
      <c r="R847" s="95"/>
      <c r="S847" s="95"/>
      <c r="T847" s="95"/>
      <c r="U847" s="95"/>
      <c r="V847" s="95"/>
      <c r="W847" s="95"/>
      <c r="X847" s="95"/>
      <c r="Y847" s="95"/>
      <c r="Z847" s="95"/>
    </row>
    <row r="848" spans="1:26" ht="15.75" customHeight="1" x14ac:dyDescent="0.2">
      <c r="A848" s="89" t="s">
        <v>2696</v>
      </c>
      <c r="B848" s="89" t="s">
        <v>2697</v>
      </c>
      <c r="C848" s="89" t="s">
        <v>1698</v>
      </c>
      <c r="D848" s="89" t="s">
        <v>1269</v>
      </c>
      <c r="E848" s="89"/>
      <c r="F848" s="90">
        <v>51.5</v>
      </c>
      <c r="G848" s="89"/>
      <c r="H848" s="89"/>
      <c r="I848" s="91">
        <v>100</v>
      </c>
      <c r="J848" s="91">
        <v>0</v>
      </c>
      <c r="K848" s="91">
        <v>0</v>
      </c>
      <c r="L848" s="91">
        <v>0</v>
      </c>
      <c r="M848" s="91" t="s">
        <v>2636</v>
      </c>
      <c r="N848" s="122" t="s">
        <v>2698</v>
      </c>
      <c r="O848" s="89"/>
      <c r="P848" s="95"/>
      <c r="Q848" s="95"/>
      <c r="R848" s="95"/>
      <c r="S848" s="95"/>
      <c r="T848" s="95"/>
      <c r="U848" s="95"/>
      <c r="V848" s="95"/>
      <c r="W848" s="95"/>
      <c r="X848" s="95"/>
      <c r="Y848" s="95"/>
      <c r="Z848" s="95"/>
    </row>
    <row r="849" spans="1:26" ht="15.75" customHeight="1" x14ac:dyDescent="0.2">
      <c r="A849" s="89" t="s">
        <v>2699</v>
      </c>
      <c r="B849" s="89" t="s">
        <v>2700</v>
      </c>
      <c r="C849" s="89" t="s">
        <v>828</v>
      </c>
      <c r="D849" s="89"/>
      <c r="E849" s="89"/>
      <c r="F849" s="90">
        <v>17.61</v>
      </c>
      <c r="G849" s="89"/>
      <c r="H849" s="89"/>
      <c r="I849" s="91">
        <v>100</v>
      </c>
      <c r="J849" s="91">
        <v>0</v>
      </c>
      <c r="K849" s="91">
        <v>0</v>
      </c>
      <c r="L849" s="91">
        <v>0</v>
      </c>
      <c r="M849" s="91"/>
      <c r="N849" s="91"/>
      <c r="O849" s="89"/>
      <c r="P849" s="95"/>
      <c r="Q849" s="95"/>
      <c r="R849" s="95"/>
      <c r="S849" s="95"/>
      <c r="T849" s="95"/>
      <c r="U849" s="95"/>
      <c r="V849" s="95"/>
      <c r="W849" s="95"/>
      <c r="X849" s="95"/>
      <c r="Y849" s="95"/>
      <c r="Z849" s="95"/>
    </row>
    <row r="850" spans="1:26" ht="15.75" customHeight="1" x14ac:dyDescent="0.2">
      <c r="A850" s="89" t="s">
        <v>2701</v>
      </c>
      <c r="B850" s="89" t="s">
        <v>2702</v>
      </c>
      <c r="C850" s="89" t="s">
        <v>308</v>
      </c>
      <c r="D850" s="89" t="s">
        <v>4042</v>
      </c>
      <c r="E850" s="89"/>
      <c r="F850" s="90">
        <v>32</v>
      </c>
      <c r="G850" s="89"/>
      <c r="H850" s="89"/>
      <c r="I850" s="91">
        <v>100</v>
      </c>
      <c r="J850" s="91">
        <v>0</v>
      </c>
      <c r="K850" s="91">
        <v>0</v>
      </c>
      <c r="L850" s="91">
        <v>0</v>
      </c>
      <c r="M850" s="91" t="s">
        <v>2636</v>
      </c>
      <c r="N850" s="342"/>
      <c r="O850" s="89"/>
      <c r="P850" s="95"/>
      <c r="Q850" s="95"/>
      <c r="R850" s="95"/>
      <c r="S850" s="95"/>
      <c r="T850" s="95"/>
      <c r="U850" s="95"/>
      <c r="V850" s="95"/>
      <c r="W850" s="95"/>
      <c r="X850" s="95"/>
      <c r="Y850" s="95"/>
      <c r="Z850" s="95"/>
    </row>
    <row r="851" spans="1:26" ht="15.75" customHeight="1" x14ac:dyDescent="0.2">
      <c r="A851" s="89" t="s">
        <v>2703</v>
      </c>
      <c r="B851" s="89" t="s">
        <v>2704</v>
      </c>
      <c r="C851" s="89" t="s">
        <v>2705</v>
      </c>
      <c r="D851" s="89" t="s">
        <v>2706</v>
      </c>
      <c r="E851" s="89" t="s">
        <v>882</v>
      </c>
      <c r="F851" s="90">
        <v>47</v>
      </c>
      <c r="G851" s="89"/>
      <c r="H851" s="89"/>
      <c r="I851" s="91">
        <v>100</v>
      </c>
      <c r="J851" s="91">
        <v>100</v>
      </c>
      <c r="K851" s="91">
        <v>0</v>
      </c>
      <c r="L851" s="91">
        <v>0</v>
      </c>
      <c r="M851" s="91" t="s">
        <v>2636</v>
      </c>
      <c r="N851" s="91" t="s">
        <v>2707</v>
      </c>
      <c r="O851" s="92" t="s">
        <v>2708</v>
      </c>
      <c r="P851" s="95"/>
      <c r="Q851" s="95"/>
      <c r="R851" s="95"/>
      <c r="S851" s="95"/>
      <c r="T851" s="95"/>
      <c r="U851" s="95"/>
      <c r="V851" s="95"/>
      <c r="W851" s="95"/>
      <c r="X851" s="95"/>
      <c r="Y851" s="95"/>
      <c r="Z851" s="95"/>
    </row>
    <row r="852" spans="1:26" ht="15.75" customHeight="1" x14ac:dyDescent="0.2">
      <c r="A852" s="89" t="s">
        <v>2709</v>
      </c>
      <c r="B852" s="89" t="s">
        <v>2710</v>
      </c>
      <c r="C852" s="89" t="s">
        <v>873</v>
      </c>
      <c r="D852" s="89" t="s">
        <v>2711</v>
      </c>
      <c r="E852" s="89" t="s">
        <v>882</v>
      </c>
      <c r="F852" s="90">
        <v>49.45</v>
      </c>
      <c r="G852" s="89"/>
      <c r="H852" s="89"/>
      <c r="I852" s="91">
        <v>100</v>
      </c>
      <c r="J852" s="91">
        <v>100</v>
      </c>
      <c r="K852" s="91">
        <v>0</v>
      </c>
      <c r="L852" s="91">
        <v>0</v>
      </c>
      <c r="M852" s="91" t="s">
        <v>2613</v>
      </c>
      <c r="N852" s="91" t="s">
        <v>2712</v>
      </c>
      <c r="O852" s="89"/>
      <c r="P852" s="106"/>
      <c r="Q852" s="106"/>
      <c r="R852" s="106"/>
      <c r="S852" s="106"/>
      <c r="T852" s="106"/>
      <c r="U852" s="106"/>
      <c r="V852" s="106"/>
      <c r="W852" s="106"/>
      <c r="X852" s="106"/>
      <c r="Y852" s="106"/>
      <c r="Z852" s="106"/>
    </row>
    <row r="853" spans="1:26" ht="15.75" customHeight="1" x14ac:dyDescent="0.2">
      <c r="A853" s="81" t="s">
        <v>2713</v>
      </c>
      <c r="B853" s="81" t="s">
        <v>990</v>
      </c>
      <c r="C853" s="81" t="s">
        <v>158</v>
      </c>
      <c r="D853" s="108" t="s">
        <v>2714</v>
      </c>
      <c r="E853" s="81" t="s">
        <v>882</v>
      </c>
      <c r="F853" s="90">
        <v>170</v>
      </c>
      <c r="G853" s="81"/>
      <c r="H853" s="81"/>
      <c r="I853" s="84">
        <v>100</v>
      </c>
      <c r="J853" s="84">
        <v>0</v>
      </c>
      <c r="K853" s="84">
        <v>0</v>
      </c>
      <c r="L853" s="84">
        <v>0</v>
      </c>
      <c r="M853" s="109" t="s">
        <v>2715</v>
      </c>
      <c r="N853" s="84" t="s">
        <v>2716</v>
      </c>
      <c r="O853" s="105" t="s">
        <v>512</v>
      </c>
      <c r="P853" s="106"/>
      <c r="Q853" s="106"/>
      <c r="R853" s="106"/>
      <c r="S853" s="106"/>
      <c r="T853" s="106"/>
      <c r="U853" s="106"/>
      <c r="V853" s="106"/>
      <c r="W853" s="106"/>
      <c r="X853" s="106"/>
      <c r="Y853" s="106"/>
      <c r="Z853" s="106"/>
    </row>
    <row r="854" spans="1:26" ht="15.75" customHeight="1" x14ac:dyDescent="0.2">
      <c r="A854" s="35" t="s">
        <v>2717</v>
      </c>
      <c r="B854" s="35" t="s">
        <v>2718</v>
      </c>
      <c r="C854" s="35" t="s">
        <v>864</v>
      </c>
      <c r="D854" s="35" t="s">
        <v>2719</v>
      </c>
      <c r="E854" s="35"/>
      <c r="F854" s="90">
        <v>10.43</v>
      </c>
      <c r="G854" s="35"/>
      <c r="H854" s="39" t="s">
        <v>2720</v>
      </c>
      <c r="I854" s="37">
        <v>100</v>
      </c>
      <c r="J854" s="37">
        <v>100</v>
      </c>
      <c r="K854" s="37">
        <v>0</v>
      </c>
      <c r="L854" s="37">
        <v>0</v>
      </c>
      <c r="M854" s="37" t="s">
        <v>2721</v>
      </c>
      <c r="N854" s="37" t="s">
        <v>2722</v>
      </c>
      <c r="O854" s="92" t="s">
        <v>2723</v>
      </c>
      <c r="P854" s="95"/>
      <c r="Q854" s="95"/>
      <c r="R854" s="95"/>
      <c r="S854" s="95"/>
      <c r="T854" s="95"/>
      <c r="U854" s="95"/>
      <c r="V854" s="95"/>
      <c r="W854" s="95"/>
      <c r="X854" s="95"/>
      <c r="Y854" s="95"/>
      <c r="Z854" s="95"/>
    </row>
    <row r="855" spans="1:26" ht="15.75" customHeight="1" x14ac:dyDescent="0.2">
      <c r="A855" s="97" t="s">
        <v>2724</v>
      </c>
      <c r="B855" s="97" t="s">
        <v>2725</v>
      </c>
      <c r="C855" s="97" t="s">
        <v>855</v>
      </c>
      <c r="D855" s="98" t="s">
        <v>2726</v>
      </c>
      <c r="E855" s="97" t="s">
        <v>2727</v>
      </c>
      <c r="F855" s="90">
        <v>13.1</v>
      </c>
      <c r="G855" s="97"/>
      <c r="H855" s="97"/>
      <c r="I855" s="100">
        <v>100</v>
      </c>
      <c r="J855" s="100">
        <v>100</v>
      </c>
      <c r="K855" s="100">
        <v>0</v>
      </c>
      <c r="L855" s="100">
        <v>0</v>
      </c>
      <c r="M855" s="101" t="s">
        <v>2728</v>
      </c>
      <c r="N855" s="101" t="s">
        <v>2729</v>
      </c>
      <c r="O855" s="89"/>
      <c r="P855" s="95"/>
      <c r="Q855" s="95"/>
      <c r="R855" s="95"/>
      <c r="S855" s="95"/>
      <c r="T855" s="95"/>
      <c r="U855" s="95"/>
      <c r="V855" s="95"/>
      <c r="W855" s="95"/>
      <c r="X855" s="95"/>
      <c r="Y855" s="95"/>
      <c r="Z855" s="95"/>
    </row>
    <row r="856" spans="1:26" ht="15.75" customHeight="1" x14ac:dyDescent="0.2">
      <c r="A856" s="97" t="s">
        <v>2730</v>
      </c>
      <c r="B856" s="97" t="s">
        <v>2731</v>
      </c>
      <c r="C856" s="97" t="s">
        <v>828</v>
      </c>
      <c r="D856" s="97" t="s">
        <v>2732</v>
      </c>
      <c r="E856" s="97" t="s">
        <v>1099</v>
      </c>
      <c r="F856" s="90">
        <v>40.53</v>
      </c>
      <c r="G856" s="97"/>
      <c r="H856" s="103" t="s">
        <v>2733</v>
      </c>
      <c r="I856" s="100">
        <v>100</v>
      </c>
      <c r="J856" s="100">
        <v>0</v>
      </c>
      <c r="K856" s="100">
        <v>0</v>
      </c>
      <c r="L856" s="100">
        <v>0</v>
      </c>
      <c r="M856" s="101" t="s">
        <v>2734</v>
      </c>
      <c r="N856" s="100" t="s">
        <v>2735</v>
      </c>
      <c r="O856" s="89" t="s">
        <v>2736</v>
      </c>
      <c r="P856" s="95"/>
      <c r="Q856" s="95"/>
      <c r="R856" s="95"/>
      <c r="S856" s="95"/>
      <c r="T856" s="95"/>
      <c r="U856" s="95"/>
      <c r="V856" s="95"/>
      <c r="W856" s="95"/>
      <c r="X856" s="95"/>
      <c r="Y856" s="95"/>
      <c r="Z856" s="95"/>
    </row>
    <row r="857" spans="1:26" ht="15.75" customHeight="1" x14ac:dyDescent="0.2">
      <c r="A857" s="89" t="s">
        <v>2737</v>
      </c>
      <c r="B857" s="89" t="s">
        <v>2738</v>
      </c>
      <c r="C857" s="89" t="s">
        <v>2335</v>
      </c>
      <c r="D857" s="89" t="s">
        <v>2739</v>
      </c>
      <c r="E857" s="89" t="s">
        <v>1099</v>
      </c>
      <c r="F857" s="90">
        <v>28.9</v>
      </c>
      <c r="G857" s="89"/>
      <c r="H857" s="96" t="s">
        <v>2740</v>
      </c>
      <c r="I857" s="91">
        <v>100</v>
      </c>
      <c r="J857" s="91">
        <v>0</v>
      </c>
      <c r="K857" s="91">
        <v>0</v>
      </c>
      <c r="L857" s="91">
        <v>0</v>
      </c>
      <c r="M857" s="94" t="s">
        <v>2741</v>
      </c>
      <c r="N857" s="91" t="s">
        <v>2742</v>
      </c>
      <c r="O857" s="89" t="s">
        <v>2736</v>
      </c>
      <c r="P857" s="95"/>
      <c r="Q857" s="95"/>
      <c r="R857" s="95"/>
      <c r="S857" s="95"/>
      <c r="T857" s="95"/>
      <c r="U857" s="95"/>
      <c r="V857" s="95"/>
      <c r="W857" s="95"/>
      <c r="X857" s="95"/>
      <c r="Y857" s="95"/>
      <c r="Z857" s="95"/>
    </row>
    <row r="858" spans="1:26" ht="15.75" customHeight="1" x14ac:dyDescent="0.2">
      <c r="A858" s="81" t="s">
        <v>2743</v>
      </c>
      <c r="B858" s="81" t="s">
        <v>2744</v>
      </c>
      <c r="C858" s="81" t="s">
        <v>1087</v>
      </c>
      <c r="D858" s="108" t="s">
        <v>2745</v>
      </c>
      <c r="E858" s="81" t="s">
        <v>1099</v>
      </c>
      <c r="F858" s="90">
        <v>41.74</v>
      </c>
      <c r="G858" s="81"/>
      <c r="H858" s="93" t="s">
        <v>2746</v>
      </c>
      <c r="I858" s="84">
        <v>0</v>
      </c>
      <c r="J858" s="84">
        <v>0</v>
      </c>
      <c r="K858" s="84">
        <v>100</v>
      </c>
      <c r="L858" s="84">
        <v>0</v>
      </c>
      <c r="M858" s="109" t="s">
        <v>2747</v>
      </c>
      <c r="N858" s="84" t="s">
        <v>2748</v>
      </c>
      <c r="O858" s="93" t="s">
        <v>2749</v>
      </c>
      <c r="P858" s="95"/>
      <c r="Q858" s="95"/>
      <c r="R858" s="95"/>
      <c r="S858" s="95"/>
      <c r="T858" s="95"/>
      <c r="U858" s="95"/>
      <c r="V858" s="95"/>
      <c r="W858" s="95"/>
      <c r="X858" s="95"/>
      <c r="Y858" s="95"/>
      <c r="Z858" s="95"/>
    </row>
    <row r="859" spans="1:26" ht="15.75" customHeight="1" x14ac:dyDescent="0.2">
      <c r="A859" s="110" t="s">
        <v>2750</v>
      </c>
      <c r="B859" s="111" t="s">
        <v>1136</v>
      </c>
      <c r="C859" s="97" t="s">
        <v>597</v>
      </c>
      <c r="D859" s="97" t="s">
        <v>1137</v>
      </c>
      <c r="E859" s="110" t="s">
        <v>1128</v>
      </c>
      <c r="F859" s="90">
        <v>195</v>
      </c>
      <c r="G859" s="97"/>
      <c r="H859" s="112" t="s">
        <v>2751</v>
      </c>
      <c r="I859" s="100">
        <v>100</v>
      </c>
      <c r="J859" s="100">
        <v>100</v>
      </c>
      <c r="K859" s="100">
        <v>0</v>
      </c>
      <c r="L859" s="100">
        <v>0</v>
      </c>
      <c r="M859" s="101" t="s">
        <v>2752</v>
      </c>
      <c r="N859" s="100" t="s">
        <v>2753</v>
      </c>
      <c r="O859" s="97"/>
      <c r="P859" s="95"/>
      <c r="Q859" s="95"/>
      <c r="R859" s="95"/>
      <c r="S859" s="95"/>
      <c r="T859" s="95"/>
      <c r="U859" s="95"/>
      <c r="V859" s="95"/>
      <c r="W859" s="95"/>
      <c r="X859" s="95"/>
      <c r="Y859" s="95"/>
      <c r="Z859" s="95"/>
    </row>
    <row r="860" spans="1:26" ht="15.75" customHeight="1" x14ac:dyDescent="0.2">
      <c r="A860" s="110" t="s">
        <v>2754</v>
      </c>
      <c r="B860" s="111" t="s">
        <v>1239</v>
      </c>
      <c r="C860" s="97" t="s">
        <v>1221</v>
      </c>
      <c r="D860" s="97" t="s">
        <v>1240</v>
      </c>
      <c r="E860" s="110" t="s">
        <v>1128</v>
      </c>
      <c r="F860" s="90">
        <v>12.67</v>
      </c>
      <c r="G860" s="97"/>
      <c r="H860" s="337" t="s">
        <v>2755</v>
      </c>
      <c r="I860" s="100">
        <v>100</v>
      </c>
      <c r="J860" s="100">
        <v>100</v>
      </c>
      <c r="K860" s="100">
        <v>0</v>
      </c>
      <c r="L860" s="100">
        <v>0</v>
      </c>
      <c r="M860" s="101" t="s">
        <v>2752</v>
      </c>
      <c r="N860" s="100" t="s">
        <v>2360</v>
      </c>
      <c r="O860" s="98" t="s">
        <v>2756</v>
      </c>
      <c r="P860" s="95"/>
      <c r="Q860" s="95"/>
      <c r="R860" s="95"/>
      <c r="S860" s="95"/>
      <c r="T860" s="95"/>
      <c r="U860" s="95"/>
      <c r="V860" s="95"/>
      <c r="W860" s="95"/>
      <c r="X860" s="95"/>
      <c r="Y860" s="95"/>
      <c r="Z860" s="95"/>
    </row>
    <row r="861" spans="1:26" ht="15.75" customHeight="1" x14ac:dyDescent="0.2">
      <c r="A861" s="113" t="s">
        <v>2757</v>
      </c>
      <c r="B861" s="114" t="s">
        <v>2758</v>
      </c>
      <c r="C861" s="89" t="s">
        <v>2759</v>
      </c>
      <c r="D861" s="89" t="s">
        <v>2760</v>
      </c>
      <c r="E861" s="113" t="s">
        <v>882</v>
      </c>
      <c r="F861" s="90"/>
      <c r="G861" s="89"/>
      <c r="H861" s="116"/>
      <c r="I861" s="91">
        <v>100</v>
      </c>
      <c r="J861" s="91">
        <v>100</v>
      </c>
      <c r="K861" s="91">
        <v>0</v>
      </c>
      <c r="L861" s="91">
        <v>0</v>
      </c>
      <c r="M861" s="91" t="s">
        <v>2636</v>
      </c>
      <c r="N861" s="91" t="s">
        <v>2761</v>
      </c>
      <c r="O861" s="92"/>
      <c r="P861" s="95"/>
      <c r="Q861" s="95"/>
      <c r="R861" s="95"/>
      <c r="S861" s="95"/>
      <c r="T861" s="95"/>
      <c r="U861" s="95"/>
      <c r="V861" s="95"/>
      <c r="W861" s="95"/>
      <c r="X861" s="95"/>
      <c r="Y861" s="95"/>
      <c r="Z861" s="95"/>
    </row>
    <row r="862" spans="1:26" ht="33.75" customHeight="1" x14ac:dyDescent="0.2">
      <c r="A862" s="113" t="s">
        <v>2762</v>
      </c>
      <c r="B862" s="114" t="s">
        <v>1162</v>
      </c>
      <c r="C862" s="89" t="s">
        <v>1163</v>
      </c>
      <c r="D862" s="89" t="s">
        <v>2763</v>
      </c>
      <c r="E862" s="113" t="s">
        <v>1245</v>
      </c>
      <c r="F862" s="90">
        <v>11.38</v>
      </c>
      <c r="G862" s="89"/>
      <c r="H862" s="338" t="s">
        <v>2764</v>
      </c>
      <c r="I862" s="91">
        <v>100</v>
      </c>
      <c r="J862" s="91">
        <v>0</v>
      </c>
      <c r="K862" s="91">
        <v>0</v>
      </c>
      <c r="L862" s="91">
        <v>0</v>
      </c>
      <c r="M862" s="91" t="s">
        <v>2636</v>
      </c>
      <c r="N862" s="91" t="s">
        <v>2765</v>
      </c>
      <c r="O862" s="92"/>
      <c r="P862" s="95"/>
      <c r="Q862" s="95"/>
      <c r="R862" s="95"/>
      <c r="S862" s="95"/>
      <c r="T862" s="95"/>
      <c r="U862" s="95"/>
      <c r="V862" s="95"/>
      <c r="W862" s="95"/>
      <c r="X862" s="95"/>
      <c r="Y862" s="95"/>
      <c r="Z862" s="95"/>
    </row>
    <row r="863" spans="1:26" ht="15.75" customHeight="1" x14ac:dyDescent="0.2">
      <c r="A863" s="89" t="s">
        <v>2766</v>
      </c>
      <c r="B863" s="89" t="s">
        <v>2767</v>
      </c>
      <c r="C863" s="89" t="s">
        <v>2768</v>
      </c>
      <c r="D863" s="89" t="s">
        <v>2769</v>
      </c>
      <c r="E863" s="89"/>
      <c r="F863" s="90">
        <v>11.38</v>
      </c>
      <c r="G863" s="115"/>
      <c r="H863" s="89"/>
      <c r="I863" s="117">
        <v>0</v>
      </c>
      <c r="J863" s="91">
        <v>0</v>
      </c>
      <c r="K863" s="91">
        <v>100</v>
      </c>
      <c r="L863" s="91">
        <v>0</v>
      </c>
      <c r="M863" s="91" t="s">
        <v>2636</v>
      </c>
      <c r="N863" s="91"/>
      <c r="O863" s="97"/>
      <c r="P863" s="95"/>
      <c r="Q863" s="95"/>
      <c r="R863" s="95"/>
      <c r="S863" s="95"/>
      <c r="T863" s="95"/>
      <c r="U863" s="95"/>
      <c r="V863" s="95"/>
      <c r="W863" s="95"/>
      <c r="X863" s="95"/>
      <c r="Y863" s="95"/>
      <c r="Z863" s="95"/>
    </row>
    <row r="864" spans="1:26" ht="30" customHeight="1" x14ac:dyDescent="0.2">
      <c r="A864" s="89" t="s">
        <v>2770</v>
      </c>
      <c r="B864" s="89" t="s">
        <v>2771</v>
      </c>
      <c r="C864" s="89" t="s">
        <v>214</v>
      </c>
      <c r="D864" s="89" t="s">
        <v>2772</v>
      </c>
      <c r="E864" s="89" t="s">
        <v>1134</v>
      </c>
      <c r="F864" s="90">
        <v>16.329999999999998</v>
      </c>
      <c r="G864" s="89"/>
      <c r="H864" s="95"/>
      <c r="I864" s="91">
        <v>0</v>
      </c>
      <c r="J864" s="91">
        <v>0</v>
      </c>
      <c r="K864" s="91">
        <v>100</v>
      </c>
      <c r="L864" s="91">
        <v>0</v>
      </c>
      <c r="M864" s="91" t="s">
        <v>2636</v>
      </c>
      <c r="N864" s="91" t="s">
        <v>2773</v>
      </c>
      <c r="O864" s="97"/>
      <c r="P864" s="95"/>
      <c r="Q864" s="95"/>
      <c r="R864" s="95"/>
      <c r="S864" s="95"/>
      <c r="T864" s="95"/>
      <c r="U864" s="95"/>
      <c r="V864" s="95"/>
      <c r="W864" s="95"/>
      <c r="X864" s="95"/>
      <c r="Y864" s="95"/>
      <c r="Z864" s="95"/>
    </row>
    <row r="865" spans="1:26" ht="15.75" customHeight="1" x14ac:dyDescent="0.2">
      <c r="A865" s="89" t="s">
        <v>4040</v>
      </c>
      <c r="B865" s="105" t="s">
        <v>2774</v>
      </c>
      <c r="C865" s="105" t="s">
        <v>1048</v>
      </c>
      <c r="D865" s="89" t="s">
        <v>2772</v>
      </c>
      <c r="E865" s="89" t="s">
        <v>1134</v>
      </c>
      <c r="F865" s="118">
        <v>9.5</v>
      </c>
      <c r="G865" s="105"/>
      <c r="H865" s="105" t="s">
        <v>2775</v>
      </c>
      <c r="I865" s="91">
        <v>100</v>
      </c>
      <c r="J865" s="91">
        <v>100</v>
      </c>
      <c r="K865" s="91">
        <v>0</v>
      </c>
      <c r="L865" s="91">
        <v>0</v>
      </c>
      <c r="M865" s="91" t="s">
        <v>2636</v>
      </c>
      <c r="N865" s="94" t="s">
        <v>2773</v>
      </c>
      <c r="O865" s="103"/>
      <c r="P865" s="95"/>
      <c r="Q865" s="95"/>
      <c r="R865" s="95"/>
      <c r="S865" s="95"/>
      <c r="T865" s="95"/>
      <c r="U865" s="95"/>
      <c r="V865" s="95"/>
      <c r="W865" s="95"/>
      <c r="X865" s="95"/>
      <c r="Y865" s="95"/>
      <c r="Z865" s="95"/>
    </row>
    <row r="866" spans="1:26" ht="15.75" customHeight="1" x14ac:dyDescent="0.2">
      <c r="A866" s="105" t="s">
        <v>2776</v>
      </c>
      <c r="B866" s="105" t="s">
        <v>2777</v>
      </c>
      <c r="C866" s="105" t="s">
        <v>1368</v>
      </c>
      <c r="D866" s="96" t="s">
        <v>2778</v>
      </c>
      <c r="E866" s="105" t="s">
        <v>1383</v>
      </c>
      <c r="F866" s="118">
        <v>6.98</v>
      </c>
      <c r="G866" s="105"/>
      <c r="H866" s="105"/>
      <c r="I866" s="91">
        <v>98</v>
      </c>
      <c r="J866" s="91">
        <v>98</v>
      </c>
      <c r="K866" s="91">
        <v>1</v>
      </c>
      <c r="L866" s="91">
        <v>0</v>
      </c>
      <c r="M866" s="91" t="s">
        <v>2779</v>
      </c>
      <c r="N866" s="94" t="s">
        <v>2780</v>
      </c>
      <c r="O866" s="103"/>
      <c r="P866" s="95"/>
      <c r="Q866" s="95"/>
      <c r="R866" s="95"/>
      <c r="S866" s="95"/>
      <c r="T866" s="95"/>
      <c r="U866" s="95"/>
      <c r="V866" s="95"/>
      <c r="W866" s="95"/>
      <c r="X866" s="95"/>
      <c r="Y866" s="95"/>
      <c r="Z866" s="95"/>
    </row>
    <row r="867" spans="1:26" ht="68" x14ac:dyDescent="0.2">
      <c r="A867" s="89" t="s">
        <v>2781</v>
      </c>
      <c r="B867" s="89" t="s">
        <v>2782</v>
      </c>
      <c r="C867" s="89" t="s">
        <v>1368</v>
      </c>
      <c r="D867" s="96" t="s">
        <v>2783</v>
      </c>
      <c r="E867" s="89" t="s">
        <v>1383</v>
      </c>
      <c r="F867" s="90">
        <v>7.25</v>
      </c>
      <c r="G867" s="89"/>
      <c r="H867" s="89"/>
      <c r="I867" s="91">
        <v>98</v>
      </c>
      <c r="J867" s="91">
        <v>98</v>
      </c>
      <c r="K867" s="91">
        <v>1</v>
      </c>
      <c r="L867" s="91">
        <v>0</v>
      </c>
      <c r="M867" s="91" t="s">
        <v>2779</v>
      </c>
      <c r="N867" s="94" t="s">
        <v>2784</v>
      </c>
      <c r="O867" s="89"/>
      <c r="P867" s="119"/>
      <c r="Q867" s="119"/>
      <c r="R867" s="119"/>
      <c r="S867" s="119"/>
      <c r="T867" s="119"/>
      <c r="U867" s="119"/>
      <c r="V867" s="119"/>
      <c r="W867" s="119"/>
      <c r="X867" s="119"/>
      <c r="Y867" s="119"/>
      <c r="Z867" s="119"/>
    </row>
    <row r="868" spans="1:26" ht="17" x14ac:dyDescent="0.2">
      <c r="A868" s="97" t="s">
        <v>2785</v>
      </c>
      <c r="B868" s="97" t="s">
        <v>2786</v>
      </c>
      <c r="C868" s="97" t="s">
        <v>597</v>
      </c>
      <c r="D868" s="97" t="s">
        <v>2787</v>
      </c>
      <c r="E868" s="97" t="s">
        <v>1383</v>
      </c>
      <c r="F868" s="90">
        <v>11.18</v>
      </c>
      <c r="G868" s="97"/>
      <c r="H868" s="97" t="s">
        <v>2788</v>
      </c>
      <c r="I868" s="100">
        <v>100</v>
      </c>
      <c r="J868" s="100">
        <v>100</v>
      </c>
      <c r="K868" s="100">
        <v>0</v>
      </c>
      <c r="L868" s="100">
        <v>0</v>
      </c>
      <c r="M868" s="101" t="s">
        <v>2721</v>
      </c>
      <c r="N868" s="100" t="s">
        <v>2789</v>
      </c>
      <c r="O868" s="89" t="s">
        <v>512</v>
      </c>
      <c r="P868" s="119"/>
      <c r="Q868" s="119"/>
      <c r="R868" s="119"/>
      <c r="S868" s="119"/>
      <c r="T868" s="119"/>
      <c r="U868" s="119"/>
      <c r="V868" s="119"/>
      <c r="W868" s="119"/>
      <c r="X868" s="119"/>
      <c r="Y868" s="119"/>
      <c r="Z868" s="119"/>
    </row>
    <row r="869" spans="1:26" ht="61.5" customHeight="1" x14ac:dyDescent="0.2">
      <c r="A869" s="97" t="s">
        <v>2790</v>
      </c>
      <c r="B869" s="97" t="s">
        <v>2791</v>
      </c>
      <c r="C869" s="97" t="s">
        <v>597</v>
      </c>
      <c r="D869" s="97" t="s">
        <v>2792</v>
      </c>
      <c r="E869" s="97" t="s">
        <v>1383</v>
      </c>
      <c r="F869" s="90">
        <v>15.5</v>
      </c>
      <c r="G869" s="97"/>
      <c r="H869" s="97" t="s">
        <v>2793</v>
      </c>
      <c r="I869" s="100">
        <v>100</v>
      </c>
      <c r="J869" s="100">
        <v>100</v>
      </c>
      <c r="K869" s="100">
        <v>0</v>
      </c>
      <c r="L869" s="100">
        <v>0</v>
      </c>
      <c r="M869" s="101" t="s">
        <v>2721</v>
      </c>
      <c r="N869" s="100" t="s">
        <v>2794</v>
      </c>
      <c r="O869" s="89" t="s">
        <v>512</v>
      </c>
      <c r="P869" s="106"/>
      <c r="Q869" s="106"/>
      <c r="R869" s="106"/>
      <c r="S869" s="106"/>
      <c r="T869" s="106"/>
      <c r="U869" s="106"/>
      <c r="V869" s="106"/>
      <c r="W869" s="106"/>
      <c r="X869" s="106"/>
      <c r="Y869" s="106"/>
      <c r="Z869" s="106"/>
    </row>
    <row r="870" spans="1:26" ht="15.75" customHeight="1" x14ac:dyDescent="0.2">
      <c r="A870" s="97" t="s">
        <v>2795</v>
      </c>
      <c r="B870" s="97" t="s">
        <v>2796</v>
      </c>
      <c r="C870" s="97" t="s">
        <v>597</v>
      </c>
      <c r="D870" s="97" t="s">
        <v>2797</v>
      </c>
      <c r="E870" s="97" t="s">
        <v>1383</v>
      </c>
      <c r="F870" s="90">
        <v>11.93</v>
      </c>
      <c r="G870" s="97"/>
      <c r="H870" s="97" t="s">
        <v>2793</v>
      </c>
      <c r="I870" s="100">
        <v>100</v>
      </c>
      <c r="J870" s="100">
        <v>100</v>
      </c>
      <c r="K870" s="100">
        <v>0</v>
      </c>
      <c r="L870" s="100">
        <v>0</v>
      </c>
      <c r="M870" s="101" t="s">
        <v>2721</v>
      </c>
      <c r="N870" s="100" t="s">
        <v>2798</v>
      </c>
      <c r="O870" s="89" t="s">
        <v>512</v>
      </c>
      <c r="P870" s="106"/>
      <c r="Q870" s="106"/>
      <c r="R870" s="106"/>
      <c r="S870" s="106"/>
      <c r="T870" s="106"/>
      <c r="U870" s="106"/>
      <c r="V870" s="106"/>
      <c r="W870" s="106"/>
      <c r="X870" s="106"/>
      <c r="Y870" s="106"/>
      <c r="Z870" s="106"/>
    </row>
    <row r="871" spans="1:26" ht="15.75" customHeight="1" x14ac:dyDescent="0.2">
      <c r="A871" s="97" t="s">
        <v>2799</v>
      </c>
      <c r="B871" s="97" t="s">
        <v>2800</v>
      </c>
      <c r="C871" s="97" t="s">
        <v>597</v>
      </c>
      <c r="D871" s="97" t="s">
        <v>2801</v>
      </c>
      <c r="E871" s="97" t="s">
        <v>1383</v>
      </c>
      <c r="F871" s="90">
        <v>11.93</v>
      </c>
      <c r="G871" s="97"/>
      <c r="H871" s="97" t="s">
        <v>2793</v>
      </c>
      <c r="I871" s="100">
        <v>100</v>
      </c>
      <c r="J871" s="100">
        <v>100</v>
      </c>
      <c r="K871" s="100">
        <v>0</v>
      </c>
      <c r="L871" s="100">
        <v>0</v>
      </c>
      <c r="M871" s="101" t="s">
        <v>2721</v>
      </c>
      <c r="N871" s="107" t="s">
        <v>2678</v>
      </c>
      <c r="O871" s="89" t="s">
        <v>512</v>
      </c>
      <c r="P871" s="106"/>
      <c r="Q871" s="106"/>
      <c r="R871" s="106"/>
      <c r="S871" s="106"/>
      <c r="T871" s="106"/>
      <c r="U871" s="106"/>
      <c r="V871" s="106"/>
      <c r="W871" s="106"/>
      <c r="X871" s="106"/>
      <c r="Y871" s="106"/>
      <c r="Z871" s="106"/>
    </row>
    <row r="872" spans="1:26" ht="15.75" customHeight="1" x14ac:dyDescent="0.2">
      <c r="A872" s="89" t="s">
        <v>2802</v>
      </c>
      <c r="B872" s="89" t="s">
        <v>2803</v>
      </c>
      <c r="C872" s="89" t="s">
        <v>2768</v>
      </c>
      <c r="D872" s="89" t="s">
        <v>2804</v>
      </c>
      <c r="E872" s="89" t="s">
        <v>2168</v>
      </c>
      <c r="F872" s="90">
        <v>25.97</v>
      </c>
      <c r="G872" s="89"/>
      <c r="H872" s="89"/>
      <c r="I872" s="91">
        <v>0</v>
      </c>
      <c r="J872" s="91">
        <v>0</v>
      </c>
      <c r="K872" s="91">
        <v>100</v>
      </c>
      <c r="L872" s="91">
        <v>0</v>
      </c>
      <c r="M872" s="91" t="s">
        <v>2146</v>
      </c>
      <c r="N872" s="91" t="s">
        <v>2805</v>
      </c>
      <c r="O872" s="89"/>
      <c r="P872" s="106"/>
      <c r="Q872" s="106"/>
      <c r="R872" s="106"/>
      <c r="S872" s="106"/>
      <c r="T872" s="106"/>
      <c r="U872" s="106"/>
      <c r="V872" s="106"/>
      <c r="W872" s="106"/>
      <c r="X872" s="106"/>
      <c r="Y872" s="106"/>
      <c r="Z872" s="106"/>
    </row>
    <row r="873" spans="1:26" ht="15.75" customHeight="1" x14ac:dyDescent="0.2">
      <c r="A873" s="89" t="s">
        <v>2806</v>
      </c>
      <c r="B873" s="89" t="s">
        <v>2807</v>
      </c>
      <c r="C873" s="89" t="s">
        <v>214</v>
      </c>
      <c r="D873" s="89" t="s">
        <v>2808</v>
      </c>
      <c r="E873" s="89"/>
      <c r="F873" s="90">
        <v>6.65</v>
      </c>
      <c r="G873" s="89"/>
      <c r="H873" s="89"/>
      <c r="I873" s="91">
        <v>0</v>
      </c>
      <c r="J873" s="91">
        <v>0</v>
      </c>
      <c r="K873" s="91">
        <v>90</v>
      </c>
      <c r="L873" s="91">
        <v>0</v>
      </c>
      <c r="M873" s="91" t="s">
        <v>2146</v>
      </c>
      <c r="N873" s="342"/>
      <c r="O873" s="89"/>
      <c r="P873" s="106"/>
      <c r="Q873" s="106"/>
      <c r="R873" s="106"/>
      <c r="S873" s="106"/>
      <c r="T873" s="106"/>
      <c r="U873" s="106"/>
      <c r="V873" s="106"/>
      <c r="W873" s="106"/>
      <c r="X873" s="106"/>
      <c r="Y873" s="106"/>
      <c r="Z873" s="106"/>
    </row>
    <row r="874" spans="1:26" ht="15.75" customHeight="1" x14ac:dyDescent="0.2">
      <c r="A874" s="89" t="s">
        <v>2809</v>
      </c>
      <c r="B874" s="89" t="s">
        <v>2810</v>
      </c>
      <c r="C874" s="89" t="s">
        <v>214</v>
      </c>
      <c r="D874" s="89" t="s">
        <v>2811</v>
      </c>
      <c r="E874" s="89"/>
      <c r="F874" s="90">
        <v>4.3899999999999997</v>
      </c>
      <c r="G874" s="89"/>
      <c r="H874" s="89"/>
      <c r="I874" s="91">
        <v>0</v>
      </c>
      <c r="J874" s="91">
        <v>0</v>
      </c>
      <c r="K874" s="91">
        <v>55</v>
      </c>
      <c r="L874" s="91">
        <v>0</v>
      </c>
      <c r="M874" s="91" t="s">
        <v>2146</v>
      </c>
      <c r="N874" s="91" t="s">
        <v>2812</v>
      </c>
      <c r="O874" s="89"/>
      <c r="P874" s="95"/>
      <c r="Q874" s="95"/>
      <c r="R874" s="95"/>
      <c r="S874" s="95"/>
      <c r="T874" s="95"/>
      <c r="U874" s="95"/>
      <c r="V874" s="95"/>
      <c r="W874" s="95"/>
      <c r="X874" s="95"/>
      <c r="Y874" s="95"/>
      <c r="Z874" s="95"/>
    </row>
    <row r="875" spans="1:26" ht="15.75" customHeight="1" x14ac:dyDescent="0.2">
      <c r="A875" s="89" t="s">
        <v>2813</v>
      </c>
      <c r="B875" s="89" t="s">
        <v>2814</v>
      </c>
      <c r="C875" s="89" t="s">
        <v>214</v>
      </c>
      <c r="D875" s="89"/>
      <c r="E875" s="89"/>
      <c r="F875" s="90">
        <v>10.6</v>
      </c>
      <c r="G875" s="89"/>
      <c r="H875" s="89"/>
      <c r="I875" s="91">
        <v>0.02</v>
      </c>
      <c r="J875" s="91">
        <v>0</v>
      </c>
      <c r="K875" s="91">
        <v>66</v>
      </c>
      <c r="L875" s="91">
        <v>0</v>
      </c>
      <c r="M875" s="91"/>
      <c r="N875" s="91"/>
      <c r="O875" s="89"/>
      <c r="P875" s="95"/>
      <c r="Q875" s="95"/>
      <c r="R875" s="95"/>
      <c r="S875" s="95"/>
      <c r="T875" s="95"/>
      <c r="U875" s="95"/>
      <c r="V875" s="95"/>
      <c r="W875" s="95"/>
      <c r="X875" s="95"/>
      <c r="Y875" s="95"/>
      <c r="Z875" s="95"/>
    </row>
    <row r="876" spans="1:26" ht="15.75" customHeight="1" x14ac:dyDescent="0.2">
      <c r="A876" s="73" t="s">
        <v>2815</v>
      </c>
      <c r="B876" s="77" t="s">
        <v>2816</v>
      </c>
      <c r="C876" s="77" t="s">
        <v>2335</v>
      </c>
      <c r="D876" s="73" t="s">
        <v>2817</v>
      </c>
      <c r="E876" s="77" t="s">
        <v>2226</v>
      </c>
      <c r="F876" s="90">
        <v>3.85</v>
      </c>
      <c r="G876" s="73"/>
      <c r="H876" s="79" t="s">
        <v>2818</v>
      </c>
      <c r="I876" s="74">
        <v>0</v>
      </c>
      <c r="J876" s="74">
        <v>0</v>
      </c>
      <c r="K876" s="74">
        <v>50</v>
      </c>
      <c r="L876" s="74">
        <v>0</v>
      </c>
      <c r="M876" s="74" t="s">
        <v>2819</v>
      </c>
      <c r="N876" s="74" t="s">
        <v>2820</v>
      </c>
      <c r="O876" s="89"/>
      <c r="P876" s="95"/>
      <c r="Q876" s="95"/>
      <c r="R876" s="95"/>
      <c r="S876" s="95"/>
      <c r="T876" s="95"/>
      <c r="U876" s="95"/>
      <c r="V876" s="95"/>
      <c r="W876" s="95"/>
      <c r="X876" s="95"/>
      <c r="Y876" s="95"/>
      <c r="Z876" s="95"/>
    </row>
    <row r="877" spans="1:26" ht="15.75" customHeight="1" x14ac:dyDescent="0.2">
      <c r="A877" s="73" t="s">
        <v>2821</v>
      </c>
      <c r="B877" s="77" t="s">
        <v>2822</v>
      </c>
      <c r="C877" s="77" t="s">
        <v>2335</v>
      </c>
      <c r="D877" s="73" t="s">
        <v>2823</v>
      </c>
      <c r="E877" s="77" t="s">
        <v>2824</v>
      </c>
      <c r="F877" s="90">
        <v>4.45</v>
      </c>
      <c r="G877" s="73"/>
      <c r="H877" s="79" t="s">
        <v>2825</v>
      </c>
      <c r="I877" s="74">
        <v>0</v>
      </c>
      <c r="J877" s="74">
        <v>0</v>
      </c>
      <c r="K877" s="74">
        <v>50</v>
      </c>
      <c r="L877" s="74">
        <v>0</v>
      </c>
      <c r="M877" s="74" t="s">
        <v>2819</v>
      </c>
      <c r="N877" s="88" t="s">
        <v>2826</v>
      </c>
      <c r="O877" s="89" t="s">
        <v>512</v>
      </c>
      <c r="P877" s="95"/>
      <c r="Q877" s="95"/>
      <c r="R877" s="95"/>
      <c r="S877" s="95"/>
      <c r="T877" s="95"/>
      <c r="U877" s="95"/>
      <c r="V877" s="95"/>
      <c r="W877" s="95"/>
      <c r="X877" s="95"/>
      <c r="Y877" s="95"/>
      <c r="Z877" s="95"/>
    </row>
    <row r="878" spans="1:26" ht="15.75" customHeight="1" x14ac:dyDescent="0.2">
      <c r="A878" s="89" t="s">
        <v>2827</v>
      </c>
      <c r="B878" s="105" t="s">
        <v>2828</v>
      </c>
      <c r="C878" s="89" t="s">
        <v>214</v>
      </c>
      <c r="D878" s="89" t="s">
        <v>2829</v>
      </c>
      <c r="E878" s="89" t="s">
        <v>385</v>
      </c>
      <c r="F878" s="90">
        <v>23.33</v>
      </c>
      <c r="G878" s="89"/>
      <c r="H878" s="89"/>
      <c r="I878" s="91">
        <v>0</v>
      </c>
      <c r="J878" s="91">
        <v>0</v>
      </c>
      <c r="K878" s="91">
        <v>100</v>
      </c>
      <c r="L878" s="91">
        <v>0</v>
      </c>
      <c r="M878" s="94" t="s">
        <v>2830</v>
      </c>
      <c r="N878" s="91" t="s">
        <v>417</v>
      </c>
      <c r="O878" s="93" t="s">
        <v>2831</v>
      </c>
      <c r="P878" s="95"/>
      <c r="Q878" s="95"/>
      <c r="R878" s="95"/>
      <c r="S878" s="95"/>
      <c r="T878" s="95"/>
      <c r="U878" s="95"/>
      <c r="V878" s="95"/>
      <c r="W878" s="95"/>
      <c r="X878" s="95"/>
      <c r="Y878" s="95"/>
      <c r="Z878" s="95"/>
    </row>
    <row r="879" spans="1:26" ht="15.75" customHeight="1" x14ac:dyDescent="0.2">
      <c r="A879" s="89" t="s">
        <v>2832</v>
      </c>
      <c r="B879" s="89" t="s">
        <v>2833</v>
      </c>
      <c r="C879" s="92" t="s">
        <v>420</v>
      </c>
      <c r="D879" s="92" t="s">
        <v>2834</v>
      </c>
      <c r="E879" s="89" t="s">
        <v>2835</v>
      </c>
      <c r="F879" s="90">
        <v>25.93</v>
      </c>
      <c r="G879" s="89"/>
      <c r="H879" s="89"/>
      <c r="I879" s="91">
        <v>0</v>
      </c>
      <c r="J879" s="91">
        <v>0</v>
      </c>
      <c r="K879" s="91">
        <v>100</v>
      </c>
      <c r="L879" s="91">
        <v>0</v>
      </c>
      <c r="M879" s="91" t="s">
        <v>2836</v>
      </c>
      <c r="N879" s="94" t="s">
        <v>2837</v>
      </c>
      <c r="O879" s="89"/>
      <c r="P879" s="95"/>
      <c r="Q879" s="95"/>
      <c r="R879" s="95"/>
      <c r="S879" s="95"/>
      <c r="T879" s="95"/>
      <c r="U879" s="95"/>
      <c r="V879" s="95"/>
      <c r="W879" s="95"/>
      <c r="X879" s="95"/>
      <c r="Y879" s="95"/>
      <c r="Z879" s="95"/>
    </row>
    <row r="880" spans="1:26" ht="130.5" customHeight="1" x14ac:dyDescent="0.2">
      <c r="A880" s="89" t="s">
        <v>2838</v>
      </c>
      <c r="B880" s="89" t="s">
        <v>2839</v>
      </c>
      <c r="C880" s="89" t="s">
        <v>214</v>
      </c>
      <c r="D880" s="89" t="s">
        <v>2840</v>
      </c>
      <c r="E880" s="89"/>
      <c r="F880" s="90">
        <v>10.130000000000001</v>
      </c>
      <c r="G880" s="89"/>
      <c r="H880" s="89"/>
      <c r="I880" s="91">
        <v>0</v>
      </c>
      <c r="J880" s="91">
        <v>0</v>
      </c>
      <c r="K880" s="91">
        <v>100</v>
      </c>
      <c r="L880" s="91">
        <v>0</v>
      </c>
      <c r="M880" s="94" t="s">
        <v>2841</v>
      </c>
      <c r="N880" s="91" t="s">
        <v>2842</v>
      </c>
      <c r="O880" s="89"/>
      <c r="P880" s="95"/>
      <c r="Q880" s="95"/>
      <c r="R880" s="95"/>
      <c r="S880" s="95"/>
      <c r="T880" s="95"/>
      <c r="U880" s="95"/>
      <c r="V880" s="95"/>
      <c r="W880" s="95"/>
      <c r="X880" s="95"/>
      <c r="Y880" s="95"/>
      <c r="Z880" s="95"/>
    </row>
    <row r="881" spans="1:26" ht="15.75" customHeight="1" x14ac:dyDescent="0.2">
      <c r="A881" s="89" t="s">
        <v>2843</v>
      </c>
      <c r="B881" s="89" t="s">
        <v>2844</v>
      </c>
      <c r="C881" s="89" t="s">
        <v>1719</v>
      </c>
      <c r="D881" s="89" t="s">
        <v>1351</v>
      </c>
      <c r="E881" s="89"/>
      <c r="F881" s="90">
        <v>27.64</v>
      </c>
      <c r="G881" s="89"/>
      <c r="H881" s="89"/>
      <c r="I881" s="91">
        <v>0</v>
      </c>
      <c r="J881" s="91">
        <v>0</v>
      </c>
      <c r="K881" s="91">
        <v>100</v>
      </c>
      <c r="L881" s="91">
        <v>0</v>
      </c>
      <c r="M881" s="91"/>
      <c r="N881" s="91" t="s">
        <v>2845</v>
      </c>
      <c r="O881" s="89"/>
      <c r="P881" s="95"/>
      <c r="Q881" s="95"/>
      <c r="R881" s="95"/>
      <c r="S881" s="95"/>
      <c r="T881" s="95"/>
      <c r="U881" s="95"/>
      <c r="V881" s="95"/>
      <c r="W881" s="95"/>
      <c r="X881" s="95"/>
      <c r="Y881" s="95"/>
      <c r="Z881" s="95"/>
    </row>
    <row r="882" spans="1:26" ht="15.75" customHeight="1" x14ac:dyDescent="0.2">
      <c r="A882" s="89" t="s">
        <v>2846</v>
      </c>
      <c r="B882" s="89" t="s">
        <v>2847</v>
      </c>
      <c r="C882" s="89" t="s">
        <v>1087</v>
      </c>
      <c r="D882" s="89"/>
      <c r="E882" s="89"/>
      <c r="F882" s="90">
        <v>33.020000000000003</v>
      </c>
      <c r="G882" s="89"/>
      <c r="H882" s="89"/>
      <c r="I882" s="91">
        <v>0</v>
      </c>
      <c r="J882" s="91">
        <v>0</v>
      </c>
      <c r="K882" s="91">
        <v>100</v>
      </c>
      <c r="L882" s="91">
        <v>65</v>
      </c>
      <c r="M882" s="91"/>
      <c r="N882" s="91" t="s">
        <v>2650</v>
      </c>
      <c r="O882" s="89"/>
      <c r="P882" s="95"/>
      <c r="Q882" s="95"/>
      <c r="R882" s="95"/>
      <c r="S882" s="95"/>
      <c r="T882" s="95"/>
      <c r="U882" s="95"/>
      <c r="V882" s="95"/>
      <c r="W882" s="95"/>
      <c r="X882" s="95"/>
      <c r="Y882" s="95"/>
      <c r="Z882" s="95"/>
    </row>
    <row r="883" spans="1:26" ht="15.75" customHeight="1" x14ac:dyDescent="0.2">
      <c r="A883" s="89" t="s">
        <v>2848</v>
      </c>
      <c r="B883" s="89" t="s">
        <v>2849</v>
      </c>
      <c r="C883" s="89" t="s">
        <v>102</v>
      </c>
      <c r="D883" s="89" t="s">
        <v>2850</v>
      </c>
      <c r="E883" s="95" t="s">
        <v>385</v>
      </c>
      <c r="F883" s="90">
        <v>222.2</v>
      </c>
      <c r="G883" s="89"/>
      <c r="H883" s="89"/>
      <c r="I883" s="91">
        <v>0</v>
      </c>
      <c r="J883" s="91">
        <v>0</v>
      </c>
      <c r="K883" s="91">
        <v>100</v>
      </c>
      <c r="L883" s="91">
        <v>0</v>
      </c>
      <c r="M883" s="91" t="s">
        <v>2851</v>
      </c>
      <c r="N883" s="91" t="s">
        <v>2852</v>
      </c>
      <c r="O883" s="99" t="s">
        <v>2853</v>
      </c>
      <c r="P883" s="95"/>
      <c r="Q883" s="95"/>
      <c r="R883" s="95"/>
      <c r="S883" s="95"/>
      <c r="T883" s="95"/>
      <c r="U883" s="95"/>
      <c r="V883" s="95"/>
      <c r="W883" s="95"/>
      <c r="X883" s="95"/>
      <c r="Y883" s="95"/>
      <c r="Z883" s="95"/>
    </row>
    <row r="884" spans="1:26" ht="15.75" customHeight="1" x14ac:dyDescent="0.2">
      <c r="A884" s="89" t="s">
        <v>2854</v>
      </c>
      <c r="B884" s="89" t="s">
        <v>2855</v>
      </c>
      <c r="C884" s="89" t="s">
        <v>1757</v>
      </c>
      <c r="D884" s="92" t="s">
        <v>2856</v>
      </c>
      <c r="E884" s="89"/>
      <c r="F884" s="90">
        <v>35.69</v>
      </c>
      <c r="G884" s="89"/>
      <c r="H884" s="89"/>
      <c r="I884" s="91">
        <v>0</v>
      </c>
      <c r="J884" s="91">
        <v>0</v>
      </c>
      <c r="K884" s="91">
        <v>100</v>
      </c>
      <c r="L884" s="91">
        <v>0</v>
      </c>
      <c r="M884" s="91"/>
      <c r="N884" s="91"/>
      <c r="O884" s="89"/>
      <c r="P884" s="95"/>
      <c r="Q884" s="95"/>
      <c r="R884" s="95"/>
      <c r="S884" s="95"/>
      <c r="T884" s="95"/>
      <c r="U884" s="95"/>
      <c r="V884" s="95"/>
      <c r="W884" s="95"/>
      <c r="X884" s="95"/>
      <c r="Y884" s="95"/>
      <c r="Z884" s="95"/>
    </row>
    <row r="885" spans="1:26" ht="72" customHeight="1" x14ac:dyDescent="0.2">
      <c r="A885" s="89" t="s">
        <v>2857</v>
      </c>
      <c r="B885" s="120" t="s">
        <v>2858</v>
      </c>
      <c r="C885" s="120" t="s">
        <v>399</v>
      </c>
      <c r="D885" s="89" t="s">
        <v>2859</v>
      </c>
      <c r="E885" s="120" t="s">
        <v>2168</v>
      </c>
      <c r="F885" s="90">
        <v>21.3</v>
      </c>
      <c r="G885" s="89"/>
      <c r="H885" s="89"/>
      <c r="I885" s="91">
        <v>0</v>
      </c>
      <c r="J885" s="91">
        <v>0</v>
      </c>
      <c r="K885" s="91">
        <v>100</v>
      </c>
      <c r="L885" s="91">
        <v>0</v>
      </c>
      <c r="M885" s="91" t="s">
        <v>2359</v>
      </c>
      <c r="N885" s="91" t="s">
        <v>2394</v>
      </c>
      <c r="O885" s="89"/>
      <c r="P885" s="95"/>
      <c r="Q885" s="95"/>
      <c r="R885" s="95"/>
      <c r="S885" s="95"/>
      <c r="T885" s="95"/>
      <c r="U885" s="95"/>
      <c r="V885" s="95"/>
      <c r="W885" s="95"/>
      <c r="X885" s="95"/>
      <c r="Y885" s="95"/>
      <c r="Z885" s="95"/>
    </row>
    <row r="886" spans="1:26" ht="15.75" customHeight="1" x14ac:dyDescent="0.2">
      <c r="A886" s="89" t="s">
        <v>2860</v>
      </c>
      <c r="B886" s="120" t="s">
        <v>2187</v>
      </c>
      <c r="C886" s="120" t="s">
        <v>2188</v>
      </c>
      <c r="D886" s="92" t="s">
        <v>2861</v>
      </c>
      <c r="E886" s="120" t="s">
        <v>2862</v>
      </c>
      <c r="F886" s="90">
        <v>24.55</v>
      </c>
      <c r="G886" s="89"/>
      <c r="H886" s="121" t="s">
        <v>2190</v>
      </c>
      <c r="I886" s="91">
        <v>0</v>
      </c>
      <c r="J886" s="91">
        <v>0</v>
      </c>
      <c r="K886" s="91">
        <v>100</v>
      </c>
      <c r="L886" s="91">
        <v>0</v>
      </c>
      <c r="M886" s="91" t="s">
        <v>2359</v>
      </c>
      <c r="N886" s="91" t="s">
        <v>2863</v>
      </c>
      <c r="O886" s="92" t="s">
        <v>2864</v>
      </c>
      <c r="P886" s="95"/>
      <c r="Q886" s="95"/>
      <c r="R886" s="95"/>
      <c r="S886" s="95"/>
      <c r="T886" s="95"/>
      <c r="U886" s="95"/>
      <c r="V886" s="95"/>
      <c r="W886" s="95"/>
      <c r="X886" s="95"/>
      <c r="Y886" s="95"/>
      <c r="Z886" s="95"/>
    </row>
    <row r="887" spans="1:26" ht="15.75" customHeight="1" x14ac:dyDescent="0.2">
      <c r="A887" s="97" t="s">
        <v>2865</v>
      </c>
      <c r="B887" s="97" t="s">
        <v>2334</v>
      </c>
      <c r="C887" s="97" t="s">
        <v>2335</v>
      </c>
      <c r="D887" s="98" t="s">
        <v>2336</v>
      </c>
      <c r="E887" s="97" t="s">
        <v>2226</v>
      </c>
      <c r="F887" s="90">
        <v>12.5</v>
      </c>
      <c r="G887" s="97" t="s">
        <v>486</v>
      </c>
      <c r="H887" s="98" t="s">
        <v>2866</v>
      </c>
      <c r="I887" s="100">
        <v>0</v>
      </c>
      <c r="J887" s="100">
        <v>0</v>
      </c>
      <c r="K887" s="100">
        <v>70</v>
      </c>
      <c r="L887" s="100">
        <v>0</v>
      </c>
      <c r="M887" s="100" t="s">
        <v>2867</v>
      </c>
      <c r="N887" s="100"/>
      <c r="O887" s="98" t="s">
        <v>512</v>
      </c>
      <c r="P887" s="95"/>
      <c r="Q887" s="95"/>
      <c r="R887" s="95"/>
      <c r="S887" s="95"/>
      <c r="T887" s="95"/>
      <c r="U887" s="95"/>
      <c r="V887" s="95"/>
      <c r="W887" s="95"/>
      <c r="X887" s="95"/>
      <c r="Y887" s="95"/>
      <c r="Z887" s="95"/>
    </row>
    <row r="888" spans="1:26" ht="15.75" customHeight="1" x14ac:dyDescent="0.2">
      <c r="A888" s="89" t="s">
        <v>2868</v>
      </c>
      <c r="B888" s="89" t="s">
        <v>2869</v>
      </c>
      <c r="C888" s="89" t="s">
        <v>1081</v>
      </c>
      <c r="D888" s="89" t="s">
        <v>2870</v>
      </c>
      <c r="E888" s="89" t="s">
        <v>385</v>
      </c>
      <c r="F888" s="81"/>
      <c r="G888" s="81"/>
      <c r="H888" s="81"/>
      <c r="I888" s="84"/>
      <c r="J888" s="84"/>
      <c r="K888" s="84"/>
      <c r="L888" s="84"/>
      <c r="M888" s="91" t="s">
        <v>385</v>
      </c>
      <c r="N888" s="122" t="s">
        <v>2871</v>
      </c>
      <c r="O888" s="81"/>
      <c r="P888" s="95"/>
      <c r="Q888" s="95"/>
      <c r="R888" s="95"/>
      <c r="S888" s="95"/>
      <c r="T888" s="95"/>
      <c r="U888" s="95"/>
      <c r="V888" s="95"/>
      <c r="W888" s="95"/>
      <c r="X888" s="95"/>
      <c r="Y888" s="95"/>
      <c r="Z888" s="95"/>
    </row>
    <row r="889" spans="1:26" ht="15.75" customHeight="1" x14ac:dyDescent="0.2">
      <c r="A889" s="89" t="s">
        <v>2872</v>
      </c>
      <c r="B889" s="89" t="s">
        <v>2151</v>
      </c>
      <c r="C889" s="89" t="s">
        <v>2873</v>
      </c>
      <c r="D889" s="89" t="s">
        <v>2152</v>
      </c>
      <c r="E889" s="89" t="s">
        <v>2168</v>
      </c>
      <c r="F889" s="89">
        <v>240.75</v>
      </c>
      <c r="G889" s="81"/>
      <c r="H889" s="81"/>
      <c r="I889" s="84"/>
      <c r="J889" s="84"/>
      <c r="K889" s="84"/>
      <c r="L889" s="84"/>
      <c r="M889" s="91" t="s">
        <v>2359</v>
      </c>
      <c r="N889" s="122"/>
      <c r="O889" s="81"/>
      <c r="P889" s="106"/>
      <c r="Q889" s="106"/>
      <c r="R889" s="106"/>
      <c r="S889" s="106"/>
      <c r="T889" s="106"/>
      <c r="U889" s="106"/>
      <c r="V889" s="106"/>
      <c r="W889" s="106"/>
      <c r="X889" s="106"/>
      <c r="Y889" s="106"/>
      <c r="Z889" s="106"/>
    </row>
    <row r="890" spans="1:26" ht="15.75" customHeight="1" x14ac:dyDescent="0.2">
      <c r="A890" s="89" t="s">
        <v>4037</v>
      </c>
      <c r="B890" s="89" t="s">
        <v>564</v>
      </c>
      <c r="C890" s="89" t="s">
        <v>420</v>
      </c>
      <c r="D890" s="89" t="s">
        <v>254</v>
      </c>
      <c r="E890" s="89" t="s">
        <v>385</v>
      </c>
      <c r="F890" s="89">
        <v>28.5</v>
      </c>
      <c r="G890" s="81"/>
      <c r="H890" s="333"/>
      <c r="I890" s="84"/>
      <c r="J890" s="84"/>
      <c r="K890" s="84"/>
      <c r="L890" s="84"/>
      <c r="M890" s="91" t="s">
        <v>2851</v>
      </c>
      <c r="N890" s="122"/>
      <c r="O890" s="81"/>
    </row>
    <row r="891" spans="1:26" ht="15.75" customHeight="1" x14ac:dyDescent="0.2">
      <c r="A891" s="89" t="s">
        <v>2874</v>
      </c>
      <c r="B891" s="89" t="s">
        <v>2875</v>
      </c>
      <c r="C891" s="92" t="s">
        <v>2876</v>
      </c>
      <c r="D891" s="92" t="s">
        <v>2877</v>
      </c>
      <c r="E891" s="89" t="s">
        <v>2878</v>
      </c>
      <c r="F891" s="90">
        <v>35.92</v>
      </c>
      <c r="G891" s="335"/>
      <c r="H891" s="339"/>
      <c r="I891" s="340">
        <v>0</v>
      </c>
      <c r="J891" s="91">
        <v>0</v>
      </c>
      <c r="K891" s="91">
        <v>50</v>
      </c>
      <c r="L891" s="91">
        <v>0</v>
      </c>
      <c r="M891" s="91" t="s">
        <v>2879</v>
      </c>
      <c r="N891" s="343" t="s">
        <v>2880</v>
      </c>
      <c r="O891" s="93" t="s">
        <v>2881</v>
      </c>
    </row>
    <row r="892" spans="1:26" ht="15.75" customHeight="1" x14ac:dyDescent="0.2">
      <c r="A892" s="89" t="s">
        <v>2882</v>
      </c>
      <c r="B892" s="89" t="s">
        <v>2883</v>
      </c>
      <c r="C892" s="89" t="s">
        <v>214</v>
      </c>
      <c r="D892" s="89" t="s">
        <v>2884</v>
      </c>
      <c r="E892" s="89"/>
      <c r="F892" s="90">
        <v>5.5</v>
      </c>
      <c r="G892" s="335"/>
      <c r="H892" s="339"/>
      <c r="I892" s="340">
        <v>0</v>
      </c>
      <c r="J892" s="91">
        <v>0</v>
      </c>
      <c r="K892" s="91">
        <v>99.5</v>
      </c>
      <c r="L892" s="91">
        <v>0</v>
      </c>
      <c r="M892" s="91"/>
      <c r="N892" s="342"/>
      <c r="O892" s="89"/>
    </row>
    <row r="893" spans="1:26" ht="113.25" customHeight="1" x14ac:dyDescent="0.2">
      <c r="A893" s="89" t="s">
        <v>2885</v>
      </c>
      <c r="B893" s="105" t="s">
        <v>2886</v>
      </c>
      <c r="C893" s="89" t="s">
        <v>48</v>
      </c>
      <c r="D893" s="89" t="s">
        <v>2887</v>
      </c>
      <c r="E893" s="89" t="s">
        <v>2888</v>
      </c>
      <c r="F893" s="90">
        <v>6.86</v>
      </c>
      <c r="G893" s="89"/>
      <c r="H893" s="95"/>
      <c r="I893" s="91">
        <v>0</v>
      </c>
      <c r="J893" s="91">
        <v>0</v>
      </c>
      <c r="K893" s="91">
        <v>100</v>
      </c>
      <c r="L893" s="124">
        <v>96.7</v>
      </c>
      <c r="M893" s="91" t="s">
        <v>2889</v>
      </c>
      <c r="N893" s="91" t="s">
        <v>2890</v>
      </c>
      <c r="O893" s="93" t="s">
        <v>2891</v>
      </c>
      <c r="P893" s="95"/>
      <c r="Q893" s="95"/>
      <c r="R893" s="95"/>
      <c r="S893" s="95"/>
      <c r="T893" s="95"/>
      <c r="U893" s="95"/>
      <c r="V893" s="95"/>
      <c r="W893" s="95"/>
      <c r="X893" s="95"/>
      <c r="Y893" s="95"/>
      <c r="Z893" s="95"/>
    </row>
    <row r="894" spans="1:26" ht="15.75" customHeight="1" x14ac:dyDescent="0.2">
      <c r="A894" s="89" t="s">
        <v>2892</v>
      </c>
      <c r="B894" s="89" t="s">
        <v>2893</v>
      </c>
      <c r="C894" s="89" t="s">
        <v>2584</v>
      </c>
      <c r="D894" s="92" t="s">
        <v>2894</v>
      </c>
      <c r="E894" s="89"/>
      <c r="F894" s="90">
        <v>230.23</v>
      </c>
      <c r="G894" s="89"/>
      <c r="H894" s="89"/>
      <c r="I894" s="91">
        <v>100</v>
      </c>
      <c r="J894" s="91">
        <v>0</v>
      </c>
      <c r="K894" s="91">
        <v>0</v>
      </c>
      <c r="L894" s="91">
        <v>0</v>
      </c>
      <c r="M894" s="94" t="s">
        <v>2895</v>
      </c>
      <c r="N894" s="94" t="s">
        <v>2896</v>
      </c>
      <c r="O894" s="92" t="s">
        <v>2897</v>
      </c>
      <c r="P894" s="95"/>
      <c r="Q894" s="95"/>
      <c r="R894" s="95"/>
      <c r="S894" s="95"/>
      <c r="T894" s="95"/>
      <c r="U894" s="95"/>
      <c r="V894" s="95"/>
      <c r="W894" s="95"/>
      <c r="X894" s="95"/>
      <c r="Y894" s="95"/>
      <c r="Z894" s="95"/>
    </row>
    <row r="895" spans="1:26" ht="235.5" customHeight="1" x14ac:dyDescent="0.2">
      <c r="A895" s="89" t="s">
        <v>2898</v>
      </c>
      <c r="B895" s="89" t="s">
        <v>2899</v>
      </c>
      <c r="C895" s="89" t="s">
        <v>214</v>
      </c>
      <c r="D895" s="92" t="s">
        <v>2900</v>
      </c>
      <c r="E895" s="89" t="s">
        <v>1679</v>
      </c>
      <c r="F895" s="90">
        <v>6.4</v>
      </c>
      <c r="G895" s="89"/>
      <c r="H895" s="89"/>
      <c r="I895" s="91">
        <v>0</v>
      </c>
      <c r="J895" s="91">
        <v>0</v>
      </c>
      <c r="K895" s="91">
        <v>90</v>
      </c>
      <c r="L895" s="91">
        <v>0</v>
      </c>
      <c r="M895" s="94" t="s">
        <v>2901</v>
      </c>
      <c r="N895" s="94" t="s">
        <v>2902</v>
      </c>
      <c r="O895" s="93" t="s">
        <v>2903</v>
      </c>
      <c r="P895" s="95"/>
      <c r="Q895" s="95"/>
      <c r="R895" s="95"/>
      <c r="S895" s="95"/>
      <c r="T895" s="95"/>
      <c r="U895" s="95"/>
      <c r="V895" s="95"/>
      <c r="W895" s="95"/>
      <c r="X895" s="95"/>
      <c r="Y895" s="95"/>
      <c r="Z895" s="95"/>
    </row>
    <row r="896" spans="1:26" ht="159" customHeight="1" x14ac:dyDescent="0.2">
      <c r="A896" s="89" t="s">
        <v>2904</v>
      </c>
      <c r="B896" s="89" t="s">
        <v>2905</v>
      </c>
      <c r="C896" s="89" t="s">
        <v>2906</v>
      </c>
      <c r="D896" s="89" t="s">
        <v>2907</v>
      </c>
      <c r="E896" s="89" t="s">
        <v>2878</v>
      </c>
      <c r="F896" s="90">
        <v>33.5</v>
      </c>
      <c r="G896" s="89"/>
      <c r="H896" s="89"/>
      <c r="I896" s="91">
        <v>25</v>
      </c>
      <c r="J896" s="91">
        <v>0</v>
      </c>
      <c r="K896" s="91">
        <v>75</v>
      </c>
      <c r="L896" s="91">
        <v>0</v>
      </c>
      <c r="M896" s="91" t="s">
        <v>732</v>
      </c>
      <c r="N896" s="91" t="s">
        <v>2908</v>
      </c>
      <c r="O896" s="89"/>
      <c r="P896" s="95"/>
      <c r="Q896" s="95"/>
      <c r="R896" s="95"/>
      <c r="S896" s="95"/>
      <c r="T896" s="95"/>
      <c r="U896" s="95"/>
      <c r="V896" s="95"/>
      <c r="W896" s="95"/>
      <c r="X896" s="95"/>
      <c r="Y896" s="95"/>
      <c r="Z896" s="95"/>
    </row>
    <row r="897" spans="1:26" ht="15.75" customHeight="1" x14ac:dyDescent="0.2">
      <c r="A897" s="89" t="s">
        <v>2909</v>
      </c>
      <c r="B897" s="89" t="s">
        <v>2910</v>
      </c>
      <c r="C897" s="89" t="s">
        <v>2911</v>
      </c>
      <c r="D897" s="92" t="s">
        <v>2912</v>
      </c>
      <c r="E897" s="89"/>
      <c r="F897" s="90">
        <v>4.25</v>
      </c>
      <c r="G897" s="89"/>
      <c r="H897" s="89"/>
      <c r="I897" s="91">
        <v>0</v>
      </c>
      <c r="J897" s="91">
        <v>0</v>
      </c>
      <c r="K897" s="91">
        <v>96</v>
      </c>
      <c r="L897" s="91">
        <v>96</v>
      </c>
      <c r="M897" s="94" t="s">
        <v>2913</v>
      </c>
      <c r="N897" s="94" t="s">
        <v>2914</v>
      </c>
      <c r="O897" s="93" t="s">
        <v>2915</v>
      </c>
      <c r="P897" s="95"/>
      <c r="Q897" s="95"/>
      <c r="R897" s="95"/>
      <c r="S897" s="95"/>
      <c r="T897" s="95"/>
      <c r="U897" s="95"/>
      <c r="V897" s="95"/>
      <c r="W897" s="95"/>
      <c r="X897" s="95"/>
      <c r="Y897" s="95"/>
      <c r="Z897" s="95"/>
    </row>
    <row r="898" spans="1:26" ht="15.75" customHeight="1" x14ac:dyDescent="0.2">
      <c r="A898" s="89" t="s">
        <v>2916</v>
      </c>
      <c r="B898" s="89" t="s">
        <v>735</v>
      </c>
      <c r="C898" s="89" t="s">
        <v>407</v>
      </c>
      <c r="D898" s="334" t="s">
        <v>2917</v>
      </c>
      <c r="E898" s="89"/>
      <c r="F898" s="90">
        <v>12.5</v>
      </c>
      <c r="G898" s="89"/>
      <c r="H898" s="89"/>
      <c r="I898" s="91">
        <v>0</v>
      </c>
      <c r="J898" s="91">
        <v>0</v>
      </c>
      <c r="K898" s="91">
        <v>100</v>
      </c>
      <c r="L898" s="91">
        <v>0</v>
      </c>
      <c r="M898" s="94" t="s">
        <v>2918</v>
      </c>
      <c r="N898" s="91" t="s">
        <v>2919</v>
      </c>
      <c r="O898" s="96" t="s">
        <v>2920</v>
      </c>
      <c r="P898" s="95"/>
      <c r="Q898" s="95"/>
      <c r="R898" s="95"/>
      <c r="S898" s="95"/>
      <c r="T898" s="95"/>
      <c r="U898" s="95"/>
      <c r="V898" s="95"/>
      <c r="W898" s="95"/>
      <c r="X898" s="95"/>
      <c r="Y898" s="95"/>
      <c r="Z898" s="95"/>
    </row>
    <row r="899" spans="1:26" ht="15.75" customHeight="1" x14ac:dyDescent="0.2">
      <c r="A899" s="89" t="s">
        <v>2921</v>
      </c>
      <c r="B899" s="89" t="s">
        <v>2922</v>
      </c>
      <c r="C899" s="89" t="s">
        <v>227</v>
      </c>
      <c r="D899" s="89" t="s">
        <v>2923</v>
      </c>
      <c r="E899" s="89" t="s">
        <v>2878</v>
      </c>
      <c r="F899" s="90">
        <v>100</v>
      </c>
      <c r="G899" s="89"/>
      <c r="H899" s="89"/>
      <c r="I899" s="91">
        <v>0</v>
      </c>
      <c r="J899" s="91">
        <v>0</v>
      </c>
      <c r="K899" s="91">
        <v>100</v>
      </c>
      <c r="L899" s="91">
        <v>0</v>
      </c>
      <c r="M899" s="91" t="s">
        <v>2924</v>
      </c>
      <c r="N899" s="91" t="s">
        <v>2925</v>
      </c>
      <c r="O899" s="92" t="s">
        <v>2926</v>
      </c>
      <c r="P899" s="95"/>
      <c r="Q899" s="95"/>
      <c r="R899" s="95"/>
      <c r="S899" s="95"/>
      <c r="T899" s="95"/>
      <c r="U899" s="95"/>
      <c r="V899" s="95"/>
      <c r="W899" s="95"/>
      <c r="X899" s="95"/>
      <c r="Y899" s="95"/>
      <c r="Z899" s="95"/>
    </row>
    <row r="900" spans="1:26" ht="153" customHeight="1" x14ac:dyDescent="0.2">
      <c r="A900" s="89" t="s">
        <v>2927</v>
      </c>
      <c r="B900" s="89" t="s">
        <v>2928</v>
      </c>
      <c r="C900" s="89" t="s">
        <v>696</v>
      </c>
      <c r="D900" s="329" t="s">
        <v>2929</v>
      </c>
      <c r="E900" s="89" t="s">
        <v>2878</v>
      </c>
      <c r="F900" s="90">
        <v>48.8</v>
      </c>
      <c r="G900" s="89"/>
      <c r="H900" s="89"/>
      <c r="I900" s="91">
        <v>0</v>
      </c>
      <c r="J900" s="91">
        <v>0</v>
      </c>
      <c r="K900" s="91">
        <v>100</v>
      </c>
      <c r="L900" s="91">
        <v>0</v>
      </c>
      <c r="M900" s="91" t="s">
        <v>2924</v>
      </c>
      <c r="N900" s="91" t="s">
        <v>2930</v>
      </c>
      <c r="O900" s="92" t="s">
        <v>2931</v>
      </c>
      <c r="P900" s="95"/>
      <c r="Q900" s="95"/>
      <c r="R900" s="95"/>
      <c r="S900" s="95"/>
      <c r="T900" s="95"/>
      <c r="U900" s="95"/>
      <c r="V900" s="95"/>
      <c r="W900" s="95"/>
      <c r="X900" s="95"/>
      <c r="Y900" s="95"/>
      <c r="Z900" s="95"/>
    </row>
    <row r="901" spans="1:26" ht="15.75" customHeight="1" x14ac:dyDescent="0.2">
      <c r="A901" s="89" t="s">
        <v>2932</v>
      </c>
      <c r="B901" s="89" t="s">
        <v>2933</v>
      </c>
      <c r="C901" s="89" t="s">
        <v>407</v>
      </c>
      <c r="D901" s="92" t="s">
        <v>2934</v>
      </c>
      <c r="E901" s="89" t="s">
        <v>2878</v>
      </c>
      <c r="F901" s="90">
        <v>94.57</v>
      </c>
      <c r="G901" s="89"/>
      <c r="H901" s="92" t="s">
        <v>2935</v>
      </c>
      <c r="I901" s="91">
        <v>0</v>
      </c>
      <c r="J901" s="91">
        <v>0</v>
      </c>
      <c r="K901" s="91">
        <v>100</v>
      </c>
      <c r="L901" s="91">
        <v>0</v>
      </c>
      <c r="M901" s="94" t="s">
        <v>2936</v>
      </c>
      <c r="N901" s="94" t="s">
        <v>2937</v>
      </c>
      <c r="O901" s="125" t="s">
        <v>2938</v>
      </c>
      <c r="P901" s="95"/>
      <c r="Q901" s="95"/>
      <c r="R901" s="95"/>
      <c r="S901" s="95"/>
      <c r="T901" s="95"/>
      <c r="U901" s="95"/>
      <c r="V901" s="95"/>
      <c r="W901" s="95"/>
      <c r="X901" s="95"/>
      <c r="Y901" s="95"/>
      <c r="Z901" s="95"/>
    </row>
    <row r="902" spans="1:26" ht="68" x14ac:dyDescent="0.2">
      <c r="A902" s="89" t="s">
        <v>2939</v>
      </c>
      <c r="B902" s="89" t="s">
        <v>2940</v>
      </c>
      <c r="C902" s="89" t="s">
        <v>696</v>
      </c>
      <c r="D902" s="89" t="s">
        <v>2941</v>
      </c>
      <c r="E902" s="89" t="s">
        <v>2878</v>
      </c>
      <c r="F902" s="90">
        <v>39.43</v>
      </c>
      <c r="G902" s="89"/>
      <c r="H902" s="89" t="s">
        <v>2942</v>
      </c>
      <c r="I902" s="91">
        <v>0</v>
      </c>
      <c r="J902" s="91">
        <v>0</v>
      </c>
      <c r="K902" s="91">
        <v>25</v>
      </c>
      <c r="L902" s="91">
        <v>0</v>
      </c>
      <c r="M902" s="94" t="s">
        <v>2943</v>
      </c>
      <c r="N902" s="94" t="s">
        <v>2944</v>
      </c>
      <c r="O902" s="92" t="s">
        <v>2554</v>
      </c>
      <c r="P902" s="95"/>
      <c r="Q902" s="95"/>
      <c r="R902" s="95"/>
      <c r="S902" s="95"/>
      <c r="T902" s="95"/>
      <c r="U902" s="95"/>
      <c r="V902" s="95"/>
      <c r="W902" s="95"/>
      <c r="X902" s="95"/>
      <c r="Y902" s="95"/>
      <c r="Z902" s="95"/>
    </row>
    <row r="903" spans="1:26" ht="15.75" customHeight="1" x14ac:dyDescent="0.2">
      <c r="A903" s="89" t="s">
        <v>2945</v>
      </c>
      <c r="B903" s="89" t="s">
        <v>2946</v>
      </c>
      <c r="C903" s="89" t="s">
        <v>407</v>
      </c>
      <c r="D903" s="89" t="s">
        <v>735</v>
      </c>
      <c r="E903" s="89" t="s">
        <v>2947</v>
      </c>
      <c r="F903" s="90"/>
      <c r="G903" s="89"/>
      <c r="H903" s="89"/>
      <c r="I903" s="91">
        <v>0</v>
      </c>
      <c r="J903" s="91">
        <v>0</v>
      </c>
      <c r="K903" s="91">
        <v>100</v>
      </c>
      <c r="L903" s="91">
        <v>0</v>
      </c>
      <c r="M903" s="94" t="s">
        <v>2943</v>
      </c>
      <c r="N903" s="91" t="s">
        <v>2919</v>
      </c>
      <c r="O903" s="89"/>
      <c r="P903" s="95"/>
      <c r="Q903" s="95"/>
      <c r="R903" s="95"/>
      <c r="S903" s="95"/>
      <c r="T903" s="95"/>
      <c r="U903" s="95"/>
      <c r="V903" s="95"/>
      <c r="W903" s="95"/>
      <c r="X903" s="95"/>
      <c r="Y903" s="95"/>
      <c r="Z903" s="95"/>
    </row>
    <row r="904" spans="1:26" ht="15.75" customHeight="1" x14ac:dyDescent="0.2">
      <c r="A904" s="89" t="s">
        <v>2948</v>
      </c>
      <c r="B904" s="89" t="s">
        <v>2949</v>
      </c>
      <c r="C904" s="89" t="s">
        <v>407</v>
      </c>
      <c r="D904" s="89" t="s">
        <v>745</v>
      </c>
      <c r="E904" s="89" t="s">
        <v>2878</v>
      </c>
      <c r="F904" s="90">
        <v>33.89</v>
      </c>
      <c r="G904" s="89"/>
      <c r="H904" s="92" t="s">
        <v>2950</v>
      </c>
      <c r="I904" s="91">
        <v>0</v>
      </c>
      <c r="J904" s="91">
        <v>0</v>
      </c>
      <c r="K904" s="91">
        <v>100</v>
      </c>
      <c r="L904" s="91">
        <v>0</v>
      </c>
      <c r="M904" s="94" t="s">
        <v>2951</v>
      </c>
      <c r="N904" s="91" t="s">
        <v>2952</v>
      </c>
      <c r="O904" s="92" t="s">
        <v>2953</v>
      </c>
      <c r="P904" s="95"/>
      <c r="Q904" s="95"/>
      <c r="R904" s="95"/>
      <c r="S904" s="95"/>
      <c r="T904" s="95"/>
      <c r="U904" s="95"/>
      <c r="V904" s="95"/>
      <c r="W904" s="95"/>
      <c r="X904" s="95"/>
      <c r="Y904" s="95"/>
      <c r="Z904" s="95"/>
    </row>
    <row r="905" spans="1:26" ht="36" customHeight="1" x14ac:dyDescent="0.2">
      <c r="A905" s="89" t="s">
        <v>2954</v>
      </c>
      <c r="B905" s="89" t="s">
        <v>1677</v>
      </c>
      <c r="C905" s="89" t="s">
        <v>2955</v>
      </c>
      <c r="D905" s="89" t="s">
        <v>2956</v>
      </c>
      <c r="E905" s="89" t="s">
        <v>2957</v>
      </c>
      <c r="F905" s="90"/>
      <c r="G905" s="89"/>
      <c r="H905" s="89"/>
      <c r="I905" s="91">
        <v>0</v>
      </c>
      <c r="J905" s="91">
        <v>0</v>
      </c>
      <c r="K905" s="91">
        <v>0</v>
      </c>
      <c r="L905" s="91">
        <v>0</v>
      </c>
      <c r="M905" s="91" t="s">
        <v>2957</v>
      </c>
      <c r="N905" s="91"/>
      <c r="O905" s="89"/>
      <c r="P905" s="95"/>
      <c r="Q905" s="95"/>
      <c r="R905" s="95"/>
      <c r="S905" s="95"/>
      <c r="T905" s="95"/>
      <c r="U905" s="95"/>
      <c r="V905" s="95"/>
      <c r="W905" s="95"/>
      <c r="X905" s="95"/>
      <c r="Y905" s="95"/>
      <c r="Z905" s="95"/>
    </row>
    <row r="906" spans="1:26" ht="96" customHeight="1" x14ac:dyDescent="0.2">
      <c r="A906" s="89" t="s">
        <v>2958</v>
      </c>
      <c r="B906" s="89" t="s">
        <v>2959</v>
      </c>
      <c r="C906" s="89" t="s">
        <v>625</v>
      </c>
      <c r="D906" s="89"/>
      <c r="E906" s="89"/>
      <c r="F906" s="90">
        <v>120</v>
      </c>
      <c r="G906" s="89"/>
      <c r="H906" s="89"/>
      <c r="I906" s="91">
        <v>100</v>
      </c>
      <c r="J906" s="91">
        <v>0</v>
      </c>
      <c r="K906" s="91">
        <v>0</v>
      </c>
      <c r="L906" s="91">
        <v>0</v>
      </c>
      <c r="M906" s="91"/>
      <c r="N906" s="91"/>
      <c r="O906" s="89"/>
      <c r="P906" s="95"/>
      <c r="Q906" s="95"/>
      <c r="R906" s="95"/>
      <c r="S906" s="95"/>
      <c r="T906" s="95"/>
      <c r="U906" s="95"/>
      <c r="V906" s="95"/>
      <c r="W906" s="95"/>
      <c r="X906" s="95"/>
      <c r="Y906" s="95"/>
      <c r="Z906" s="95"/>
    </row>
    <row r="907" spans="1:26" ht="15.75" customHeight="1" x14ac:dyDescent="0.2">
      <c r="A907" s="89" t="s">
        <v>2960</v>
      </c>
      <c r="B907" s="89" t="s">
        <v>2961</v>
      </c>
      <c r="C907" s="89" t="s">
        <v>625</v>
      </c>
      <c r="D907" s="89" t="s">
        <v>2962</v>
      </c>
      <c r="E907" s="89" t="s">
        <v>21</v>
      </c>
      <c r="F907" s="90">
        <v>225</v>
      </c>
      <c r="G907" s="89"/>
      <c r="H907" s="89"/>
      <c r="I907" s="91">
        <v>100</v>
      </c>
      <c r="J907" s="91">
        <v>100</v>
      </c>
      <c r="K907" s="91">
        <v>0</v>
      </c>
      <c r="L907" s="91">
        <v>0</v>
      </c>
      <c r="M907" s="94" t="s">
        <v>2963</v>
      </c>
      <c r="N907" s="126" t="s">
        <v>2964</v>
      </c>
      <c r="O907" s="89"/>
      <c r="P907" s="95"/>
      <c r="Q907" s="95"/>
      <c r="R907" s="95"/>
      <c r="S907" s="95"/>
      <c r="T907" s="95"/>
      <c r="U907" s="95"/>
      <c r="V907" s="95"/>
      <c r="W907" s="95"/>
      <c r="X907" s="95"/>
      <c r="Y907" s="95"/>
      <c r="Z907" s="95"/>
    </row>
    <row r="908" spans="1:26" ht="15.75" customHeight="1" x14ac:dyDescent="0.2">
      <c r="A908" s="89" t="s">
        <v>2965</v>
      </c>
      <c r="B908" s="89" t="s">
        <v>2966</v>
      </c>
      <c r="C908" s="89" t="s">
        <v>26</v>
      </c>
      <c r="D908" s="89" t="s">
        <v>2967</v>
      </c>
      <c r="E908" s="89" t="s">
        <v>21</v>
      </c>
      <c r="F908" s="90">
        <v>665</v>
      </c>
      <c r="G908" s="89"/>
      <c r="H908" s="89"/>
      <c r="I908" s="91">
        <v>100</v>
      </c>
      <c r="J908" s="91">
        <v>100</v>
      </c>
      <c r="K908" s="91">
        <v>0</v>
      </c>
      <c r="L908" s="91">
        <v>0</v>
      </c>
      <c r="M908" s="94" t="s">
        <v>2963</v>
      </c>
      <c r="N908" s="91" t="s">
        <v>2968</v>
      </c>
      <c r="O908" s="89"/>
      <c r="P908" s="95"/>
      <c r="Q908" s="95"/>
      <c r="R908" s="95"/>
      <c r="S908" s="95"/>
      <c r="T908" s="95"/>
      <c r="U908" s="95"/>
      <c r="V908" s="95"/>
      <c r="W908" s="95"/>
      <c r="X908" s="95"/>
      <c r="Y908" s="95"/>
      <c r="Z908" s="95"/>
    </row>
    <row r="909" spans="1:26" ht="15.75" customHeight="1" x14ac:dyDescent="0.2">
      <c r="A909" s="89" t="s">
        <v>2969</v>
      </c>
      <c r="B909" s="89" t="s">
        <v>2970</v>
      </c>
      <c r="C909" s="89" t="s">
        <v>625</v>
      </c>
      <c r="D909" s="89" t="s">
        <v>2971</v>
      </c>
      <c r="E909" s="89" t="s">
        <v>21</v>
      </c>
      <c r="F909" s="90">
        <v>105</v>
      </c>
      <c r="G909" s="89"/>
      <c r="H909" s="89"/>
      <c r="I909" s="91">
        <v>100</v>
      </c>
      <c r="J909" s="91">
        <v>100</v>
      </c>
      <c r="K909" s="91">
        <v>0</v>
      </c>
      <c r="L909" s="91">
        <v>0</v>
      </c>
      <c r="M909" s="94" t="s">
        <v>2963</v>
      </c>
      <c r="N909" s="91" t="s">
        <v>2972</v>
      </c>
      <c r="O909" s="89"/>
      <c r="P909" s="95"/>
      <c r="Q909" s="95"/>
      <c r="R909" s="95"/>
      <c r="S909" s="95"/>
      <c r="T909" s="95"/>
      <c r="U909" s="95"/>
      <c r="V909" s="95"/>
      <c r="W909" s="95"/>
      <c r="X909" s="95"/>
      <c r="Y909" s="95"/>
      <c r="Z909" s="95"/>
    </row>
    <row r="910" spans="1:26" ht="15.75" customHeight="1" x14ac:dyDescent="0.2">
      <c r="A910" s="89" t="s">
        <v>2973</v>
      </c>
      <c r="B910" s="89" t="s">
        <v>2974</v>
      </c>
      <c r="C910" s="89" t="s">
        <v>625</v>
      </c>
      <c r="D910" s="89"/>
      <c r="E910" s="89" t="s">
        <v>21</v>
      </c>
      <c r="F910" s="90">
        <v>120</v>
      </c>
      <c r="G910" s="89"/>
      <c r="H910" s="89"/>
      <c r="I910" s="91">
        <v>100</v>
      </c>
      <c r="J910" s="91">
        <v>0</v>
      </c>
      <c r="K910" s="91">
        <v>0</v>
      </c>
      <c r="L910" s="91">
        <v>0</v>
      </c>
      <c r="M910" s="94" t="s">
        <v>2963</v>
      </c>
      <c r="N910" s="91"/>
      <c r="O910" s="89"/>
      <c r="P910" s="95"/>
      <c r="Q910" s="95"/>
      <c r="R910" s="95"/>
      <c r="S910" s="95"/>
      <c r="T910" s="95"/>
      <c r="U910" s="95"/>
      <c r="V910" s="95"/>
      <c r="W910" s="95"/>
      <c r="X910" s="95"/>
      <c r="Y910" s="95"/>
      <c r="Z910" s="95"/>
    </row>
    <row r="911" spans="1:26" ht="15.75" customHeight="1" x14ac:dyDescent="0.2">
      <c r="A911" s="89" t="s">
        <v>2975</v>
      </c>
      <c r="B911" s="89" t="s">
        <v>2976</v>
      </c>
      <c r="C911" s="89" t="s">
        <v>625</v>
      </c>
      <c r="D911" s="89" t="s">
        <v>2977</v>
      </c>
      <c r="E911" s="89" t="s">
        <v>21</v>
      </c>
      <c r="F911" s="90">
        <v>350</v>
      </c>
      <c r="G911" s="89"/>
      <c r="H911" s="89"/>
      <c r="I911" s="91">
        <v>100</v>
      </c>
      <c r="J911" s="91">
        <v>100</v>
      </c>
      <c r="K911" s="91">
        <v>0</v>
      </c>
      <c r="L911" s="91">
        <v>0</v>
      </c>
      <c r="M911" s="94" t="s">
        <v>2963</v>
      </c>
      <c r="N911" s="342"/>
      <c r="O911" s="89"/>
      <c r="P911" s="95"/>
      <c r="Q911" s="95"/>
      <c r="R911" s="95"/>
      <c r="S911" s="95"/>
      <c r="T911" s="95"/>
      <c r="U911" s="95"/>
      <c r="V911" s="95"/>
      <c r="W911" s="95"/>
      <c r="X911" s="95"/>
      <c r="Y911" s="95"/>
      <c r="Z911" s="95"/>
    </row>
    <row r="912" spans="1:26" ht="15.75" customHeight="1" x14ac:dyDescent="0.2">
      <c r="A912" s="89" t="s">
        <v>2978</v>
      </c>
      <c r="B912" s="89" t="s">
        <v>2979</v>
      </c>
      <c r="C912" s="89" t="s">
        <v>625</v>
      </c>
      <c r="D912" s="89"/>
      <c r="E912" s="89" t="s">
        <v>21</v>
      </c>
      <c r="F912" s="90">
        <v>150</v>
      </c>
      <c r="G912" s="89"/>
      <c r="H912" s="89"/>
      <c r="I912" s="91">
        <v>100</v>
      </c>
      <c r="J912" s="91">
        <v>100</v>
      </c>
      <c r="K912" s="91">
        <v>0</v>
      </c>
      <c r="L912" s="91">
        <v>0</v>
      </c>
      <c r="M912" s="94" t="s">
        <v>2963</v>
      </c>
      <c r="N912" s="91"/>
      <c r="O912" s="89"/>
      <c r="P912" s="95"/>
      <c r="Q912" s="95"/>
      <c r="R912" s="95"/>
      <c r="S912" s="95"/>
      <c r="T912" s="95"/>
      <c r="U912" s="95"/>
      <c r="V912" s="95"/>
      <c r="W912" s="95"/>
      <c r="X912" s="95"/>
      <c r="Y912" s="95"/>
      <c r="Z912" s="95"/>
    </row>
    <row r="913" spans="1:26" ht="15.75" customHeight="1" x14ac:dyDescent="0.2">
      <c r="A913" s="89" t="s">
        <v>2980</v>
      </c>
      <c r="B913" s="89" t="s">
        <v>2981</v>
      </c>
      <c r="C913" s="89" t="s">
        <v>625</v>
      </c>
      <c r="D913" s="89" t="s">
        <v>2982</v>
      </c>
      <c r="E913" s="89" t="s">
        <v>21</v>
      </c>
      <c r="F913" s="90">
        <v>68</v>
      </c>
      <c r="G913" s="89"/>
      <c r="H913" s="89"/>
      <c r="I913" s="91">
        <v>100</v>
      </c>
      <c r="J913" s="91">
        <v>100</v>
      </c>
      <c r="K913" s="91">
        <v>0</v>
      </c>
      <c r="L913" s="91">
        <v>0</v>
      </c>
      <c r="M913" s="94" t="s">
        <v>2963</v>
      </c>
      <c r="N913" s="91" t="s">
        <v>2983</v>
      </c>
      <c r="O913" s="89"/>
      <c r="P913" s="95"/>
      <c r="Q913" s="95"/>
      <c r="R913" s="95"/>
      <c r="S913" s="95"/>
      <c r="T913" s="95"/>
      <c r="U913" s="95"/>
      <c r="V913" s="95"/>
      <c r="W913" s="95"/>
      <c r="X913" s="95"/>
      <c r="Y913" s="95"/>
      <c r="Z913" s="95"/>
    </row>
    <row r="914" spans="1:26" ht="15.75" customHeight="1" x14ac:dyDescent="0.2">
      <c r="A914" s="89" t="s">
        <v>2984</v>
      </c>
      <c r="B914" s="89" t="s">
        <v>2985</v>
      </c>
      <c r="C914" s="89" t="s">
        <v>625</v>
      </c>
      <c r="D914" s="89" t="s">
        <v>2986</v>
      </c>
      <c r="E914" s="89" t="s">
        <v>21</v>
      </c>
      <c r="F914" s="90">
        <v>240</v>
      </c>
      <c r="G914" s="89"/>
      <c r="H914" s="89"/>
      <c r="I914" s="91">
        <v>100</v>
      </c>
      <c r="J914" s="91">
        <v>100</v>
      </c>
      <c r="K914" s="91">
        <v>0</v>
      </c>
      <c r="L914" s="91">
        <v>0</v>
      </c>
      <c r="M914" s="94" t="s">
        <v>2963</v>
      </c>
      <c r="N914" s="91" t="s">
        <v>2987</v>
      </c>
      <c r="O914" s="89"/>
      <c r="P914" s="95"/>
      <c r="Q914" s="95"/>
      <c r="R914" s="95"/>
      <c r="S914" s="95"/>
      <c r="T914" s="95"/>
      <c r="U914" s="95"/>
      <c r="V914" s="95"/>
      <c r="W914" s="95"/>
      <c r="X914" s="95"/>
      <c r="Y914" s="95"/>
      <c r="Z914" s="95"/>
    </row>
    <row r="915" spans="1:26" ht="15.75" customHeight="1" x14ac:dyDescent="0.2">
      <c r="A915" s="89" t="s">
        <v>2988</v>
      </c>
      <c r="B915" s="89" t="s">
        <v>2989</v>
      </c>
      <c r="C915" s="89" t="s">
        <v>625</v>
      </c>
      <c r="D915" s="89" t="s">
        <v>2990</v>
      </c>
      <c r="E915" s="89" t="s">
        <v>21</v>
      </c>
      <c r="F915" s="90">
        <v>230</v>
      </c>
      <c r="G915" s="89"/>
      <c r="H915" s="89"/>
      <c r="I915" s="91">
        <v>100</v>
      </c>
      <c r="J915" s="91">
        <v>100</v>
      </c>
      <c r="K915" s="91">
        <v>0</v>
      </c>
      <c r="L915" s="91">
        <v>0</v>
      </c>
      <c r="M915" s="94" t="s">
        <v>2963</v>
      </c>
      <c r="N915" s="91" t="s">
        <v>2991</v>
      </c>
      <c r="O915" s="89"/>
      <c r="P915" s="95"/>
      <c r="Q915" s="95"/>
      <c r="R915" s="95"/>
      <c r="S915" s="95"/>
      <c r="T915" s="95"/>
      <c r="U915" s="95"/>
      <c r="V915" s="95"/>
      <c r="W915" s="95"/>
      <c r="X915" s="95"/>
      <c r="Y915" s="95"/>
      <c r="Z915" s="95"/>
    </row>
    <row r="916" spans="1:26" ht="15.75" customHeight="1" x14ac:dyDescent="0.2">
      <c r="A916" s="89" t="s">
        <v>2992</v>
      </c>
      <c r="B916" s="89" t="s">
        <v>2993</v>
      </c>
      <c r="C916" s="89" t="s">
        <v>625</v>
      </c>
      <c r="D916" s="89" t="s">
        <v>2994</v>
      </c>
      <c r="E916" s="89" t="s">
        <v>21</v>
      </c>
      <c r="F916" s="90">
        <v>90</v>
      </c>
      <c r="G916" s="89"/>
      <c r="H916" s="89"/>
      <c r="I916" s="91">
        <v>100</v>
      </c>
      <c r="J916" s="91">
        <v>100</v>
      </c>
      <c r="K916" s="91">
        <v>0</v>
      </c>
      <c r="L916" s="91">
        <v>0</v>
      </c>
      <c r="M916" s="94" t="s">
        <v>2963</v>
      </c>
      <c r="N916" s="91"/>
      <c r="O916" s="89"/>
      <c r="P916" s="95"/>
      <c r="Q916" s="95"/>
      <c r="R916" s="95"/>
      <c r="S916" s="95"/>
      <c r="T916" s="95"/>
      <c r="U916" s="95"/>
      <c r="V916" s="95"/>
      <c r="W916" s="95"/>
      <c r="X916" s="95"/>
      <c r="Y916" s="95"/>
      <c r="Z916" s="95"/>
    </row>
    <row r="917" spans="1:26" ht="15.75" customHeight="1" x14ac:dyDescent="0.2">
      <c r="A917" s="89" t="s">
        <v>2995</v>
      </c>
      <c r="B917" s="89" t="s">
        <v>2996</v>
      </c>
      <c r="C917" s="89" t="s">
        <v>625</v>
      </c>
      <c r="D917" s="89" t="s">
        <v>2997</v>
      </c>
      <c r="E917" s="89" t="s">
        <v>21</v>
      </c>
      <c r="F917" s="90">
        <v>295</v>
      </c>
      <c r="G917" s="89"/>
      <c r="H917" s="89"/>
      <c r="I917" s="91">
        <v>100</v>
      </c>
      <c r="J917" s="91">
        <v>100</v>
      </c>
      <c r="K917" s="91">
        <v>0</v>
      </c>
      <c r="L917" s="91">
        <v>0</v>
      </c>
      <c r="M917" s="94" t="s">
        <v>2963</v>
      </c>
      <c r="N917" s="91" t="s">
        <v>2998</v>
      </c>
      <c r="O917" s="89"/>
      <c r="P917" s="95"/>
      <c r="Q917" s="95"/>
      <c r="R917" s="95"/>
      <c r="S917" s="95"/>
      <c r="T917" s="95"/>
      <c r="U917" s="95"/>
      <c r="V917" s="95"/>
      <c r="W917" s="95"/>
      <c r="X917" s="95"/>
      <c r="Y917" s="95"/>
      <c r="Z917" s="95"/>
    </row>
    <row r="918" spans="1:26" ht="15.75" customHeight="1" x14ac:dyDescent="0.2">
      <c r="A918" s="89" t="s">
        <v>2999</v>
      </c>
      <c r="B918" s="89" t="s">
        <v>3000</v>
      </c>
      <c r="C918" s="89" t="s">
        <v>625</v>
      </c>
      <c r="D918" s="89"/>
      <c r="E918" s="89" t="s">
        <v>21</v>
      </c>
      <c r="F918" s="90">
        <v>965</v>
      </c>
      <c r="G918" s="89"/>
      <c r="H918" s="89"/>
      <c r="I918" s="91">
        <v>100</v>
      </c>
      <c r="J918" s="91">
        <v>0</v>
      </c>
      <c r="K918" s="91">
        <v>0</v>
      </c>
      <c r="L918" s="91">
        <v>0</v>
      </c>
      <c r="M918" s="94" t="s">
        <v>2963</v>
      </c>
      <c r="N918" s="91"/>
      <c r="O918" s="89"/>
      <c r="P918" s="95"/>
      <c r="Q918" s="95"/>
      <c r="R918" s="95"/>
      <c r="S918" s="95"/>
      <c r="T918" s="95"/>
      <c r="U918" s="95"/>
      <c r="V918" s="95"/>
      <c r="W918" s="95"/>
      <c r="X918" s="95"/>
      <c r="Y918" s="95"/>
      <c r="Z918" s="95"/>
    </row>
    <row r="919" spans="1:26" ht="15.75" customHeight="1" x14ac:dyDescent="0.2">
      <c r="A919" s="89" t="s">
        <v>3001</v>
      </c>
      <c r="B919" s="89" t="s">
        <v>3002</v>
      </c>
      <c r="C919" s="89" t="s">
        <v>625</v>
      </c>
      <c r="D919" s="89" t="s">
        <v>3003</v>
      </c>
      <c r="E919" s="89" t="s">
        <v>21</v>
      </c>
      <c r="F919" s="90">
        <v>250</v>
      </c>
      <c r="G919" s="89"/>
      <c r="H919" s="89"/>
      <c r="I919" s="91">
        <v>100</v>
      </c>
      <c r="J919" s="91">
        <v>100</v>
      </c>
      <c r="K919" s="91">
        <v>0</v>
      </c>
      <c r="L919" s="91">
        <v>0</v>
      </c>
      <c r="M919" s="94" t="s">
        <v>2963</v>
      </c>
      <c r="N919" s="91" t="s">
        <v>3004</v>
      </c>
      <c r="O919" s="89"/>
      <c r="P919" s="95"/>
      <c r="Q919" s="95"/>
      <c r="R919" s="95"/>
      <c r="S919" s="95"/>
      <c r="T919" s="95"/>
      <c r="U919" s="95"/>
      <c r="V919" s="95"/>
      <c r="W919" s="95"/>
      <c r="X919" s="95"/>
      <c r="Y919" s="95"/>
      <c r="Z919" s="95"/>
    </row>
    <row r="920" spans="1:26" ht="15.75" customHeight="1" x14ac:dyDescent="0.2">
      <c r="A920" s="89" t="s">
        <v>3005</v>
      </c>
      <c r="B920" s="89" t="s">
        <v>3006</v>
      </c>
      <c r="C920" s="89" t="s">
        <v>625</v>
      </c>
      <c r="D920" s="89"/>
      <c r="E920" s="89" t="s">
        <v>21</v>
      </c>
      <c r="F920" s="90">
        <v>150</v>
      </c>
      <c r="G920" s="89"/>
      <c r="H920" s="89"/>
      <c r="I920" s="91">
        <v>100</v>
      </c>
      <c r="J920" s="91">
        <v>100</v>
      </c>
      <c r="K920" s="91">
        <v>0</v>
      </c>
      <c r="L920" s="91">
        <v>0</v>
      </c>
      <c r="M920" s="94" t="s">
        <v>2963</v>
      </c>
      <c r="N920" s="91"/>
      <c r="O920" s="89"/>
      <c r="P920" s="95"/>
      <c r="Q920" s="95"/>
      <c r="R920" s="95"/>
      <c r="S920" s="95"/>
      <c r="T920" s="95"/>
      <c r="U920" s="95"/>
      <c r="V920" s="95"/>
      <c r="W920" s="95"/>
      <c r="X920" s="95"/>
      <c r="Y920" s="95"/>
      <c r="Z920" s="95"/>
    </row>
    <row r="921" spans="1:26" ht="15.75" customHeight="1" x14ac:dyDescent="0.2">
      <c r="A921" s="89" t="s">
        <v>3007</v>
      </c>
      <c r="B921" s="89" t="s">
        <v>3008</v>
      </c>
      <c r="C921" s="89" t="s">
        <v>625</v>
      </c>
      <c r="D921" s="89"/>
      <c r="E921" s="89" t="s">
        <v>21</v>
      </c>
      <c r="F921" s="90">
        <v>110</v>
      </c>
      <c r="G921" s="89"/>
      <c r="H921" s="89"/>
      <c r="I921" s="94">
        <v>100</v>
      </c>
      <c r="J921" s="91">
        <v>100</v>
      </c>
      <c r="K921" s="91">
        <v>0</v>
      </c>
      <c r="L921" s="91">
        <v>0</v>
      </c>
      <c r="M921" s="94" t="s">
        <v>2963</v>
      </c>
      <c r="N921" s="342"/>
      <c r="O921" s="89"/>
      <c r="P921" s="95"/>
      <c r="Q921" s="95"/>
      <c r="R921" s="95"/>
      <c r="S921" s="95"/>
      <c r="T921" s="95"/>
      <c r="U921" s="95"/>
      <c r="V921" s="95"/>
      <c r="W921" s="95"/>
      <c r="X921" s="95"/>
      <c r="Y921" s="95"/>
      <c r="Z921" s="95"/>
    </row>
    <row r="922" spans="1:26" ht="15.75" customHeight="1" x14ac:dyDescent="0.2">
      <c r="A922" s="89" t="s">
        <v>3009</v>
      </c>
      <c r="B922" s="89" t="s">
        <v>3010</v>
      </c>
      <c r="C922" s="89" t="s">
        <v>625</v>
      </c>
      <c r="D922" s="89"/>
      <c r="E922" s="89" t="s">
        <v>21</v>
      </c>
      <c r="F922" s="90">
        <v>915</v>
      </c>
      <c r="G922" s="89"/>
      <c r="H922" s="89"/>
      <c r="I922" s="91">
        <v>100</v>
      </c>
      <c r="J922" s="91">
        <v>0</v>
      </c>
      <c r="K922" s="91">
        <v>0</v>
      </c>
      <c r="L922" s="91">
        <v>0</v>
      </c>
      <c r="M922" s="94" t="s">
        <v>2963</v>
      </c>
      <c r="N922" s="91"/>
      <c r="O922" s="89"/>
      <c r="P922" s="95"/>
      <c r="Q922" s="95"/>
      <c r="R922" s="95"/>
      <c r="S922" s="95"/>
      <c r="T922" s="95"/>
      <c r="U922" s="95"/>
      <c r="V922" s="95"/>
      <c r="W922" s="95"/>
      <c r="X922" s="95"/>
      <c r="Y922" s="95"/>
      <c r="Z922" s="95"/>
    </row>
    <row r="923" spans="1:26" ht="15.75" customHeight="1" x14ac:dyDescent="0.2">
      <c r="A923" s="89" t="s">
        <v>3011</v>
      </c>
      <c r="B923" s="89" t="s">
        <v>3012</v>
      </c>
      <c r="C923" s="89" t="s">
        <v>3013</v>
      </c>
      <c r="D923" s="89"/>
      <c r="E923" s="89" t="s">
        <v>21</v>
      </c>
      <c r="F923" s="90">
        <v>148.9</v>
      </c>
      <c r="G923" s="89"/>
      <c r="H923" s="89"/>
      <c r="I923" s="91"/>
      <c r="J923" s="91"/>
      <c r="K923" s="91"/>
      <c r="L923" s="91"/>
      <c r="M923" s="94" t="s">
        <v>2963</v>
      </c>
      <c r="N923" s="91"/>
      <c r="O923" s="89"/>
      <c r="P923" s="95"/>
      <c r="Q923" s="95"/>
      <c r="R923" s="95"/>
      <c r="S923" s="95"/>
      <c r="T923" s="95"/>
      <c r="U923" s="95"/>
      <c r="V923" s="95"/>
      <c r="W923" s="95"/>
      <c r="X923" s="95"/>
      <c r="Y923" s="95"/>
      <c r="Z923" s="95"/>
    </row>
    <row r="924" spans="1:26" ht="15.75" customHeight="1" x14ac:dyDescent="0.2">
      <c r="A924" s="127" t="s">
        <v>3014</v>
      </c>
      <c r="B924" s="128" t="s">
        <v>3015</v>
      </c>
      <c r="C924" s="128" t="s">
        <v>170</v>
      </c>
      <c r="D924" s="89"/>
      <c r="E924" s="89"/>
      <c r="F924" s="90">
        <v>58.8</v>
      </c>
      <c r="G924" s="127"/>
      <c r="H924" s="89"/>
      <c r="I924" s="91">
        <v>100</v>
      </c>
      <c r="J924" s="91">
        <v>0</v>
      </c>
      <c r="K924" s="91">
        <v>0</v>
      </c>
      <c r="L924" s="91">
        <v>0</v>
      </c>
      <c r="M924" s="94" t="s">
        <v>2963</v>
      </c>
      <c r="N924" s="91"/>
      <c r="O924" s="89"/>
      <c r="P924" s="95"/>
      <c r="Q924" s="95"/>
      <c r="R924" s="95"/>
      <c r="S924" s="95"/>
      <c r="T924" s="95"/>
      <c r="U924" s="95"/>
      <c r="V924" s="95"/>
      <c r="W924" s="95"/>
      <c r="X924" s="95"/>
      <c r="Y924" s="95"/>
      <c r="Z924" s="95"/>
    </row>
    <row r="925" spans="1:26" ht="15.75" customHeight="1" x14ac:dyDescent="0.2">
      <c r="A925" s="127" t="s">
        <v>3016</v>
      </c>
      <c r="B925" s="128" t="s">
        <v>3017</v>
      </c>
      <c r="C925" s="128" t="s">
        <v>625</v>
      </c>
      <c r="D925" s="127" t="s">
        <v>3018</v>
      </c>
      <c r="E925" s="89"/>
      <c r="F925" s="90">
        <v>520</v>
      </c>
      <c r="G925" s="127"/>
      <c r="H925" s="89"/>
      <c r="I925" s="91">
        <v>0</v>
      </c>
      <c r="J925" s="91">
        <v>0</v>
      </c>
      <c r="K925" s="91">
        <v>100</v>
      </c>
      <c r="L925" s="91">
        <v>0</v>
      </c>
      <c r="M925" s="91" t="s">
        <v>3019</v>
      </c>
      <c r="N925" s="122" t="s">
        <v>3020</v>
      </c>
      <c r="O925" s="92" t="s">
        <v>3021</v>
      </c>
      <c r="P925" s="95"/>
      <c r="Q925" s="95"/>
      <c r="R925" s="95"/>
      <c r="S925" s="95"/>
      <c r="T925" s="95"/>
      <c r="U925" s="95"/>
      <c r="V925" s="95"/>
      <c r="W925" s="95"/>
      <c r="X925" s="95"/>
      <c r="Y925" s="95"/>
      <c r="Z925" s="95"/>
    </row>
    <row r="926" spans="1:26" ht="15.75" customHeight="1" x14ac:dyDescent="0.2">
      <c r="A926" s="127" t="s">
        <v>3022</v>
      </c>
      <c r="B926" s="128" t="s">
        <v>3023</v>
      </c>
      <c r="C926" s="128"/>
      <c r="D926" s="89"/>
      <c r="E926" s="89"/>
      <c r="F926" s="90">
        <f>(F925/100)</f>
        <v>5.2</v>
      </c>
      <c r="G926" s="127"/>
      <c r="H926" s="92" t="s">
        <v>3024</v>
      </c>
      <c r="I926" s="91"/>
      <c r="J926" s="91"/>
      <c r="K926" s="91"/>
      <c r="L926" s="91"/>
      <c r="M926" s="91"/>
      <c r="N926" s="91"/>
      <c r="O926" s="89"/>
      <c r="P926" s="95"/>
      <c r="Q926" s="95"/>
      <c r="R926" s="95"/>
      <c r="S926" s="95"/>
      <c r="T926" s="95"/>
      <c r="U926" s="95"/>
      <c r="V926" s="95"/>
      <c r="W926" s="95"/>
      <c r="X926" s="95"/>
      <c r="Y926" s="95"/>
      <c r="Z926" s="95"/>
    </row>
    <row r="927" spans="1:26" ht="15.75" customHeight="1" x14ac:dyDescent="0.2">
      <c r="A927" s="127" t="s">
        <v>3025</v>
      </c>
      <c r="B927" s="89" t="s">
        <v>3026</v>
      </c>
      <c r="C927" s="128" t="s">
        <v>625</v>
      </c>
      <c r="D927" s="89" t="s">
        <v>3027</v>
      </c>
      <c r="E927" s="89" t="s">
        <v>21</v>
      </c>
      <c r="F927" s="90">
        <v>18200</v>
      </c>
      <c r="G927" s="127"/>
      <c r="H927" s="89"/>
      <c r="I927" s="91">
        <v>100</v>
      </c>
      <c r="J927" s="91">
        <v>0</v>
      </c>
      <c r="K927" s="91">
        <v>0</v>
      </c>
      <c r="L927" s="91">
        <v>0</v>
      </c>
      <c r="M927" s="91" t="s">
        <v>3028</v>
      </c>
      <c r="N927" s="91"/>
      <c r="O927" s="89"/>
      <c r="P927" s="95"/>
      <c r="Q927" s="95"/>
      <c r="R927" s="95"/>
      <c r="S927" s="95"/>
      <c r="T927" s="95"/>
      <c r="U927" s="95"/>
      <c r="V927" s="95"/>
      <c r="W927" s="95"/>
      <c r="X927" s="95"/>
      <c r="Y927" s="95"/>
      <c r="Z927" s="95"/>
    </row>
    <row r="928" spans="1:26" ht="15.75" customHeight="1" x14ac:dyDescent="0.2">
      <c r="A928" s="81" t="s">
        <v>3029</v>
      </c>
      <c r="B928" s="81" t="s">
        <v>3030</v>
      </c>
      <c r="C928" s="81" t="s">
        <v>20</v>
      </c>
      <c r="D928" s="81" t="s">
        <v>3031</v>
      </c>
      <c r="E928" s="81" t="s">
        <v>17</v>
      </c>
      <c r="F928" s="90">
        <v>6500</v>
      </c>
      <c r="G928" s="81"/>
      <c r="H928" s="81"/>
      <c r="I928" s="84">
        <v>100</v>
      </c>
      <c r="J928" s="84">
        <v>0</v>
      </c>
      <c r="K928" s="84">
        <v>0</v>
      </c>
      <c r="L928" s="84">
        <v>0</v>
      </c>
      <c r="M928" s="109" t="s">
        <v>3032</v>
      </c>
      <c r="N928" s="84" t="s">
        <v>3033</v>
      </c>
      <c r="O928" s="89"/>
      <c r="P928" s="95"/>
      <c r="Q928" s="95"/>
      <c r="R928" s="95"/>
      <c r="S928" s="95"/>
      <c r="T928" s="95"/>
      <c r="U928" s="95"/>
      <c r="V928" s="95"/>
      <c r="W928" s="95"/>
      <c r="X928" s="95"/>
      <c r="Y928" s="95"/>
      <c r="Z928" s="95"/>
    </row>
    <row r="929" spans="1:26" ht="15.75" customHeight="1" x14ac:dyDescent="0.2">
      <c r="A929" s="81" t="s">
        <v>3034</v>
      </c>
      <c r="B929" s="81" t="s">
        <v>3035</v>
      </c>
      <c r="C929" s="81" t="s">
        <v>625</v>
      </c>
      <c r="D929" s="81" t="s">
        <v>3036</v>
      </c>
      <c r="E929" s="81" t="s">
        <v>21</v>
      </c>
      <c r="F929" s="90">
        <v>3995</v>
      </c>
      <c r="G929" s="81"/>
      <c r="H929" s="81"/>
      <c r="I929" s="84">
        <v>100</v>
      </c>
      <c r="J929" s="84">
        <v>0</v>
      </c>
      <c r="K929" s="84">
        <v>0</v>
      </c>
      <c r="L929" s="84">
        <v>0</v>
      </c>
      <c r="M929" s="129" t="s">
        <v>3037</v>
      </c>
      <c r="N929" s="84" t="s">
        <v>3038</v>
      </c>
      <c r="O929" s="89"/>
      <c r="P929" s="95"/>
      <c r="Q929" s="95"/>
      <c r="R929" s="95"/>
      <c r="S929" s="95"/>
      <c r="T929" s="95"/>
      <c r="U929" s="95"/>
      <c r="V929" s="95"/>
      <c r="W929" s="95"/>
      <c r="X929" s="95"/>
      <c r="Y929" s="95"/>
      <c r="Z929" s="95"/>
    </row>
    <row r="930" spans="1:26" ht="15.75" customHeight="1" x14ac:dyDescent="0.2">
      <c r="A930" s="130" t="s">
        <v>3039</v>
      </c>
      <c r="B930" s="130" t="s">
        <v>620</v>
      </c>
      <c r="C930" s="130" t="s">
        <v>621</v>
      </c>
      <c r="D930" s="130" t="s">
        <v>3040</v>
      </c>
      <c r="E930" s="130" t="s">
        <v>17</v>
      </c>
      <c r="F930" s="90">
        <v>320</v>
      </c>
      <c r="G930" s="130"/>
      <c r="H930" s="130"/>
      <c r="I930" s="131">
        <v>100</v>
      </c>
      <c r="J930" s="131">
        <v>100</v>
      </c>
      <c r="K930" s="131">
        <v>0</v>
      </c>
      <c r="L930" s="131">
        <v>0</v>
      </c>
      <c r="M930" s="132" t="s">
        <v>3041</v>
      </c>
      <c r="N930" s="131" t="s">
        <v>3042</v>
      </c>
      <c r="O930" s="133" t="s">
        <v>3043</v>
      </c>
      <c r="P930" s="95"/>
      <c r="Q930" s="95"/>
      <c r="R930" s="95"/>
      <c r="S930" s="95"/>
      <c r="T930" s="95"/>
      <c r="U930" s="95"/>
      <c r="V930" s="95"/>
      <c r="W930" s="95"/>
      <c r="X930" s="95"/>
      <c r="Y930" s="95"/>
      <c r="Z930" s="95"/>
    </row>
    <row r="931" spans="1:26" ht="15.75" customHeight="1" x14ac:dyDescent="0.2">
      <c r="A931" s="130" t="s">
        <v>3044</v>
      </c>
      <c r="B931" s="130" t="s">
        <v>635</v>
      </c>
      <c r="C931" s="130" t="s">
        <v>621</v>
      </c>
      <c r="D931" s="130" t="s">
        <v>3045</v>
      </c>
      <c r="E931" s="130" t="s">
        <v>17</v>
      </c>
      <c r="F931" s="90">
        <v>380</v>
      </c>
      <c r="G931" s="130"/>
      <c r="H931" s="130"/>
      <c r="I931" s="131">
        <v>100</v>
      </c>
      <c r="J931" s="131">
        <v>100</v>
      </c>
      <c r="K931" s="131">
        <v>0</v>
      </c>
      <c r="L931" s="131">
        <v>0</v>
      </c>
      <c r="M931" s="132" t="s">
        <v>3046</v>
      </c>
      <c r="N931" s="131" t="s">
        <v>3047</v>
      </c>
      <c r="O931" s="133" t="s">
        <v>3048</v>
      </c>
      <c r="P931" s="95"/>
      <c r="Q931" s="95"/>
      <c r="R931" s="95"/>
      <c r="S931" s="95"/>
      <c r="T931" s="95"/>
      <c r="U931" s="95"/>
      <c r="V931" s="95"/>
      <c r="W931" s="95"/>
      <c r="X931" s="95"/>
      <c r="Y931" s="95"/>
      <c r="Z931" s="95"/>
    </row>
    <row r="932" spans="1:26" ht="15.75" customHeight="1" x14ac:dyDescent="0.2">
      <c r="A932" s="89" t="s">
        <v>3049</v>
      </c>
      <c r="B932" s="89" t="s">
        <v>3050</v>
      </c>
      <c r="C932" s="89" t="s">
        <v>656</v>
      </c>
      <c r="D932" s="89" t="s">
        <v>3019</v>
      </c>
      <c r="E932" s="89"/>
      <c r="F932" s="90">
        <v>47.5</v>
      </c>
      <c r="G932" s="89"/>
      <c r="H932" s="89"/>
      <c r="I932" s="91">
        <v>3.2</v>
      </c>
      <c r="J932" s="91">
        <v>0</v>
      </c>
      <c r="K932" s="91">
        <v>96.8</v>
      </c>
      <c r="L932" s="91">
        <v>0</v>
      </c>
      <c r="M932" s="91" t="s">
        <v>3028</v>
      </c>
      <c r="N932" s="91"/>
      <c r="O932" s="89"/>
      <c r="P932" s="95"/>
      <c r="Q932" s="95"/>
      <c r="R932" s="95"/>
      <c r="S932" s="95"/>
      <c r="T932" s="95"/>
      <c r="U932" s="95"/>
      <c r="V932" s="95"/>
      <c r="W932" s="95"/>
      <c r="X932" s="95"/>
      <c r="Y932" s="95"/>
      <c r="Z932" s="95"/>
    </row>
    <row r="933" spans="1:26" ht="15.75" customHeight="1" x14ac:dyDescent="0.2">
      <c r="A933" s="89" t="s">
        <v>3051</v>
      </c>
      <c r="B933" s="89" t="s">
        <v>3052</v>
      </c>
      <c r="C933" s="89" t="s">
        <v>656</v>
      </c>
      <c r="D933" s="89" t="s">
        <v>3019</v>
      </c>
      <c r="E933" s="89"/>
      <c r="F933" s="90">
        <v>55.8</v>
      </c>
      <c r="G933" s="89"/>
      <c r="H933" s="89"/>
      <c r="I933" s="91">
        <v>98.456000000000003</v>
      </c>
      <c r="J933" s="91">
        <v>0</v>
      </c>
      <c r="K933" s="91">
        <v>1.542</v>
      </c>
      <c r="L933" s="91">
        <v>0</v>
      </c>
      <c r="M933" s="91" t="s">
        <v>3028</v>
      </c>
      <c r="N933" s="91"/>
      <c r="O933" s="89"/>
      <c r="P933" s="95"/>
      <c r="Q933" s="95"/>
      <c r="R933" s="95"/>
      <c r="S933" s="95"/>
      <c r="T933" s="95"/>
      <c r="U933" s="95"/>
      <c r="V933" s="95"/>
      <c r="W933" s="95"/>
      <c r="X933" s="95"/>
      <c r="Y933" s="95"/>
      <c r="Z933" s="95"/>
    </row>
    <row r="934" spans="1:26" ht="15.75" customHeight="1" x14ac:dyDescent="0.2">
      <c r="A934" s="89" t="s">
        <v>3053</v>
      </c>
      <c r="B934" s="89" t="s">
        <v>3054</v>
      </c>
      <c r="C934" s="89" t="s">
        <v>399</v>
      </c>
      <c r="D934" s="89" t="s">
        <v>3019</v>
      </c>
      <c r="E934" s="89"/>
      <c r="F934" s="90">
        <v>164</v>
      </c>
      <c r="G934" s="89"/>
      <c r="H934" s="89"/>
      <c r="I934" s="91">
        <v>31</v>
      </c>
      <c r="J934" s="91">
        <v>0</v>
      </c>
      <c r="K934" s="91">
        <v>69</v>
      </c>
      <c r="L934" s="91">
        <v>62</v>
      </c>
      <c r="M934" s="91" t="s">
        <v>3028</v>
      </c>
      <c r="N934" s="91"/>
      <c r="O934" s="89"/>
      <c r="P934" s="95"/>
      <c r="Q934" s="95"/>
      <c r="R934" s="95"/>
      <c r="S934" s="95"/>
      <c r="T934" s="95"/>
      <c r="U934" s="95"/>
      <c r="V934" s="95"/>
      <c r="W934" s="95"/>
      <c r="X934" s="95"/>
      <c r="Y934" s="95"/>
      <c r="Z934" s="95"/>
    </row>
    <row r="935" spans="1:26" ht="15.75" customHeight="1" x14ac:dyDescent="0.2">
      <c r="A935" s="89" t="s">
        <v>3055</v>
      </c>
      <c r="B935" s="89" t="s">
        <v>3056</v>
      </c>
      <c r="C935" s="89" t="s">
        <v>1903</v>
      </c>
      <c r="D935" s="89" t="s">
        <v>3019</v>
      </c>
      <c r="E935" s="89"/>
      <c r="F935" s="90">
        <v>231</v>
      </c>
      <c r="G935" s="89"/>
      <c r="H935" s="89"/>
      <c r="I935" s="91">
        <v>100</v>
      </c>
      <c r="J935" s="91">
        <v>0</v>
      </c>
      <c r="K935" s="91">
        <v>0</v>
      </c>
      <c r="L935" s="91">
        <v>0</v>
      </c>
      <c r="M935" s="91" t="s">
        <v>3028</v>
      </c>
      <c r="N935" s="91"/>
      <c r="O935" s="89"/>
      <c r="P935" s="95"/>
      <c r="Q935" s="95"/>
      <c r="R935" s="95"/>
      <c r="S935" s="95"/>
      <c r="T935" s="95"/>
      <c r="U935" s="95"/>
      <c r="V935" s="95"/>
      <c r="W935" s="95"/>
      <c r="X935" s="95"/>
      <c r="Y935" s="95"/>
      <c r="Z935" s="95"/>
    </row>
    <row r="936" spans="1:26" ht="15.75" customHeight="1" x14ac:dyDescent="0.2">
      <c r="A936" s="89" t="s">
        <v>3057</v>
      </c>
      <c r="B936" s="89" t="s">
        <v>3058</v>
      </c>
      <c r="C936" s="89" t="s">
        <v>1903</v>
      </c>
      <c r="D936" s="89" t="s">
        <v>3019</v>
      </c>
      <c r="E936" s="89" t="s">
        <v>1900</v>
      </c>
      <c r="F936" s="90">
        <v>140</v>
      </c>
      <c r="G936" s="89"/>
      <c r="H936" s="89" t="s">
        <v>3059</v>
      </c>
      <c r="I936" s="91">
        <v>30.4</v>
      </c>
      <c r="J936" s="91">
        <v>0</v>
      </c>
      <c r="K936" s="91">
        <v>69.599999999999994</v>
      </c>
      <c r="L936" s="91">
        <v>0</v>
      </c>
      <c r="M936" s="91" t="s">
        <v>3028</v>
      </c>
      <c r="N936" s="91"/>
      <c r="O936" s="89"/>
      <c r="P936" s="95"/>
      <c r="Q936" s="95"/>
      <c r="R936" s="95"/>
      <c r="S936" s="95"/>
      <c r="T936" s="95"/>
      <c r="U936" s="95"/>
      <c r="V936" s="95"/>
      <c r="W936" s="95"/>
      <c r="X936" s="95"/>
      <c r="Y936" s="95"/>
      <c r="Z936" s="95"/>
    </row>
    <row r="937" spans="1:26" ht="15.75" customHeight="1" x14ac:dyDescent="0.2">
      <c r="A937" s="89" t="s">
        <v>3060</v>
      </c>
      <c r="B937" s="89" t="s">
        <v>3061</v>
      </c>
      <c r="C937" s="89" t="s">
        <v>3062</v>
      </c>
      <c r="D937" s="89" t="s">
        <v>4044</v>
      </c>
      <c r="E937" s="89"/>
      <c r="F937" s="90">
        <v>10.5</v>
      </c>
      <c r="G937" s="89"/>
      <c r="H937" s="89"/>
      <c r="I937" s="91">
        <v>0</v>
      </c>
      <c r="J937" s="91">
        <v>0</v>
      </c>
      <c r="K937" s="91">
        <v>0</v>
      </c>
      <c r="L937" s="91">
        <v>0</v>
      </c>
      <c r="M937" s="91"/>
      <c r="N937" s="91"/>
      <c r="O937" s="89"/>
      <c r="P937" s="95"/>
      <c r="Q937" s="95"/>
      <c r="R937" s="95"/>
      <c r="S937" s="95"/>
      <c r="T937" s="95"/>
      <c r="U937" s="95"/>
      <c r="V937" s="95"/>
      <c r="W937" s="95"/>
      <c r="X937" s="95"/>
      <c r="Y937" s="95"/>
      <c r="Z937" s="95"/>
    </row>
    <row r="938" spans="1:26" ht="15.75" customHeight="1" x14ac:dyDescent="0.2">
      <c r="A938" s="89" t="s">
        <v>3063</v>
      </c>
      <c r="B938" s="89" t="s">
        <v>3064</v>
      </c>
      <c r="C938" s="89" t="s">
        <v>3062</v>
      </c>
      <c r="D938" s="92" t="s">
        <v>3065</v>
      </c>
      <c r="E938" s="89"/>
      <c r="F938" s="90">
        <v>15.5</v>
      </c>
      <c r="G938" s="89"/>
      <c r="H938" s="89"/>
      <c r="I938" s="91">
        <v>0</v>
      </c>
      <c r="J938" s="91">
        <v>0</v>
      </c>
      <c r="K938" s="91">
        <v>0</v>
      </c>
      <c r="L938" s="91">
        <v>0</v>
      </c>
      <c r="M938" s="94" t="s">
        <v>3066</v>
      </c>
      <c r="N938" s="94" t="s">
        <v>3067</v>
      </c>
      <c r="O938" s="89"/>
      <c r="P938" s="95"/>
      <c r="Q938" s="95"/>
      <c r="R938" s="95"/>
      <c r="S938" s="95"/>
      <c r="T938" s="95"/>
      <c r="U938" s="95"/>
      <c r="V938" s="95"/>
      <c r="W938" s="95"/>
      <c r="X938" s="95"/>
      <c r="Y938" s="95"/>
      <c r="Z938" s="95"/>
    </row>
    <row r="939" spans="1:26" ht="15.75" customHeight="1" x14ac:dyDescent="0.2">
      <c r="A939" s="89" t="s">
        <v>3068</v>
      </c>
      <c r="B939" s="89" t="s">
        <v>3069</v>
      </c>
      <c r="C939" s="89" t="s">
        <v>273</v>
      </c>
      <c r="D939" s="89"/>
      <c r="E939" s="89"/>
      <c r="F939" s="90">
        <v>88.3</v>
      </c>
      <c r="G939" s="89"/>
      <c r="H939" s="89"/>
      <c r="I939" s="91">
        <v>0</v>
      </c>
      <c r="J939" s="91">
        <v>0</v>
      </c>
      <c r="K939" s="91">
        <v>3</v>
      </c>
      <c r="L939" s="91">
        <v>0</v>
      </c>
      <c r="M939" s="91"/>
      <c r="N939" s="91"/>
      <c r="O939" s="89"/>
      <c r="P939" s="95"/>
      <c r="Q939" s="95"/>
      <c r="R939" s="95"/>
      <c r="S939" s="95"/>
      <c r="T939" s="95"/>
      <c r="U939" s="95"/>
      <c r="V939" s="95"/>
      <c r="W939" s="95"/>
      <c r="X939" s="95"/>
      <c r="Y939" s="95"/>
      <c r="Z939" s="95"/>
    </row>
    <row r="940" spans="1:26" ht="15.75" customHeight="1" x14ac:dyDescent="0.2">
      <c r="A940" s="89" t="s">
        <v>3070</v>
      </c>
      <c r="B940" s="89" t="s">
        <v>3071</v>
      </c>
      <c r="C940" s="89" t="s">
        <v>121</v>
      </c>
      <c r="D940" s="89" t="s">
        <v>461</v>
      </c>
      <c r="E940" s="89"/>
      <c r="F940" s="90">
        <v>22.51</v>
      </c>
      <c r="G940" s="89"/>
      <c r="H940" s="89"/>
      <c r="I940" s="91">
        <v>0</v>
      </c>
      <c r="J940" s="91">
        <v>0</v>
      </c>
      <c r="K940" s="91">
        <v>0</v>
      </c>
      <c r="L940" s="91">
        <v>0</v>
      </c>
      <c r="M940" s="91" t="s">
        <v>3072</v>
      </c>
      <c r="N940" s="91"/>
      <c r="O940" s="93" t="s">
        <v>3073</v>
      </c>
      <c r="P940" s="95"/>
      <c r="Q940" s="95"/>
      <c r="R940" s="95"/>
      <c r="S940" s="95"/>
      <c r="T940" s="95"/>
      <c r="U940" s="95"/>
      <c r="V940" s="95"/>
      <c r="W940" s="95"/>
      <c r="X940" s="95"/>
      <c r="Y940" s="95"/>
      <c r="Z940" s="95"/>
    </row>
    <row r="941" spans="1:26" ht="15.75" customHeight="1" x14ac:dyDescent="0.2">
      <c r="A941" s="89" t="s">
        <v>3074</v>
      </c>
      <c r="B941" s="89" t="s">
        <v>3075</v>
      </c>
      <c r="C941" s="89" t="s">
        <v>273</v>
      </c>
      <c r="D941" s="89" t="s">
        <v>3076</v>
      </c>
      <c r="E941" s="89"/>
      <c r="F941" s="90">
        <v>148.9</v>
      </c>
      <c r="G941" s="89"/>
      <c r="H941" s="89"/>
      <c r="I941" s="91">
        <v>0</v>
      </c>
      <c r="J941" s="91">
        <v>0</v>
      </c>
      <c r="K941" s="91">
        <v>100</v>
      </c>
      <c r="L941" s="91">
        <v>0</v>
      </c>
      <c r="M941" s="91" t="s">
        <v>3077</v>
      </c>
      <c r="N941" s="91" t="s">
        <v>3078</v>
      </c>
      <c r="O941" s="89"/>
      <c r="P941" s="95"/>
      <c r="Q941" s="95"/>
      <c r="R941" s="95"/>
      <c r="S941" s="95"/>
      <c r="T941" s="95"/>
      <c r="U941" s="95"/>
      <c r="V941" s="95"/>
      <c r="W941" s="95"/>
      <c r="X941" s="95"/>
      <c r="Y941" s="95"/>
      <c r="Z941" s="95"/>
    </row>
    <row r="942" spans="1:26" ht="15.75" customHeight="1" x14ac:dyDescent="0.2">
      <c r="A942" s="89" t="s">
        <v>3079</v>
      </c>
      <c r="B942" s="89" t="s">
        <v>3080</v>
      </c>
      <c r="C942" s="89" t="s">
        <v>3081</v>
      </c>
      <c r="D942" s="89" t="s">
        <v>3082</v>
      </c>
      <c r="E942" s="89"/>
      <c r="F942" s="90">
        <v>35.9</v>
      </c>
      <c r="G942" s="89"/>
      <c r="H942" s="89"/>
      <c r="I942" s="91">
        <v>100</v>
      </c>
      <c r="J942" s="91">
        <v>100</v>
      </c>
      <c r="K942" s="91">
        <v>0</v>
      </c>
      <c r="L942" s="91">
        <v>0</v>
      </c>
      <c r="M942" s="91"/>
      <c r="N942" s="91" t="s">
        <v>2650</v>
      </c>
      <c r="O942" s="89"/>
      <c r="P942" s="95"/>
      <c r="Q942" s="95"/>
      <c r="R942" s="95"/>
      <c r="S942" s="95"/>
      <c r="T942" s="95"/>
      <c r="U942" s="95"/>
      <c r="V942" s="95"/>
      <c r="W942" s="95"/>
      <c r="X942" s="95"/>
      <c r="Y942" s="95"/>
      <c r="Z942" s="95"/>
    </row>
    <row r="943" spans="1:26" ht="15.75" customHeight="1" x14ac:dyDescent="0.2">
      <c r="A943" s="97" t="s">
        <v>3083</v>
      </c>
      <c r="B943" s="97" t="s">
        <v>3084</v>
      </c>
      <c r="C943" s="97" t="s">
        <v>184</v>
      </c>
      <c r="D943" s="346" t="s">
        <v>3085</v>
      </c>
      <c r="E943" s="98" t="s">
        <v>118</v>
      </c>
      <c r="F943" s="90">
        <v>632.22</v>
      </c>
      <c r="G943" s="97"/>
      <c r="H943" s="98" t="s">
        <v>3086</v>
      </c>
      <c r="I943" s="100">
        <v>100</v>
      </c>
      <c r="J943" s="100">
        <v>0</v>
      </c>
      <c r="K943" s="100">
        <v>0</v>
      </c>
      <c r="L943" s="100">
        <v>0</v>
      </c>
      <c r="M943" s="100" t="s">
        <v>3087</v>
      </c>
      <c r="N943" s="100" t="s">
        <v>3088</v>
      </c>
      <c r="O943" s="102" t="s">
        <v>3089</v>
      </c>
      <c r="P943" s="95"/>
      <c r="Q943" s="95"/>
      <c r="R943" s="95"/>
      <c r="S943" s="95"/>
      <c r="T943" s="95"/>
      <c r="U943" s="95"/>
      <c r="V943" s="95"/>
      <c r="W943" s="95"/>
      <c r="X943" s="95"/>
      <c r="Y943" s="95"/>
      <c r="Z943" s="95"/>
    </row>
    <row r="944" spans="1:26" ht="15.75" customHeight="1" x14ac:dyDescent="0.2">
      <c r="A944" s="97" t="s">
        <v>3090</v>
      </c>
      <c r="B944" s="97" t="s">
        <v>3091</v>
      </c>
      <c r="C944" s="97" t="s">
        <v>3092</v>
      </c>
      <c r="D944" s="98" t="s">
        <v>3093</v>
      </c>
      <c r="E944" s="98" t="s">
        <v>3094</v>
      </c>
      <c r="F944" s="90">
        <v>11.5</v>
      </c>
      <c r="G944" s="97"/>
      <c r="H944" s="98" t="s">
        <v>3095</v>
      </c>
      <c r="I944" s="100">
        <v>0</v>
      </c>
      <c r="J944" s="100">
        <v>0</v>
      </c>
      <c r="K944" s="100">
        <v>0</v>
      </c>
      <c r="L944" s="100">
        <v>0</v>
      </c>
      <c r="M944" s="100" t="s">
        <v>3096</v>
      </c>
      <c r="N944" s="100" t="s">
        <v>3097</v>
      </c>
      <c r="O944" s="98" t="s">
        <v>3098</v>
      </c>
      <c r="P944" s="95"/>
      <c r="Q944" s="95"/>
      <c r="R944" s="95"/>
      <c r="S944" s="95"/>
      <c r="T944" s="95"/>
      <c r="U944" s="95"/>
      <c r="V944" s="95"/>
      <c r="W944" s="95"/>
      <c r="X944" s="95"/>
      <c r="Y944" s="95"/>
      <c r="Z944" s="95"/>
    </row>
    <row r="945" spans="1:26" ht="15.75" customHeight="1" x14ac:dyDescent="0.2">
      <c r="A945" s="89" t="s">
        <v>3099</v>
      </c>
      <c r="B945" s="89" t="s">
        <v>3100</v>
      </c>
      <c r="C945" s="89" t="s">
        <v>130</v>
      </c>
      <c r="D945" s="89" t="s">
        <v>3101</v>
      </c>
      <c r="E945" s="89"/>
      <c r="F945" s="90">
        <v>288.19</v>
      </c>
      <c r="G945" s="89"/>
      <c r="H945" s="89"/>
      <c r="I945" s="91">
        <v>100</v>
      </c>
      <c r="J945" s="91">
        <v>0</v>
      </c>
      <c r="K945" s="91">
        <v>0</v>
      </c>
      <c r="L945" s="91">
        <v>0</v>
      </c>
      <c r="M945" s="91"/>
      <c r="N945" s="91"/>
      <c r="O945" s="89"/>
      <c r="P945" s="95"/>
      <c r="Q945" s="95"/>
      <c r="R945" s="95"/>
      <c r="S945" s="95"/>
      <c r="T945" s="95"/>
      <c r="U945" s="95"/>
      <c r="V945" s="95"/>
      <c r="W945" s="95"/>
      <c r="X945" s="95"/>
      <c r="Y945" s="95"/>
      <c r="Z945" s="95"/>
    </row>
    <row r="946" spans="1:26" ht="15.75" customHeight="1" x14ac:dyDescent="0.2">
      <c r="A946" s="89" t="s">
        <v>3102</v>
      </c>
      <c r="B946" s="89" t="s">
        <v>3103</v>
      </c>
      <c r="C946" s="89" t="s">
        <v>95</v>
      </c>
      <c r="D946" s="89" t="s">
        <v>96</v>
      </c>
      <c r="E946" s="89" t="s">
        <v>97</v>
      </c>
      <c r="F946" s="90">
        <v>52</v>
      </c>
      <c r="G946" s="89"/>
      <c r="H946" s="89"/>
      <c r="I946" s="91">
        <v>100</v>
      </c>
      <c r="J946" s="91">
        <v>0</v>
      </c>
      <c r="K946" s="91">
        <v>0</v>
      </c>
      <c r="L946" s="91">
        <v>0</v>
      </c>
      <c r="M946" s="91"/>
      <c r="N946" s="91"/>
      <c r="O946" s="89"/>
      <c r="P946" s="95"/>
      <c r="Q946" s="95"/>
      <c r="R946" s="95"/>
      <c r="S946" s="95"/>
      <c r="T946" s="95"/>
      <c r="U946" s="95"/>
      <c r="V946" s="95"/>
      <c r="W946" s="95"/>
      <c r="X946" s="95"/>
      <c r="Y946" s="95"/>
      <c r="Z946" s="95"/>
    </row>
    <row r="947" spans="1:26" ht="15.75" customHeight="1" x14ac:dyDescent="0.2">
      <c r="A947" s="89" t="s">
        <v>3104</v>
      </c>
      <c r="B947" s="89" t="s">
        <v>3105</v>
      </c>
      <c r="C947" s="89" t="s">
        <v>2065</v>
      </c>
      <c r="D947" s="89"/>
      <c r="E947" s="89"/>
      <c r="F947" s="90">
        <v>8.35</v>
      </c>
      <c r="G947" s="89"/>
      <c r="H947" s="89"/>
      <c r="I947" s="91"/>
      <c r="J947" s="91"/>
      <c r="K947" s="91"/>
      <c r="L947" s="91"/>
      <c r="M947" s="91"/>
      <c r="N947" s="91"/>
      <c r="O947" s="89"/>
      <c r="P947" s="95"/>
      <c r="Q947" s="95"/>
      <c r="R947" s="95"/>
      <c r="S947" s="95"/>
      <c r="T947" s="95"/>
      <c r="U947" s="95"/>
      <c r="V947" s="95"/>
      <c r="W947" s="95"/>
      <c r="X947" s="95"/>
      <c r="Y947" s="95"/>
      <c r="Z947" s="95"/>
    </row>
    <row r="948" spans="1:26" ht="15.75" customHeight="1" x14ac:dyDescent="0.2">
      <c r="A948" s="127" t="s">
        <v>3106</v>
      </c>
      <c r="B948" s="128" t="s">
        <v>3107</v>
      </c>
      <c r="C948" s="128" t="s">
        <v>3092</v>
      </c>
      <c r="D948" s="89"/>
      <c r="E948" s="128"/>
      <c r="F948" s="90">
        <v>1.51</v>
      </c>
      <c r="G948" s="127"/>
      <c r="H948" s="89" t="s">
        <v>3108</v>
      </c>
      <c r="I948" s="91">
        <v>0</v>
      </c>
      <c r="J948" s="91">
        <v>0</v>
      </c>
      <c r="K948" s="91">
        <v>0</v>
      </c>
      <c r="L948" s="91">
        <v>0</v>
      </c>
      <c r="M948" s="91"/>
      <c r="N948" s="91"/>
      <c r="O948" s="81"/>
      <c r="P948" s="95"/>
      <c r="Q948" s="95"/>
      <c r="R948" s="95"/>
      <c r="S948" s="95"/>
      <c r="T948" s="95"/>
      <c r="U948" s="95"/>
      <c r="V948" s="95"/>
      <c r="W948" s="95"/>
      <c r="X948" s="95"/>
      <c r="Y948" s="95"/>
      <c r="Z948" s="95"/>
    </row>
    <row r="949" spans="1:26" ht="15.75" customHeight="1" x14ac:dyDescent="0.2">
      <c r="A949" s="127" t="s">
        <v>3109</v>
      </c>
      <c r="B949" s="128" t="s">
        <v>3110</v>
      </c>
      <c r="C949" s="128" t="s">
        <v>520</v>
      </c>
      <c r="D949" s="89"/>
      <c r="E949" s="128"/>
      <c r="F949" s="90">
        <v>3.19</v>
      </c>
      <c r="G949" s="127"/>
      <c r="H949" s="89"/>
      <c r="I949" s="91"/>
      <c r="J949" s="91"/>
      <c r="K949" s="91"/>
      <c r="L949" s="91"/>
      <c r="M949" s="91"/>
      <c r="N949" s="91"/>
      <c r="O949" s="81"/>
      <c r="P949" s="95"/>
      <c r="Q949" s="95"/>
      <c r="R949" s="95"/>
      <c r="S949" s="95"/>
      <c r="T949" s="95"/>
      <c r="U949" s="95"/>
      <c r="V949" s="95"/>
      <c r="W949" s="95"/>
      <c r="X949" s="95"/>
      <c r="Y949" s="95"/>
      <c r="Z949" s="95"/>
    </row>
    <row r="950" spans="1:26" ht="15.75" customHeight="1" x14ac:dyDescent="0.2">
      <c r="A950" s="89" t="s">
        <v>3111</v>
      </c>
      <c r="B950" s="89" t="s">
        <v>3112</v>
      </c>
      <c r="C950" s="89" t="s">
        <v>3113</v>
      </c>
      <c r="D950" s="89" t="s">
        <v>335</v>
      </c>
      <c r="E950" s="89" t="s">
        <v>3114</v>
      </c>
      <c r="F950" s="90">
        <v>330</v>
      </c>
      <c r="G950" s="89"/>
      <c r="H950" s="92" t="s">
        <v>3115</v>
      </c>
      <c r="I950" s="91">
        <v>0</v>
      </c>
      <c r="J950" s="91">
        <v>0</v>
      </c>
      <c r="K950" s="91">
        <v>100</v>
      </c>
      <c r="L950" s="91">
        <v>0</v>
      </c>
      <c r="M950" s="91" t="s">
        <v>297</v>
      </c>
      <c r="N950" s="91" t="s">
        <v>574</v>
      </c>
      <c r="O950" s="96" t="s">
        <v>3116</v>
      </c>
      <c r="P950" s="95"/>
      <c r="Q950" s="95"/>
      <c r="R950" s="95"/>
      <c r="S950" s="95"/>
      <c r="T950" s="95"/>
      <c r="U950" s="95"/>
      <c r="V950" s="95"/>
      <c r="W950" s="95"/>
      <c r="X950" s="95"/>
      <c r="Y950" s="95"/>
      <c r="Z950" s="95"/>
    </row>
    <row r="951" spans="1:26" ht="15.75" customHeight="1" x14ac:dyDescent="0.2">
      <c r="A951" s="89" t="s">
        <v>3117</v>
      </c>
      <c r="B951" s="89" t="s">
        <v>223</v>
      </c>
      <c r="C951" s="89" t="s">
        <v>214</v>
      </c>
      <c r="D951" s="89" t="s">
        <v>224</v>
      </c>
      <c r="E951" s="89" t="s">
        <v>261</v>
      </c>
      <c r="F951" s="89">
        <v>6.18</v>
      </c>
      <c r="G951" s="81"/>
      <c r="H951" s="89" t="s">
        <v>386</v>
      </c>
      <c r="I951" s="91">
        <v>0</v>
      </c>
      <c r="J951" s="91">
        <v>0</v>
      </c>
      <c r="K951" s="91">
        <v>100</v>
      </c>
      <c r="L951" s="91">
        <v>0</v>
      </c>
      <c r="M951" s="91" t="s">
        <v>310</v>
      </c>
      <c r="N951" s="91" t="s">
        <v>3118</v>
      </c>
      <c r="O951" s="93" t="s">
        <v>3119</v>
      </c>
    </row>
    <row r="952" spans="1:26" ht="15.75" customHeight="1" x14ac:dyDescent="0.2">
      <c r="A952" s="134" t="s">
        <v>3120</v>
      </c>
      <c r="B952" s="134" t="s">
        <v>552</v>
      </c>
      <c r="C952" s="134" t="s">
        <v>420</v>
      </c>
      <c r="D952" s="134" t="s">
        <v>545</v>
      </c>
      <c r="E952" s="134" t="s">
        <v>448</v>
      </c>
      <c r="F952" s="134"/>
      <c r="G952" s="344"/>
      <c r="H952" s="134"/>
      <c r="I952" s="135">
        <v>0</v>
      </c>
      <c r="J952" s="135">
        <v>0</v>
      </c>
      <c r="K952" s="135">
        <v>0</v>
      </c>
      <c r="L952" s="135">
        <v>0</v>
      </c>
      <c r="M952" s="135" t="s">
        <v>448</v>
      </c>
      <c r="N952" s="135" t="s">
        <v>3121</v>
      </c>
      <c r="O952" s="345" t="s">
        <v>3122</v>
      </c>
      <c r="P952" s="123"/>
      <c r="Q952" s="123"/>
      <c r="R952" s="123"/>
      <c r="S952" s="123"/>
      <c r="T952" s="123"/>
      <c r="U952" s="123"/>
      <c r="V952" s="123"/>
      <c r="W952" s="123"/>
      <c r="X952" s="123"/>
      <c r="Y952" s="123"/>
      <c r="Z952" s="123"/>
    </row>
    <row r="953" spans="1:26" ht="15.75" customHeight="1" x14ac:dyDescent="0.2">
      <c r="A953" s="89" t="s">
        <v>3123</v>
      </c>
      <c r="B953" s="89" t="s">
        <v>3124</v>
      </c>
      <c r="C953" s="89" t="s">
        <v>420</v>
      </c>
      <c r="D953" s="92" t="s">
        <v>3125</v>
      </c>
      <c r="E953" s="89" t="s">
        <v>532</v>
      </c>
      <c r="F953" s="89">
        <v>1080</v>
      </c>
      <c r="G953" s="81"/>
      <c r="H953" s="89" t="s">
        <v>3126</v>
      </c>
      <c r="I953" s="91">
        <v>100</v>
      </c>
      <c r="J953" s="91">
        <v>0</v>
      </c>
      <c r="K953" s="91">
        <v>0</v>
      </c>
      <c r="L953" s="91">
        <v>0</v>
      </c>
      <c r="M953" s="91" t="s">
        <v>297</v>
      </c>
      <c r="N953" s="91"/>
      <c r="O953" s="93"/>
      <c r="P953" s="81"/>
      <c r="Q953" s="81"/>
      <c r="R953" s="81"/>
      <c r="S953" s="81"/>
      <c r="T953" s="81"/>
      <c r="U953" s="81"/>
      <c r="V953" s="81"/>
      <c r="W953" s="81"/>
      <c r="X953" s="81"/>
      <c r="Y953" s="81"/>
      <c r="Z953" s="81"/>
    </row>
    <row r="954" spans="1:26" ht="15.75" customHeight="1" x14ac:dyDescent="0.2">
      <c r="A954" s="89" t="s">
        <v>4038</v>
      </c>
      <c r="B954" s="89" t="s">
        <v>525</v>
      </c>
      <c r="C954" s="89" t="s">
        <v>526</v>
      </c>
      <c r="D954" s="89" t="s">
        <v>4043</v>
      </c>
      <c r="E954" s="89" t="s">
        <v>527</v>
      </c>
      <c r="F954" s="90">
        <v>5</v>
      </c>
      <c r="G954" s="89"/>
      <c r="H954" s="92" t="s">
        <v>528</v>
      </c>
      <c r="I954" s="91">
        <v>100</v>
      </c>
      <c r="J954" s="91">
        <v>100</v>
      </c>
      <c r="K954" s="91">
        <v>0</v>
      </c>
      <c r="L954" s="91">
        <v>0</v>
      </c>
      <c r="M954" s="91" t="s">
        <v>310</v>
      </c>
      <c r="N954" s="91"/>
      <c r="O954" s="93"/>
      <c r="P954" s="81"/>
      <c r="Q954" s="81"/>
      <c r="R954" s="81"/>
      <c r="S954" s="81"/>
      <c r="T954" s="81"/>
      <c r="U954" s="81"/>
      <c r="V954" s="81"/>
      <c r="W954" s="81"/>
      <c r="X954" s="81"/>
      <c r="Y954" s="81"/>
      <c r="Z954" s="81"/>
    </row>
    <row r="955" spans="1:26" ht="15.75" customHeight="1" x14ac:dyDescent="0.2">
      <c r="A955" s="89" t="s">
        <v>4039</v>
      </c>
      <c r="B955" s="89" t="s">
        <v>313</v>
      </c>
      <c r="C955" s="89" t="s">
        <v>308</v>
      </c>
      <c r="D955" s="89" t="s">
        <v>309</v>
      </c>
      <c r="E955" s="89" t="s">
        <v>310</v>
      </c>
      <c r="F955" s="90">
        <v>18.5</v>
      </c>
      <c r="G955" s="89"/>
      <c r="H955" s="92" t="s">
        <v>311</v>
      </c>
      <c r="I955" s="91"/>
      <c r="J955" s="91"/>
      <c r="K955" s="91"/>
      <c r="L955" s="91"/>
      <c r="M955" s="91" t="s">
        <v>310</v>
      </c>
      <c r="N955" s="91"/>
      <c r="O955" s="93"/>
      <c r="P955" s="81"/>
      <c r="Q955" s="81"/>
      <c r="R955" s="81"/>
      <c r="S955" s="81"/>
      <c r="T955" s="81"/>
      <c r="U955" s="81"/>
      <c r="V955" s="81"/>
      <c r="W955" s="81"/>
      <c r="X955" s="81"/>
      <c r="Y955" s="81"/>
      <c r="Z955" s="81"/>
    </row>
    <row r="956" spans="1:26" ht="15.75" customHeight="1" x14ac:dyDescent="0.2">
      <c r="I956" s="136"/>
      <c r="J956" s="136"/>
      <c r="K956" s="136"/>
      <c r="L956" s="136"/>
      <c r="M956" s="136"/>
      <c r="N956" s="136"/>
    </row>
    <row r="957" spans="1:26" ht="15.75" customHeight="1" x14ac:dyDescent="0.2">
      <c r="I957" s="136"/>
      <c r="J957" s="136"/>
      <c r="K957" s="136"/>
      <c r="L957" s="136"/>
      <c r="M957" s="136"/>
      <c r="N957" s="136"/>
    </row>
    <row r="958" spans="1:26" ht="15.75" customHeight="1" x14ac:dyDescent="0.2">
      <c r="I958" s="136"/>
      <c r="J958" s="136"/>
      <c r="K958" s="136"/>
      <c r="L958" s="136"/>
      <c r="M958" s="136"/>
      <c r="N958" s="136"/>
    </row>
    <row r="959" spans="1:26" ht="15.75" customHeight="1" x14ac:dyDescent="0.2">
      <c r="I959" s="136"/>
      <c r="J959" s="136"/>
      <c r="K959" s="136"/>
      <c r="L959" s="136"/>
      <c r="M959" s="136"/>
      <c r="N959" s="136"/>
    </row>
    <row r="960" spans="1:26" ht="15.75" customHeight="1" x14ac:dyDescent="0.2">
      <c r="I960" s="136"/>
      <c r="J960" s="136"/>
      <c r="K960" s="136"/>
      <c r="L960" s="136"/>
      <c r="M960" s="136"/>
      <c r="N960" s="136"/>
    </row>
    <row r="961" spans="9:14" ht="15.75" customHeight="1" x14ac:dyDescent="0.2">
      <c r="I961" s="136"/>
      <c r="J961" s="136"/>
      <c r="K961" s="136"/>
      <c r="L961" s="136"/>
      <c r="M961" s="136"/>
      <c r="N961" s="136"/>
    </row>
    <row r="962" spans="9:14" ht="15.75" customHeight="1" x14ac:dyDescent="0.2">
      <c r="I962" s="136"/>
      <c r="J962" s="136"/>
      <c r="K962" s="136"/>
      <c r="L962" s="136"/>
      <c r="M962" s="136"/>
      <c r="N962" s="136"/>
    </row>
    <row r="963" spans="9:14" ht="15.75" customHeight="1" x14ac:dyDescent="0.2">
      <c r="I963" s="136"/>
      <c r="J963" s="136"/>
      <c r="K963" s="136"/>
      <c r="L963" s="136"/>
      <c r="M963" s="136"/>
      <c r="N963" s="136"/>
    </row>
    <row r="964" spans="9:14" ht="15.75" customHeight="1" x14ac:dyDescent="0.2">
      <c r="I964" s="136"/>
      <c r="J964" s="136"/>
      <c r="K964" s="136"/>
      <c r="L964" s="136"/>
      <c r="M964" s="136"/>
      <c r="N964" s="136"/>
    </row>
    <row r="965" spans="9:14" ht="15.75" customHeight="1" x14ac:dyDescent="0.2">
      <c r="I965" s="136"/>
      <c r="J965" s="136"/>
      <c r="K965" s="136"/>
      <c r="L965" s="136"/>
      <c r="M965" s="136"/>
      <c r="N965" s="136"/>
    </row>
    <row r="966" spans="9:14" ht="15.75" customHeight="1" x14ac:dyDescent="0.2">
      <c r="I966" s="136"/>
      <c r="J966" s="136"/>
      <c r="K966" s="136"/>
      <c r="L966" s="136"/>
      <c r="M966" s="136"/>
      <c r="N966" s="136"/>
    </row>
    <row r="967" spans="9:14" ht="15.75" customHeight="1" x14ac:dyDescent="0.2">
      <c r="I967" s="136"/>
      <c r="J967" s="136"/>
      <c r="K967" s="136"/>
      <c r="L967" s="136"/>
      <c r="M967" s="136"/>
      <c r="N967" s="136"/>
    </row>
    <row r="968" spans="9:14" ht="15.75" customHeight="1" x14ac:dyDescent="0.2">
      <c r="I968" s="136"/>
      <c r="J968" s="136"/>
      <c r="K968" s="136"/>
      <c r="L968" s="136"/>
      <c r="M968" s="136"/>
      <c r="N968" s="136"/>
    </row>
    <row r="969" spans="9:14" ht="15.75" customHeight="1" x14ac:dyDescent="0.2">
      <c r="I969" s="136"/>
      <c r="J969" s="136"/>
      <c r="K969" s="136"/>
      <c r="L969" s="136"/>
      <c r="M969" s="136"/>
      <c r="N969" s="136"/>
    </row>
    <row r="970" spans="9:14" ht="15.75" customHeight="1" x14ac:dyDescent="0.2">
      <c r="I970" s="136"/>
      <c r="J970" s="136"/>
      <c r="K970" s="136"/>
      <c r="L970" s="136"/>
      <c r="M970" s="136"/>
      <c r="N970" s="136"/>
    </row>
    <row r="971" spans="9:14" ht="15.75" customHeight="1" x14ac:dyDescent="0.2">
      <c r="I971" s="136"/>
      <c r="J971" s="136"/>
      <c r="K971" s="136"/>
      <c r="L971" s="136"/>
      <c r="M971" s="136"/>
      <c r="N971" s="136"/>
    </row>
    <row r="972" spans="9:14" ht="15.75" customHeight="1" x14ac:dyDescent="0.2">
      <c r="I972" s="136"/>
      <c r="J972" s="136"/>
      <c r="K972" s="136"/>
      <c r="L972" s="136"/>
      <c r="M972" s="136"/>
      <c r="N972" s="136"/>
    </row>
    <row r="973" spans="9:14" ht="15.75" customHeight="1" x14ac:dyDescent="0.2">
      <c r="I973" s="136"/>
      <c r="J973" s="136"/>
      <c r="K973" s="136"/>
      <c r="L973" s="136"/>
      <c r="M973" s="136"/>
      <c r="N973" s="136"/>
    </row>
    <row r="974" spans="9:14" ht="15.75" customHeight="1" x14ac:dyDescent="0.2">
      <c r="I974" s="136"/>
      <c r="J974" s="136"/>
      <c r="K974" s="136"/>
      <c r="L974" s="136"/>
      <c r="M974" s="136"/>
      <c r="N974" s="136"/>
    </row>
    <row r="975" spans="9:14" ht="15.75" customHeight="1" x14ac:dyDescent="0.2">
      <c r="I975" s="136"/>
      <c r="J975" s="136"/>
      <c r="K975" s="136"/>
      <c r="L975" s="136"/>
      <c r="M975" s="136"/>
      <c r="N975" s="136"/>
    </row>
    <row r="976" spans="9:14" ht="15.75" customHeight="1" x14ac:dyDescent="0.2">
      <c r="I976" s="136"/>
      <c r="J976" s="136"/>
      <c r="K976" s="136"/>
      <c r="L976" s="136"/>
      <c r="M976" s="136"/>
      <c r="N976" s="136"/>
    </row>
    <row r="977" spans="9:14" ht="15.75" customHeight="1" x14ac:dyDescent="0.2">
      <c r="I977" s="136"/>
      <c r="J977" s="136"/>
      <c r="K977" s="136"/>
      <c r="L977" s="136"/>
      <c r="M977" s="136"/>
      <c r="N977" s="136"/>
    </row>
    <row r="978" spans="9:14" ht="15.75" customHeight="1" x14ac:dyDescent="0.2">
      <c r="I978" s="136"/>
      <c r="J978" s="136"/>
      <c r="K978" s="136"/>
      <c r="L978" s="136"/>
      <c r="M978" s="136"/>
      <c r="N978" s="136"/>
    </row>
    <row r="979" spans="9:14" ht="15.75" customHeight="1" x14ac:dyDescent="0.2">
      <c r="I979" s="136"/>
      <c r="J979" s="136"/>
      <c r="K979" s="136"/>
      <c r="L979" s="136"/>
      <c r="M979" s="136"/>
      <c r="N979" s="136"/>
    </row>
    <row r="980" spans="9:14" ht="15.75" customHeight="1" x14ac:dyDescent="0.2">
      <c r="I980" s="136"/>
      <c r="J980" s="136"/>
      <c r="K980" s="136"/>
      <c r="L980" s="136"/>
      <c r="M980" s="136"/>
      <c r="N980" s="136"/>
    </row>
    <row r="981" spans="9:14" ht="15.75" customHeight="1" x14ac:dyDescent="0.2">
      <c r="I981" s="136"/>
      <c r="J981" s="136"/>
      <c r="K981" s="136"/>
      <c r="L981" s="136"/>
      <c r="M981" s="136"/>
      <c r="N981" s="136"/>
    </row>
    <row r="982" spans="9:14" ht="15.75" customHeight="1" x14ac:dyDescent="0.2">
      <c r="I982" s="136"/>
      <c r="J982" s="136"/>
      <c r="K982" s="136"/>
      <c r="L982" s="136"/>
      <c r="M982" s="136"/>
      <c r="N982" s="136"/>
    </row>
    <row r="983" spans="9:14" ht="15.75" customHeight="1" x14ac:dyDescent="0.2">
      <c r="I983" s="136"/>
      <c r="J983" s="136"/>
      <c r="K983" s="136"/>
      <c r="L983" s="136"/>
      <c r="M983" s="136"/>
      <c r="N983" s="136"/>
    </row>
    <row r="984" spans="9:14" ht="15.75" customHeight="1" x14ac:dyDescent="0.2">
      <c r="I984" s="136"/>
      <c r="J984" s="136"/>
      <c r="K984" s="136"/>
      <c r="L984" s="136"/>
      <c r="M984" s="136"/>
      <c r="N984" s="136"/>
    </row>
    <row r="985" spans="9:14" ht="15.75" customHeight="1" x14ac:dyDescent="0.2">
      <c r="I985" s="136"/>
      <c r="J985" s="136"/>
      <c r="K985" s="136"/>
      <c r="L985" s="136"/>
      <c r="M985" s="136"/>
      <c r="N985" s="136"/>
    </row>
    <row r="986" spans="9:14" ht="15.75" customHeight="1" x14ac:dyDescent="0.2">
      <c r="I986" s="136"/>
      <c r="J986" s="136"/>
      <c r="K986" s="136"/>
      <c r="L986" s="136"/>
      <c r="M986" s="136"/>
      <c r="N986" s="136"/>
    </row>
    <row r="987" spans="9:14" ht="15.75" customHeight="1" x14ac:dyDescent="0.2">
      <c r="I987" s="136"/>
      <c r="J987" s="136"/>
      <c r="K987" s="136"/>
      <c r="L987" s="136"/>
      <c r="M987" s="136"/>
      <c r="N987" s="136"/>
    </row>
    <row r="988" spans="9:14" ht="15.75" customHeight="1" x14ac:dyDescent="0.2">
      <c r="I988" s="136"/>
      <c r="J988" s="136"/>
      <c r="K988" s="136"/>
      <c r="L988" s="136"/>
      <c r="M988" s="136"/>
      <c r="N988" s="136"/>
    </row>
    <row r="989" spans="9:14" ht="15.75" customHeight="1" x14ac:dyDescent="0.2">
      <c r="I989" s="136"/>
      <c r="J989" s="136"/>
      <c r="K989" s="136"/>
      <c r="L989" s="136"/>
      <c r="M989" s="136"/>
      <c r="N989" s="136"/>
    </row>
    <row r="990" spans="9:14" ht="15.75" customHeight="1" x14ac:dyDescent="0.2">
      <c r="I990" s="136"/>
      <c r="J990" s="136"/>
      <c r="K990" s="136"/>
      <c r="L990" s="136"/>
      <c r="M990" s="136"/>
      <c r="N990" s="136"/>
    </row>
    <row r="991" spans="9:14" ht="15.75" customHeight="1" x14ac:dyDescent="0.2">
      <c r="I991" s="136"/>
      <c r="J991" s="136"/>
      <c r="K991" s="136"/>
      <c r="L991" s="136"/>
      <c r="M991" s="136"/>
      <c r="N991" s="136"/>
    </row>
    <row r="992" spans="9:14" ht="15.75" customHeight="1" x14ac:dyDescent="0.2">
      <c r="I992" s="136"/>
      <c r="J992" s="136"/>
      <c r="K992" s="136"/>
      <c r="L992" s="136"/>
      <c r="M992" s="136"/>
      <c r="N992" s="136"/>
    </row>
    <row r="993" spans="1:14" ht="15.75" customHeight="1" x14ac:dyDescent="0.2">
      <c r="I993" s="136"/>
      <c r="J993" s="136"/>
      <c r="K993" s="136"/>
      <c r="L993" s="136"/>
      <c r="M993" s="136"/>
      <c r="N993" s="136"/>
    </row>
    <row r="994" spans="1:14" ht="15.75" customHeight="1" x14ac:dyDescent="0.2">
      <c r="I994" s="136"/>
      <c r="J994" s="136"/>
      <c r="K994" s="136"/>
      <c r="L994" s="136"/>
      <c r="M994" s="136"/>
      <c r="N994" s="136"/>
    </row>
    <row r="995" spans="1:14" ht="15.75" customHeight="1" x14ac:dyDescent="0.2">
      <c r="I995" s="136"/>
      <c r="J995" s="136"/>
      <c r="K995" s="136"/>
      <c r="L995" s="136"/>
      <c r="M995" s="136"/>
      <c r="N995" s="136"/>
    </row>
    <row r="996" spans="1:14" ht="15.75" customHeight="1" x14ac:dyDescent="0.2">
      <c r="I996" s="136"/>
      <c r="J996" s="136"/>
      <c r="K996" s="136"/>
      <c r="L996" s="136"/>
      <c r="M996" s="136"/>
      <c r="N996" s="136"/>
    </row>
    <row r="997" spans="1:14" ht="15.75" customHeight="1" x14ac:dyDescent="0.2">
      <c r="I997" s="136"/>
      <c r="J997" s="136"/>
      <c r="K997" s="136"/>
      <c r="L997" s="136"/>
      <c r="M997" s="136"/>
      <c r="N997" s="136"/>
    </row>
    <row r="998" spans="1:14" ht="15.75" customHeight="1" x14ac:dyDescent="0.2">
      <c r="I998" s="136"/>
      <c r="J998" s="136"/>
      <c r="K998" s="136"/>
      <c r="L998" s="136"/>
      <c r="M998" s="136"/>
      <c r="N998" s="136"/>
    </row>
    <row r="999" spans="1:14" ht="15.75" customHeight="1" x14ac:dyDescent="0.2">
      <c r="I999" s="136"/>
      <c r="J999" s="136"/>
      <c r="K999" s="136"/>
      <c r="L999" s="136"/>
      <c r="M999" s="136"/>
      <c r="N999" s="136"/>
    </row>
    <row r="1000" spans="1:14" ht="15.75" customHeight="1" x14ac:dyDescent="0.2">
      <c r="A1000" s="353" t="s">
        <v>3156</v>
      </c>
      <c r="B1000" s="353" t="s">
        <v>4094</v>
      </c>
      <c r="C1000" s="353" t="s">
        <v>855</v>
      </c>
      <c r="D1000" s="353" t="s">
        <v>4095</v>
      </c>
      <c r="I1000" s="136"/>
      <c r="J1000" s="136"/>
      <c r="K1000" s="136"/>
      <c r="L1000" s="136"/>
      <c r="M1000" s="136"/>
      <c r="N1000" s="136"/>
    </row>
    <row r="1001" spans="1:14" ht="15.75" customHeight="1" x14ac:dyDescent="0.2">
      <c r="I1001" s="136"/>
      <c r="J1001" s="136"/>
      <c r="K1001" s="136"/>
      <c r="L1001" s="136"/>
      <c r="M1001" s="136"/>
      <c r="N1001" s="136"/>
    </row>
    <row r="1002" spans="1:14" ht="15.75" customHeight="1" x14ac:dyDescent="0.2">
      <c r="I1002" s="136"/>
      <c r="J1002" s="136"/>
      <c r="K1002" s="136"/>
      <c r="L1002" s="136"/>
      <c r="M1002" s="136"/>
      <c r="N1002" s="136"/>
    </row>
    <row r="1003" spans="1:14" ht="15.75" customHeight="1" x14ac:dyDescent="0.2">
      <c r="I1003" s="136"/>
      <c r="J1003" s="136"/>
      <c r="K1003" s="136"/>
      <c r="L1003" s="136"/>
      <c r="M1003" s="136"/>
      <c r="N1003" s="136"/>
    </row>
    <row r="1004" spans="1:14" ht="15.75" customHeight="1" x14ac:dyDescent="0.2">
      <c r="I1004" s="136"/>
      <c r="J1004" s="136"/>
      <c r="K1004" s="136"/>
      <c r="L1004" s="136"/>
      <c r="M1004" s="136"/>
      <c r="N1004" s="136"/>
    </row>
    <row r="1005" spans="1:14" ht="15.75" customHeight="1" x14ac:dyDescent="0.2">
      <c r="I1005" s="136"/>
      <c r="J1005" s="136"/>
      <c r="K1005" s="136"/>
      <c r="L1005" s="136"/>
      <c r="M1005" s="136"/>
      <c r="N1005" s="136"/>
    </row>
    <row r="1006" spans="1:14" ht="15.75" customHeight="1" x14ac:dyDescent="0.2">
      <c r="I1006" s="136"/>
      <c r="J1006" s="136"/>
      <c r="K1006" s="136"/>
      <c r="L1006" s="136"/>
      <c r="M1006" s="136"/>
      <c r="N1006" s="136"/>
    </row>
    <row r="1007" spans="1:14" ht="15.75" customHeight="1" x14ac:dyDescent="0.2">
      <c r="I1007" s="136"/>
      <c r="J1007" s="136"/>
      <c r="K1007" s="136"/>
      <c r="L1007" s="136"/>
      <c r="M1007" s="136"/>
      <c r="N1007" s="136"/>
    </row>
    <row r="1008" spans="1:14" ht="15.75" customHeight="1" x14ac:dyDescent="0.2">
      <c r="I1008" s="136"/>
      <c r="J1008" s="136"/>
      <c r="K1008" s="136"/>
      <c r="L1008" s="136"/>
      <c r="M1008" s="136"/>
      <c r="N1008" s="136"/>
    </row>
    <row r="1009" spans="9:14" ht="15.75" customHeight="1" x14ac:dyDescent="0.2">
      <c r="I1009" s="136"/>
      <c r="J1009" s="136"/>
      <c r="K1009" s="136"/>
      <c r="L1009" s="136"/>
      <c r="M1009" s="136"/>
      <c r="N1009" s="136"/>
    </row>
    <row r="1010" spans="9:14" ht="15.75" customHeight="1" x14ac:dyDescent="0.2">
      <c r="I1010" s="136"/>
      <c r="J1010" s="136"/>
      <c r="K1010" s="136"/>
      <c r="L1010" s="136"/>
      <c r="M1010" s="136"/>
      <c r="N1010" s="136"/>
    </row>
    <row r="1011" spans="9:14" ht="15.75" customHeight="1" x14ac:dyDescent="0.2">
      <c r="I1011" s="136"/>
      <c r="J1011" s="136"/>
      <c r="K1011" s="136"/>
      <c r="L1011" s="136"/>
      <c r="M1011" s="136"/>
      <c r="N1011" s="136"/>
    </row>
    <row r="1012" spans="9:14" ht="15.75" customHeight="1" x14ac:dyDescent="0.2">
      <c r="I1012" s="136"/>
      <c r="J1012" s="136"/>
      <c r="K1012" s="136"/>
      <c r="L1012" s="136"/>
      <c r="M1012" s="136"/>
      <c r="N1012" s="136"/>
    </row>
    <row r="1013" spans="9:14" ht="15.75" customHeight="1" x14ac:dyDescent="0.2">
      <c r="I1013" s="136"/>
      <c r="J1013" s="136"/>
      <c r="K1013" s="136"/>
      <c r="L1013" s="136"/>
      <c r="M1013" s="136"/>
      <c r="N1013" s="136"/>
    </row>
    <row r="1014" spans="9:14" ht="15.75" customHeight="1" x14ac:dyDescent="0.2">
      <c r="I1014" s="136"/>
      <c r="J1014" s="136"/>
      <c r="K1014" s="136"/>
      <c r="L1014" s="136"/>
      <c r="M1014" s="136"/>
      <c r="N1014" s="136"/>
    </row>
    <row r="1015" spans="9:14" ht="15.75" customHeight="1" x14ac:dyDescent="0.2">
      <c r="I1015" s="136"/>
      <c r="J1015" s="136"/>
      <c r="K1015" s="136"/>
      <c r="L1015" s="136"/>
      <c r="M1015" s="136"/>
      <c r="N1015" s="136"/>
    </row>
    <row r="1016" spans="9:14" ht="15.75" customHeight="1" x14ac:dyDescent="0.2">
      <c r="I1016" s="136"/>
      <c r="J1016" s="136"/>
      <c r="K1016" s="136"/>
      <c r="L1016" s="136"/>
      <c r="M1016" s="136"/>
      <c r="N1016" s="136"/>
    </row>
    <row r="1017" spans="9:14" ht="15.75" customHeight="1" x14ac:dyDescent="0.2">
      <c r="I1017" s="136"/>
      <c r="J1017" s="136"/>
      <c r="K1017" s="136"/>
      <c r="L1017" s="136"/>
      <c r="M1017" s="136"/>
      <c r="N1017" s="136"/>
    </row>
    <row r="1018" spans="9:14" ht="15.75" customHeight="1" x14ac:dyDescent="0.2">
      <c r="I1018" s="136"/>
      <c r="J1018" s="136"/>
      <c r="K1018" s="136"/>
      <c r="L1018" s="136"/>
      <c r="M1018" s="136"/>
      <c r="N1018" s="136"/>
    </row>
    <row r="1019" spans="9:14" ht="15.75" customHeight="1" x14ac:dyDescent="0.2">
      <c r="I1019" s="136"/>
      <c r="J1019" s="136"/>
      <c r="K1019" s="136"/>
      <c r="L1019" s="136"/>
      <c r="M1019" s="136"/>
      <c r="N1019" s="136"/>
    </row>
    <row r="1020" spans="9:14" ht="15.75" customHeight="1" x14ac:dyDescent="0.2">
      <c r="I1020" s="136"/>
      <c r="J1020" s="136"/>
      <c r="K1020" s="136"/>
      <c r="L1020" s="136"/>
      <c r="M1020" s="136"/>
      <c r="N1020" s="136"/>
    </row>
    <row r="1021" spans="9:14" ht="15.75" customHeight="1" x14ac:dyDescent="0.2">
      <c r="I1021" s="136"/>
      <c r="J1021" s="136"/>
      <c r="K1021" s="136"/>
      <c r="L1021" s="136"/>
      <c r="M1021" s="136"/>
      <c r="N1021" s="136"/>
    </row>
    <row r="1022" spans="9:14" ht="15.75" customHeight="1" x14ac:dyDescent="0.2">
      <c r="I1022" s="136"/>
      <c r="J1022" s="136"/>
      <c r="K1022" s="136"/>
      <c r="L1022" s="136"/>
      <c r="M1022" s="136"/>
      <c r="N1022" s="136"/>
    </row>
    <row r="1023" spans="9:14" ht="15.75" customHeight="1" x14ac:dyDescent="0.2">
      <c r="I1023" s="136"/>
      <c r="J1023" s="136"/>
      <c r="K1023" s="136"/>
      <c r="L1023" s="136"/>
      <c r="M1023" s="136"/>
      <c r="N1023" s="136"/>
    </row>
    <row r="1024" spans="9:14" ht="15.75" customHeight="1" x14ac:dyDescent="0.2">
      <c r="I1024" s="136"/>
      <c r="J1024" s="136"/>
      <c r="K1024" s="136"/>
      <c r="L1024" s="136"/>
      <c r="M1024" s="136"/>
      <c r="N1024" s="136"/>
    </row>
    <row r="1025" spans="9:14" ht="15.75" customHeight="1" x14ac:dyDescent="0.2">
      <c r="I1025" s="136"/>
      <c r="J1025" s="136"/>
      <c r="K1025" s="136"/>
      <c r="L1025" s="136"/>
      <c r="M1025" s="136"/>
      <c r="N1025" s="136"/>
    </row>
    <row r="1026" spans="9:14" ht="15.75" customHeight="1" x14ac:dyDescent="0.2">
      <c r="I1026" s="136"/>
      <c r="J1026" s="136"/>
      <c r="K1026" s="136"/>
      <c r="L1026" s="136"/>
      <c r="M1026" s="136"/>
      <c r="N1026" s="136"/>
    </row>
    <row r="1027" spans="9:14" ht="15.75" customHeight="1" x14ac:dyDescent="0.2">
      <c r="I1027" s="136"/>
      <c r="J1027" s="136"/>
      <c r="K1027" s="136"/>
      <c r="L1027" s="136"/>
      <c r="M1027" s="136"/>
      <c r="N1027" s="136"/>
    </row>
    <row r="1028" spans="9:14" ht="15.75" customHeight="1" x14ac:dyDescent="0.2">
      <c r="I1028" s="136"/>
      <c r="J1028" s="136"/>
      <c r="K1028" s="136"/>
      <c r="L1028" s="136"/>
      <c r="M1028" s="136"/>
      <c r="N1028" s="136"/>
    </row>
    <row r="1029" spans="9:14" ht="15.75" customHeight="1" x14ac:dyDescent="0.2">
      <c r="I1029" s="136"/>
      <c r="J1029" s="136"/>
      <c r="K1029" s="136"/>
      <c r="L1029" s="136"/>
      <c r="M1029" s="136"/>
      <c r="N1029" s="136"/>
    </row>
    <row r="1030" spans="9:14" ht="15.75" customHeight="1" x14ac:dyDescent="0.2">
      <c r="I1030" s="136"/>
      <c r="J1030" s="136"/>
      <c r="K1030" s="136"/>
      <c r="L1030" s="136"/>
      <c r="M1030" s="136"/>
      <c r="N1030" s="136"/>
    </row>
    <row r="1031" spans="9:14" ht="15.75" customHeight="1" x14ac:dyDescent="0.2">
      <c r="I1031" s="136"/>
      <c r="J1031" s="136"/>
      <c r="K1031" s="136"/>
      <c r="L1031" s="136"/>
      <c r="M1031" s="136"/>
      <c r="N1031" s="136"/>
    </row>
    <row r="1032" spans="9:14" ht="15.75" customHeight="1" x14ac:dyDescent="0.2">
      <c r="I1032" s="136"/>
      <c r="J1032" s="136"/>
      <c r="K1032" s="136"/>
      <c r="L1032" s="136"/>
      <c r="M1032" s="136"/>
      <c r="N1032" s="136"/>
    </row>
    <row r="1033" spans="9:14" ht="15.75" customHeight="1" x14ac:dyDescent="0.2">
      <c r="I1033" s="136"/>
      <c r="J1033" s="136"/>
      <c r="K1033" s="136"/>
      <c r="L1033" s="136"/>
      <c r="M1033" s="136"/>
      <c r="N1033" s="136"/>
    </row>
    <row r="1034" spans="9:14" ht="15.75" customHeight="1" x14ac:dyDescent="0.2">
      <c r="I1034" s="136"/>
      <c r="J1034" s="136"/>
      <c r="K1034" s="136"/>
      <c r="L1034" s="136"/>
      <c r="M1034" s="136"/>
      <c r="N1034" s="136"/>
    </row>
    <row r="1035" spans="9:14" ht="15.75" customHeight="1" x14ac:dyDescent="0.2">
      <c r="I1035" s="136"/>
      <c r="J1035" s="136"/>
      <c r="K1035" s="136"/>
      <c r="L1035" s="136"/>
      <c r="M1035" s="136"/>
      <c r="N1035" s="136"/>
    </row>
    <row r="1036" spans="9:14" ht="15.75" customHeight="1" x14ac:dyDescent="0.2">
      <c r="I1036" s="136"/>
      <c r="J1036" s="136"/>
      <c r="K1036" s="136"/>
      <c r="L1036" s="136"/>
      <c r="M1036" s="136"/>
      <c r="N1036" s="136"/>
    </row>
    <row r="1037" spans="9:14" ht="15.75" customHeight="1" x14ac:dyDescent="0.2">
      <c r="I1037" s="136"/>
      <c r="J1037" s="136"/>
      <c r="K1037" s="136"/>
      <c r="L1037" s="136"/>
      <c r="M1037" s="136"/>
      <c r="N1037" s="136"/>
    </row>
    <row r="1038" spans="9:14" ht="15.75" customHeight="1" x14ac:dyDescent="0.2">
      <c r="I1038" s="136"/>
      <c r="J1038" s="136"/>
      <c r="K1038" s="136"/>
      <c r="L1038" s="136"/>
      <c r="M1038" s="136"/>
      <c r="N1038" s="136"/>
    </row>
    <row r="1039" spans="9:14" ht="15.75" customHeight="1" x14ac:dyDescent="0.2">
      <c r="I1039" s="136"/>
      <c r="J1039" s="136"/>
      <c r="K1039" s="136"/>
      <c r="L1039" s="136"/>
      <c r="M1039" s="136"/>
      <c r="N1039" s="136"/>
    </row>
    <row r="1040" spans="9:14" ht="15.75" customHeight="1" x14ac:dyDescent="0.2">
      <c r="I1040" s="136"/>
      <c r="J1040" s="136"/>
      <c r="K1040" s="136"/>
      <c r="L1040" s="136"/>
      <c r="M1040" s="136"/>
      <c r="N1040" s="136"/>
    </row>
    <row r="1041" spans="9:14" ht="15.75" customHeight="1" x14ac:dyDescent="0.2">
      <c r="I1041" s="136"/>
      <c r="J1041" s="136"/>
      <c r="K1041" s="136"/>
      <c r="L1041" s="136"/>
      <c r="M1041" s="136"/>
      <c r="N1041" s="136"/>
    </row>
    <row r="1042" spans="9:14" ht="15.75" customHeight="1" x14ac:dyDescent="0.2">
      <c r="I1042" s="136"/>
      <c r="J1042" s="136"/>
      <c r="K1042" s="136"/>
      <c r="L1042" s="136"/>
      <c r="M1042" s="136"/>
      <c r="N1042" s="136"/>
    </row>
    <row r="1043" spans="9:14" ht="15.75" customHeight="1" x14ac:dyDescent="0.2">
      <c r="I1043" s="136"/>
      <c r="J1043" s="136"/>
      <c r="K1043" s="136"/>
      <c r="L1043" s="136"/>
      <c r="M1043" s="136"/>
      <c r="N1043" s="136"/>
    </row>
    <row r="1044" spans="9:14" ht="15.75" customHeight="1" x14ac:dyDescent="0.2">
      <c r="I1044" s="136"/>
      <c r="J1044" s="136"/>
      <c r="K1044" s="136"/>
      <c r="L1044" s="136"/>
      <c r="M1044" s="136"/>
      <c r="N1044" s="136"/>
    </row>
    <row r="1045" spans="9:14" ht="15.75" customHeight="1" x14ac:dyDescent="0.2">
      <c r="I1045" s="136"/>
      <c r="J1045" s="136"/>
      <c r="K1045" s="136"/>
      <c r="L1045" s="136"/>
      <c r="M1045" s="136"/>
      <c r="N1045" s="136"/>
    </row>
    <row r="1046" spans="9:14" ht="15.75" customHeight="1" x14ac:dyDescent="0.2">
      <c r="I1046" s="136"/>
      <c r="J1046" s="136"/>
      <c r="K1046" s="136"/>
      <c r="L1046" s="136"/>
      <c r="M1046" s="136"/>
      <c r="N1046" s="136"/>
    </row>
    <row r="1047" spans="9:14" ht="15.75" customHeight="1" x14ac:dyDescent="0.2">
      <c r="I1047" s="136"/>
      <c r="J1047" s="136"/>
      <c r="K1047" s="136"/>
      <c r="L1047" s="136"/>
      <c r="M1047" s="136"/>
      <c r="N1047" s="136"/>
    </row>
    <row r="1048" spans="9:14" ht="15.75" customHeight="1" x14ac:dyDescent="0.2">
      <c r="I1048" s="136"/>
      <c r="J1048" s="136"/>
      <c r="K1048" s="136"/>
      <c r="L1048" s="136"/>
      <c r="M1048" s="136"/>
      <c r="N1048" s="136"/>
    </row>
    <row r="1049" spans="9:14" ht="15.75" customHeight="1" x14ac:dyDescent="0.2">
      <c r="I1049" s="136"/>
      <c r="J1049" s="136"/>
      <c r="K1049" s="136"/>
      <c r="L1049" s="136"/>
      <c r="M1049" s="136"/>
      <c r="N1049" s="136"/>
    </row>
    <row r="1050" spans="9:14" ht="15.75" customHeight="1" x14ac:dyDescent="0.2">
      <c r="I1050" s="136"/>
      <c r="J1050" s="136"/>
      <c r="K1050" s="136"/>
      <c r="L1050" s="136"/>
      <c r="M1050" s="136"/>
      <c r="N1050" s="136"/>
    </row>
    <row r="1051" spans="9:14" ht="15.75" customHeight="1" x14ac:dyDescent="0.2">
      <c r="I1051" s="136"/>
      <c r="J1051" s="136"/>
      <c r="K1051" s="136"/>
      <c r="L1051" s="136"/>
      <c r="M1051" s="136"/>
      <c r="N1051" s="136"/>
    </row>
    <row r="1052" spans="9:14" ht="15.75" customHeight="1" x14ac:dyDescent="0.2">
      <c r="I1052" s="136"/>
      <c r="J1052" s="136"/>
      <c r="K1052" s="136"/>
      <c r="L1052" s="136"/>
      <c r="M1052" s="136"/>
      <c r="N1052" s="136"/>
    </row>
    <row r="1053" spans="9:14" ht="15.75" customHeight="1" x14ac:dyDescent="0.2">
      <c r="I1053" s="136"/>
      <c r="J1053" s="136"/>
      <c r="K1053" s="136"/>
      <c r="L1053" s="136"/>
      <c r="M1053" s="136"/>
      <c r="N1053" s="136"/>
    </row>
    <row r="1054" spans="9:14" ht="15.75" customHeight="1" x14ac:dyDescent="0.2">
      <c r="I1054" s="136"/>
      <c r="J1054" s="136"/>
      <c r="K1054" s="136"/>
      <c r="L1054" s="136"/>
      <c r="M1054" s="136"/>
      <c r="N1054" s="136"/>
    </row>
    <row r="1055" spans="9:14" ht="15.75" customHeight="1" x14ac:dyDescent="0.2">
      <c r="I1055" s="136"/>
      <c r="J1055" s="136"/>
      <c r="K1055" s="136"/>
      <c r="L1055" s="136"/>
      <c r="M1055" s="136"/>
      <c r="N1055" s="136"/>
    </row>
    <row r="1056" spans="9:14" ht="15.75" customHeight="1" x14ac:dyDescent="0.2">
      <c r="I1056" s="136"/>
      <c r="J1056" s="136"/>
      <c r="K1056" s="136"/>
      <c r="L1056" s="136"/>
      <c r="M1056" s="136"/>
      <c r="N1056" s="136"/>
    </row>
    <row r="1057" spans="9:14" ht="15.75" customHeight="1" x14ac:dyDescent="0.2">
      <c r="I1057" s="136"/>
      <c r="J1057" s="136"/>
      <c r="K1057" s="136"/>
      <c r="L1057" s="136"/>
      <c r="M1057" s="136"/>
      <c r="N1057" s="136"/>
    </row>
    <row r="1058" spans="9:14" ht="15.75" customHeight="1" x14ac:dyDescent="0.2">
      <c r="I1058" s="136"/>
      <c r="J1058" s="136"/>
      <c r="K1058" s="136"/>
      <c r="L1058" s="136"/>
      <c r="M1058" s="136"/>
      <c r="N1058" s="136"/>
    </row>
    <row r="1059" spans="9:14" ht="15.75" customHeight="1" x14ac:dyDescent="0.2">
      <c r="I1059" s="136"/>
      <c r="J1059" s="136"/>
      <c r="K1059" s="136"/>
      <c r="L1059" s="136"/>
      <c r="M1059" s="136"/>
      <c r="N1059" s="136"/>
    </row>
    <row r="1060" spans="9:14" ht="15.75" customHeight="1" x14ac:dyDescent="0.2">
      <c r="I1060" s="136"/>
      <c r="J1060" s="136"/>
      <c r="K1060" s="136"/>
      <c r="L1060" s="136"/>
      <c r="M1060" s="136"/>
      <c r="N1060" s="136"/>
    </row>
    <row r="1061" spans="9:14" ht="15.75" customHeight="1" x14ac:dyDescent="0.2">
      <c r="I1061" s="136"/>
      <c r="J1061" s="136"/>
      <c r="K1061" s="136"/>
      <c r="L1061" s="136"/>
      <c r="M1061" s="136"/>
      <c r="N1061" s="136"/>
    </row>
    <row r="1062" spans="9:14" ht="15.75" customHeight="1" x14ac:dyDescent="0.2">
      <c r="I1062" s="136"/>
      <c r="J1062" s="136"/>
      <c r="K1062" s="136"/>
      <c r="L1062" s="136"/>
      <c r="M1062" s="136"/>
      <c r="N1062" s="136"/>
    </row>
    <row r="1063" spans="9:14" ht="15.75" customHeight="1" x14ac:dyDescent="0.2">
      <c r="I1063" s="136"/>
      <c r="J1063" s="136"/>
      <c r="K1063" s="136"/>
      <c r="L1063" s="136"/>
      <c r="M1063" s="136"/>
      <c r="N1063" s="136"/>
    </row>
    <row r="1064" spans="9:14" ht="15.75" customHeight="1" x14ac:dyDescent="0.2">
      <c r="I1064" s="136"/>
      <c r="J1064" s="136"/>
      <c r="K1064" s="136"/>
      <c r="L1064" s="136"/>
      <c r="M1064" s="136"/>
      <c r="N1064" s="136"/>
    </row>
    <row r="1065" spans="9:14" ht="15.75" customHeight="1" x14ac:dyDescent="0.2">
      <c r="I1065" s="136"/>
      <c r="J1065" s="136"/>
      <c r="K1065" s="136"/>
      <c r="L1065" s="136"/>
      <c r="M1065" s="136"/>
      <c r="N1065" s="136"/>
    </row>
    <row r="1066" spans="9:14" ht="15.75" customHeight="1" x14ac:dyDescent="0.2">
      <c r="I1066" s="136"/>
      <c r="J1066" s="136"/>
      <c r="K1066" s="136"/>
      <c r="L1066" s="136"/>
      <c r="M1066" s="136"/>
      <c r="N1066" s="136"/>
    </row>
    <row r="1067" spans="9:14" ht="15.75" customHeight="1" x14ac:dyDescent="0.2">
      <c r="I1067" s="136"/>
      <c r="J1067" s="136"/>
      <c r="K1067" s="136"/>
      <c r="L1067" s="136"/>
      <c r="M1067" s="136"/>
      <c r="N1067" s="136"/>
    </row>
    <row r="1068" spans="9:14" ht="15.75" customHeight="1" x14ac:dyDescent="0.2">
      <c r="I1068" s="136"/>
      <c r="J1068" s="136"/>
      <c r="K1068" s="136"/>
      <c r="L1068" s="136"/>
      <c r="M1068" s="136"/>
      <c r="N1068" s="136"/>
    </row>
    <row r="1069" spans="9:14" ht="15.75" customHeight="1" x14ac:dyDescent="0.2">
      <c r="I1069" s="136"/>
      <c r="J1069" s="136"/>
      <c r="K1069" s="136"/>
      <c r="L1069" s="136"/>
      <c r="M1069" s="136"/>
      <c r="N1069" s="136"/>
    </row>
    <row r="1070" spans="9:14" ht="15.75" customHeight="1" x14ac:dyDescent="0.2">
      <c r="I1070" s="136"/>
      <c r="J1070" s="136"/>
      <c r="K1070" s="136"/>
      <c r="L1070" s="136"/>
      <c r="M1070" s="136"/>
      <c r="N1070" s="136"/>
    </row>
    <row r="1071" spans="9:14" ht="15.75" customHeight="1" x14ac:dyDescent="0.2">
      <c r="I1071" s="136"/>
      <c r="J1071" s="136"/>
      <c r="K1071" s="136"/>
      <c r="L1071" s="136"/>
      <c r="M1071" s="136"/>
      <c r="N1071" s="136"/>
    </row>
    <row r="1072" spans="9:14" ht="15.75" customHeight="1" x14ac:dyDescent="0.2">
      <c r="I1072" s="136"/>
      <c r="J1072" s="136"/>
      <c r="K1072" s="136"/>
      <c r="L1072" s="136"/>
      <c r="M1072" s="136"/>
      <c r="N1072" s="136"/>
    </row>
    <row r="1073" spans="9:14" ht="15.75" customHeight="1" x14ac:dyDescent="0.2">
      <c r="I1073" s="136"/>
      <c r="J1073" s="136"/>
      <c r="K1073" s="136"/>
      <c r="L1073" s="136"/>
      <c r="M1073" s="136"/>
      <c r="N1073" s="136"/>
    </row>
    <row r="1074" spans="9:14" ht="15.75" customHeight="1" x14ac:dyDescent="0.2">
      <c r="I1074" s="136"/>
      <c r="J1074" s="136"/>
      <c r="K1074" s="136"/>
      <c r="L1074" s="136"/>
      <c r="M1074" s="136"/>
      <c r="N1074" s="136"/>
    </row>
    <row r="1075" spans="9:14" ht="15.75" customHeight="1" x14ac:dyDescent="0.2">
      <c r="I1075" s="136"/>
      <c r="J1075" s="136"/>
      <c r="K1075" s="136"/>
      <c r="L1075" s="136"/>
      <c r="M1075" s="136"/>
      <c r="N1075" s="136"/>
    </row>
    <row r="1076" spans="9:14" ht="15.75" customHeight="1" x14ac:dyDescent="0.2">
      <c r="I1076" s="136"/>
      <c r="J1076" s="136"/>
      <c r="K1076" s="136"/>
      <c r="L1076" s="136"/>
      <c r="M1076" s="136"/>
      <c r="N1076" s="136"/>
    </row>
    <row r="1077" spans="9:14" ht="15.75" customHeight="1" x14ac:dyDescent="0.2">
      <c r="I1077" s="136"/>
      <c r="J1077" s="136"/>
      <c r="K1077" s="136"/>
      <c r="L1077" s="136"/>
      <c r="M1077" s="136"/>
      <c r="N1077" s="136"/>
    </row>
    <row r="1078" spans="9:14" ht="15.75" customHeight="1" x14ac:dyDescent="0.2">
      <c r="I1078" s="136"/>
      <c r="J1078" s="136"/>
      <c r="K1078" s="136"/>
      <c r="L1078" s="136"/>
      <c r="M1078" s="136"/>
      <c r="N1078" s="136"/>
    </row>
    <row r="1079" spans="9:14" ht="15.75" customHeight="1" x14ac:dyDescent="0.2">
      <c r="I1079" s="136"/>
      <c r="J1079" s="136"/>
      <c r="K1079" s="136"/>
      <c r="L1079" s="136"/>
      <c r="M1079" s="136"/>
      <c r="N1079" s="136"/>
    </row>
    <row r="1080" spans="9:14" ht="15.75" customHeight="1" x14ac:dyDescent="0.2">
      <c r="I1080" s="136"/>
      <c r="J1080" s="136"/>
      <c r="K1080" s="136"/>
      <c r="L1080" s="136"/>
      <c r="M1080" s="136"/>
      <c r="N1080" s="136"/>
    </row>
  </sheetData>
  <autoFilter ref="A1:O952" xr:uid="{00000000-0009-0000-0000-000000000000}">
    <sortState xmlns:xlrd2="http://schemas.microsoft.com/office/spreadsheetml/2017/richdata2" ref="A2:O955">
      <sortCondition ref="A1:A955"/>
    </sortState>
  </autoFilter>
  <phoneticPr fontId="44"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x14ac:dyDescent="0.2"/>
  <cols>
    <col min="1" max="1" width="10.83203125" customWidth="1"/>
    <col min="2" max="2" width="12.83203125" customWidth="1"/>
    <col min="3" max="3" width="49.33203125" customWidth="1"/>
    <col min="4" max="26" width="10.83203125" customWidth="1"/>
  </cols>
  <sheetData>
    <row r="1" spans="1:26" ht="15.75" customHeight="1" x14ac:dyDescent="0.2">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2" spans="1:26" ht="15.75" customHeight="1" x14ac:dyDescent="0.2">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row>
    <row r="3" spans="1:26" ht="15.75" customHeight="1" x14ac:dyDescent="0.25">
      <c r="A3" s="137"/>
      <c r="B3" s="138" t="s">
        <v>3127</v>
      </c>
      <c r="C3" s="138" t="s">
        <v>3128</v>
      </c>
      <c r="D3" s="137"/>
      <c r="E3" s="139" t="s">
        <v>3129</v>
      </c>
      <c r="F3" s="137"/>
      <c r="G3" s="137"/>
      <c r="H3" s="137"/>
      <c r="I3" s="137"/>
      <c r="J3" s="137"/>
      <c r="K3" s="137"/>
      <c r="L3" s="137"/>
      <c r="M3" s="137"/>
      <c r="N3" s="137"/>
      <c r="O3" s="137"/>
      <c r="P3" s="137"/>
      <c r="Q3" s="137"/>
      <c r="R3" s="137"/>
      <c r="S3" s="137"/>
      <c r="T3" s="137"/>
      <c r="U3" s="137"/>
      <c r="V3" s="137"/>
      <c r="W3" s="137"/>
      <c r="X3" s="137"/>
      <c r="Y3" s="137"/>
      <c r="Z3" s="137"/>
    </row>
    <row r="4" spans="1:26" ht="15.75" customHeight="1" x14ac:dyDescent="0.25">
      <c r="A4" s="137"/>
      <c r="B4" s="138" t="s">
        <v>3130</v>
      </c>
      <c r="C4" s="138" t="s">
        <v>3131</v>
      </c>
      <c r="D4" s="137"/>
      <c r="E4" s="137"/>
      <c r="F4" s="137"/>
      <c r="G4" s="137"/>
      <c r="H4" s="137"/>
      <c r="I4" s="137"/>
      <c r="J4" s="137"/>
      <c r="K4" s="137"/>
      <c r="L4" s="137"/>
      <c r="M4" s="137"/>
      <c r="N4" s="137"/>
      <c r="O4" s="137"/>
      <c r="P4" s="137"/>
      <c r="Q4" s="137"/>
      <c r="R4" s="137"/>
      <c r="S4" s="137"/>
      <c r="T4" s="137"/>
      <c r="U4" s="137"/>
      <c r="V4" s="137"/>
      <c r="W4" s="137"/>
      <c r="X4" s="137"/>
      <c r="Y4" s="137"/>
      <c r="Z4" s="137"/>
    </row>
    <row r="5" spans="1:26" ht="15.75" customHeight="1" x14ac:dyDescent="0.25">
      <c r="A5" s="137"/>
      <c r="B5" s="138" t="s">
        <v>3132</v>
      </c>
      <c r="C5" s="138" t="s">
        <v>3133</v>
      </c>
      <c r="D5" s="137"/>
      <c r="E5" s="137"/>
      <c r="F5" s="137"/>
      <c r="G5" s="137"/>
      <c r="H5" s="137"/>
      <c r="I5" s="137"/>
      <c r="J5" s="137"/>
      <c r="K5" s="137"/>
      <c r="L5" s="137"/>
      <c r="M5" s="137"/>
      <c r="N5" s="137"/>
      <c r="O5" s="137"/>
      <c r="P5" s="137"/>
      <c r="Q5" s="137"/>
      <c r="R5" s="137"/>
      <c r="S5" s="137"/>
      <c r="T5" s="137"/>
      <c r="U5" s="137"/>
      <c r="V5" s="137"/>
      <c r="W5" s="137"/>
      <c r="X5" s="137"/>
      <c r="Y5" s="137"/>
      <c r="Z5" s="137"/>
    </row>
    <row r="6" spans="1:26" ht="15.75" customHeight="1" x14ac:dyDescent="0.25">
      <c r="A6" s="137"/>
      <c r="B6" s="138" t="s">
        <v>3134</v>
      </c>
      <c r="C6" s="138" t="s">
        <v>3135</v>
      </c>
      <c r="D6" s="137"/>
      <c r="E6" s="137"/>
      <c r="F6" s="137"/>
      <c r="G6" s="137"/>
      <c r="H6" s="137"/>
      <c r="I6" s="137"/>
      <c r="J6" s="137"/>
      <c r="K6" s="137"/>
      <c r="L6" s="137"/>
      <c r="M6" s="137"/>
      <c r="N6" s="137"/>
      <c r="O6" s="137"/>
      <c r="P6" s="137"/>
      <c r="Q6" s="137"/>
      <c r="R6" s="137"/>
      <c r="S6" s="137"/>
      <c r="T6" s="137"/>
      <c r="U6" s="137"/>
      <c r="V6" s="137"/>
      <c r="W6" s="137"/>
      <c r="X6" s="137"/>
      <c r="Y6" s="137"/>
      <c r="Z6" s="137"/>
    </row>
    <row r="7" spans="1:26" ht="15.75" customHeight="1" x14ac:dyDescent="0.25">
      <c r="A7" s="137"/>
      <c r="B7" s="138" t="s">
        <v>3136</v>
      </c>
      <c r="C7" s="138" t="s">
        <v>3137</v>
      </c>
      <c r="D7" s="137"/>
      <c r="E7" s="137"/>
      <c r="F7" s="137"/>
      <c r="G7" s="137"/>
      <c r="H7" s="137"/>
      <c r="I7" s="137"/>
      <c r="J7" s="137"/>
      <c r="K7" s="137"/>
      <c r="L7" s="137"/>
      <c r="M7" s="137"/>
      <c r="N7" s="137"/>
      <c r="O7" s="137"/>
      <c r="P7" s="137"/>
      <c r="Q7" s="137"/>
      <c r="R7" s="137"/>
      <c r="S7" s="137"/>
      <c r="T7" s="137"/>
      <c r="U7" s="137"/>
      <c r="V7" s="137"/>
      <c r="W7" s="137"/>
      <c r="X7" s="137"/>
      <c r="Y7" s="137"/>
      <c r="Z7" s="137"/>
    </row>
    <row r="8" spans="1:26" ht="15.75" customHeight="1" x14ac:dyDescent="0.25">
      <c r="A8" s="137"/>
      <c r="B8" s="138" t="s">
        <v>3138</v>
      </c>
      <c r="C8" s="138" t="s">
        <v>3139</v>
      </c>
      <c r="D8" s="137"/>
      <c r="E8" s="137"/>
      <c r="F8" s="137"/>
      <c r="G8" s="137"/>
      <c r="H8" s="137"/>
      <c r="I8" s="137"/>
      <c r="J8" s="137"/>
      <c r="K8" s="137"/>
      <c r="L8" s="137"/>
      <c r="M8" s="137"/>
      <c r="N8" s="137"/>
      <c r="O8" s="137"/>
      <c r="P8" s="137"/>
      <c r="Q8" s="137"/>
      <c r="R8" s="137"/>
      <c r="S8" s="137"/>
      <c r="T8" s="137"/>
      <c r="U8" s="137"/>
      <c r="V8" s="137"/>
      <c r="W8" s="137"/>
      <c r="X8" s="137"/>
      <c r="Y8" s="137"/>
      <c r="Z8" s="137"/>
    </row>
    <row r="9" spans="1:26" ht="15.75" customHeight="1" x14ac:dyDescent="0.25">
      <c r="A9" s="137"/>
      <c r="B9" s="138" t="s">
        <v>3140</v>
      </c>
      <c r="C9" s="138" t="s">
        <v>3141</v>
      </c>
      <c r="D9" s="137"/>
      <c r="E9" s="137"/>
      <c r="F9" s="137"/>
      <c r="G9" s="137"/>
      <c r="H9" s="137"/>
      <c r="I9" s="137"/>
      <c r="J9" s="137"/>
      <c r="K9" s="137"/>
      <c r="L9" s="137"/>
      <c r="M9" s="137"/>
      <c r="N9" s="137"/>
      <c r="O9" s="137"/>
      <c r="P9" s="137"/>
      <c r="Q9" s="137"/>
      <c r="R9" s="137"/>
      <c r="S9" s="137"/>
      <c r="T9" s="137"/>
      <c r="U9" s="137"/>
      <c r="V9" s="137"/>
      <c r="W9" s="137"/>
      <c r="X9" s="137"/>
      <c r="Y9" s="137"/>
      <c r="Z9" s="137"/>
    </row>
    <row r="10" spans="1:26" ht="15.75" customHeight="1" x14ac:dyDescent="0.25">
      <c r="A10" s="137"/>
      <c r="B10" s="138" t="s">
        <v>3142</v>
      </c>
      <c r="C10" s="138" t="s">
        <v>3143</v>
      </c>
      <c r="D10" s="137"/>
      <c r="E10" s="137"/>
      <c r="F10" s="137"/>
      <c r="G10" s="137"/>
      <c r="H10" s="137"/>
      <c r="I10" s="137"/>
      <c r="J10" s="137"/>
      <c r="K10" s="137"/>
      <c r="L10" s="137"/>
      <c r="M10" s="137"/>
      <c r="N10" s="137"/>
      <c r="O10" s="137"/>
      <c r="P10" s="137"/>
      <c r="Q10" s="137"/>
      <c r="R10" s="137"/>
      <c r="S10" s="137"/>
      <c r="T10" s="137"/>
      <c r="U10" s="137"/>
      <c r="V10" s="137"/>
      <c r="W10" s="137"/>
      <c r="X10" s="137"/>
      <c r="Y10" s="137"/>
      <c r="Z10" s="137"/>
    </row>
    <row r="11" spans="1:26" ht="15.75" customHeight="1" x14ac:dyDescent="0.2">
      <c r="A11" s="137"/>
      <c r="B11" s="137"/>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row>
    <row r="12" spans="1:26" ht="15.75" customHeight="1" x14ac:dyDescent="0.2">
      <c r="A12" s="137"/>
      <c r="B12" s="137"/>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spans="1:26" ht="15.75" customHeight="1" x14ac:dyDescent="0.25">
      <c r="A13" s="137"/>
      <c r="B13" s="140" t="s">
        <v>3144</v>
      </c>
      <c r="C13" s="141" t="s">
        <v>3145</v>
      </c>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spans="1:26" ht="15.75" customHeight="1" x14ac:dyDescent="0.25">
      <c r="A14" s="137"/>
      <c r="B14" s="140" t="s">
        <v>3146</v>
      </c>
      <c r="C14" s="140" t="s">
        <v>3147</v>
      </c>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spans="1:26" ht="15.75" customHeight="1" x14ac:dyDescent="0.25">
      <c r="A15" s="137"/>
      <c r="B15" s="140" t="s">
        <v>2766</v>
      </c>
      <c r="C15" s="140" t="s">
        <v>3148</v>
      </c>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spans="1:26" ht="15.75" customHeight="1" x14ac:dyDescent="0.25">
      <c r="A16" s="137"/>
      <c r="B16" s="140" t="s">
        <v>3149</v>
      </c>
      <c r="C16" s="140" t="s">
        <v>3135</v>
      </c>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spans="1:26" ht="15.75" customHeight="1" x14ac:dyDescent="0.25">
      <c r="A17" s="137"/>
      <c r="B17" s="140" t="s">
        <v>2802</v>
      </c>
      <c r="C17" s="140" t="s">
        <v>3150</v>
      </c>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spans="1:26" ht="15.75" customHeight="1" x14ac:dyDescent="0.25">
      <c r="A18" s="137"/>
      <c r="B18" s="140" t="s">
        <v>2827</v>
      </c>
      <c r="C18" s="140" t="s">
        <v>3151</v>
      </c>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spans="1:26" ht="15.75" customHeight="1" x14ac:dyDescent="0.25">
      <c r="A19" s="137"/>
      <c r="B19" s="140" t="s">
        <v>2874</v>
      </c>
      <c r="C19" s="140" t="s">
        <v>3152</v>
      </c>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spans="1:26" ht="15.75" customHeight="1" x14ac:dyDescent="0.25">
      <c r="A20" s="137"/>
      <c r="B20" s="140" t="s">
        <v>2958</v>
      </c>
      <c r="C20" s="140" t="s">
        <v>3153</v>
      </c>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spans="1:26" ht="15.75" customHeight="1" x14ac:dyDescent="0.25">
      <c r="A21" s="137"/>
      <c r="B21" s="140" t="s">
        <v>3049</v>
      </c>
      <c r="C21" s="140" t="s">
        <v>3139</v>
      </c>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spans="1:26" ht="15.75" customHeight="1" x14ac:dyDescent="0.25">
      <c r="A22" s="137"/>
      <c r="B22" s="140" t="s">
        <v>3060</v>
      </c>
      <c r="C22" s="140" t="s">
        <v>3154</v>
      </c>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spans="1:26" ht="15.75" customHeight="1" x14ac:dyDescent="0.25">
      <c r="A23" s="137"/>
      <c r="B23" s="140" t="s">
        <v>3099</v>
      </c>
      <c r="C23" s="140" t="s">
        <v>3155</v>
      </c>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spans="1:26" ht="15.75" customHeight="1" x14ac:dyDescent="0.25">
      <c r="A24" s="137"/>
      <c r="B24" s="140" t="s">
        <v>3156</v>
      </c>
      <c r="C24" s="140" t="s">
        <v>3157</v>
      </c>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spans="1:26" ht="15.75" customHeight="1" x14ac:dyDescent="0.25">
      <c r="A25" s="137"/>
      <c r="B25" s="140" t="s">
        <v>3158</v>
      </c>
      <c r="C25" s="140" t="s">
        <v>3159</v>
      </c>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75" customHeight="1" x14ac:dyDescent="0.25">
      <c r="A28" s="137"/>
      <c r="B28" s="139" t="s">
        <v>3160</v>
      </c>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5.75" customHeight="1" x14ac:dyDescent="0.25">
      <c r="A29" s="137"/>
      <c r="B29" s="138" t="s">
        <v>3161</v>
      </c>
      <c r="C29" s="138" t="s">
        <v>3162</v>
      </c>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5.75" customHeight="1" x14ac:dyDescent="0.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2">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1"/>
  <sheetViews>
    <sheetView workbookViewId="0">
      <selection activeCell="B4" sqref="B4"/>
    </sheetView>
  </sheetViews>
  <sheetFormatPr baseColWidth="10" defaultColWidth="11.1640625" defaultRowHeight="15" customHeight="1" x14ac:dyDescent="0.2"/>
  <cols>
    <col min="1" max="1" width="10.83203125" customWidth="1"/>
    <col min="2" max="2" width="63.6640625" customWidth="1"/>
    <col min="3" max="26" width="10.83203125" customWidth="1"/>
  </cols>
  <sheetData>
    <row r="1" spans="1:26" ht="15.75" customHeight="1" x14ac:dyDescent="0.2">
      <c r="A1" s="142" t="s">
        <v>3163</v>
      </c>
      <c r="B1" s="143" t="s">
        <v>3164</v>
      </c>
      <c r="C1" s="137"/>
      <c r="D1" s="137"/>
      <c r="E1" s="137"/>
      <c r="F1" s="137"/>
      <c r="G1" s="137"/>
      <c r="H1" s="137"/>
      <c r="I1" s="137"/>
      <c r="J1" s="137"/>
      <c r="K1" s="137"/>
      <c r="L1" s="137"/>
      <c r="M1" s="137"/>
      <c r="N1" s="137"/>
      <c r="O1" s="137"/>
      <c r="P1" s="137"/>
      <c r="Q1" s="137"/>
      <c r="R1" s="137"/>
      <c r="S1" s="137"/>
      <c r="T1" s="137"/>
      <c r="U1" s="137"/>
      <c r="V1" s="137"/>
      <c r="W1" s="137"/>
      <c r="X1" s="137"/>
      <c r="Y1" s="137"/>
      <c r="Z1" s="137"/>
    </row>
    <row r="2" spans="1:26" ht="15.75" customHeight="1" x14ac:dyDescent="0.2">
      <c r="A2" s="144" t="s">
        <v>3165</v>
      </c>
      <c r="B2" s="145" t="s">
        <v>3166</v>
      </c>
      <c r="C2" s="137"/>
      <c r="D2" s="137"/>
      <c r="E2" s="137"/>
      <c r="F2" s="137"/>
      <c r="G2" s="137"/>
      <c r="H2" s="137"/>
      <c r="I2" s="137"/>
      <c r="J2" s="137"/>
      <c r="K2" s="137"/>
      <c r="L2" s="137"/>
      <c r="M2" s="137"/>
      <c r="N2" s="137"/>
      <c r="O2" s="137"/>
      <c r="P2" s="137"/>
      <c r="Q2" s="137"/>
      <c r="R2" s="137"/>
      <c r="S2" s="137"/>
      <c r="T2" s="137"/>
      <c r="U2" s="137"/>
      <c r="V2" s="137"/>
      <c r="W2" s="137"/>
      <c r="X2" s="137"/>
      <c r="Y2" s="137"/>
      <c r="Z2" s="137"/>
    </row>
    <row r="3" spans="1:26" ht="15.75" customHeight="1" x14ac:dyDescent="0.2">
      <c r="A3" s="144" t="s">
        <v>4082</v>
      </c>
      <c r="B3" s="145" t="s">
        <v>4083</v>
      </c>
      <c r="C3" s="137"/>
      <c r="D3" s="137"/>
      <c r="E3" s="137"/>
      <c r="F3" s="137"/>
      <c r="G3" s="137"/>
      <c r="H3" s="137"/>
      <c r="I3" s="137"/>
      <c r="J3" s="137"/>
      <c r="K3" s="137"/>
      <c r="L3" s="137"/>
      <c r="M3" s="137"/>
      <c r="N3" s="137"/>
      <c r="O3" s="137"/>
      <c r="P3" s="137"/>
      <c r="Q3" s="137"/>
      <c r="R3" s="137"/>
      <c r="S3" s="137"/>
      <c r="T3" s="137"/>
      <c r="U3" s="137"/>
      <c r="V3" s="137"/>
      <c r="W3" s="137"/>
      <c r="X3" s="137"/>
      <c r="Y3" s="137"/>
      <c r="Z3" s="137"/>
    </row>
    <row r="4" spans="1:26" ht="15.75" customHeight="1" x14ac:dyDescent="0.2">
      <c r="A4" s="144" t="s">
        <v>3167</v>
      </c>
      <c r="B4" s="145" t="s">
        <v>3168</v>
      </c>
      <c r="C4" s="137"/>
      <c r="D4" s="137"/>
      <c r="E4" s="137"/>
      <c r="F4" s="137"/>
      <c r="G4" s="137"/>
      <c r="H4" s="137"/>
      <c r="I4" s="137"/>
      <c r="J4" s="137"/>
      <c r="K4" s="137"/>
      <c r="L4" s="137"/>
      <c r="M4" s="137"/>
      <c r="N4" s="137"/>
      <c r="O4" s="137"/>
      <c r="P4" s="137"/>
      <c r="Q4" s="137"/>
      <c r="R4" s="137"/>
      <c r="S4" s="137"/>
      <c r="T4" s="137"/>
      <c r="U4" s="137"/>
      <c r="V4" s="137"/>
      <c r="W4" s="137"/>
      <c r="X4" s="137"/>
      <c r="Y4" s="137"/>
      <c r="Z4" s="137"/>
    </row>
    <row r="5" spans="1:26" ht="15.75" customHeight="1" x14ac:dyDescent="0.2">
      <c r="A5" s="144" t="s">
        <v>3169</v>
      </c>
      <c r="B5" s="145" t="s">
        <v>3168</v>
      </c>
      <c r="C5" s="137"/>
      <c r="D5" s="137"/>
      <c r="E5" s="137"/>
      <c r="F5" s="137"/>
      <c r="G5" s="137"/>
      <c r="H5" s="137"/>
      <c r="I5" s="137"/>
      <c r="J5" s="137"/>
      <c r="K5" s="137"/>
      <c r="L5" s="137"/>
      <c r="M5" s="137"/>
      <c r="N5" s="137"/>
      <c r="O5" s="137"/>
      <c r="P5" s="137"/>
      <c r="Q5" s="137"/>
      <c r="R5" s="137"/>
      <c r="S5" s="137"/>
      <c r="T5" s="137"/>
      <c r="U5" s="137"/>
      <c r="V5" s="137"/>
      <c r="W5" s="137"/>
      <c r="X5" s="137"/>
      <c r="Y5" s="137"/>
      <c r="Z5" s="137"/>
    </row>
    <row r="6" spans="1:26" ht="15.75" customHeight="1" x14ac:dyDescent="0.2">
      <c r="A6" s="144" t="s">
        <v>3170</v>
      </c>
      <c r="B6" s="145"/>
      <c r="C6" s="137"/>
      <c r="D6" s="137"/>
      <c r="E6" s="137"/>
      <c r="F6" s="137"/>
      <c r="G6" s="137"/>
      <c r="H6" s="137"/>
      <c r="I6" s="137"/>
      <c r="J6" s="137"/>
      <c r="K6" s="137"/>
      <c r="L6" s="137"/>
      <c r="M6" s="137"/>
      <c r="N6" s="137"/>
      <c r="O6" s="137"/>
      <c r="P6" s="137"/>
      <c r="Q6" s="137"/>
      <c r="R6" s="137"/>
      <c r="S6" s="137"/>
      <c r="T6" s="137"/>
      <c r="U6" s="137"/>
      <c r="V6" s="137"/>
      <c r="W6" s="137"/>
      <c r="X6" s="137"/>
      <c r="Y6" s="137"/>
      <c r="Z6" s="137"/>
    </row>
    <row r="7" spans="1:26" ht="15.75" customHeight="1" x14ac:dyDescent="0.2">
      <c r="A7" s="144" t="s">
        <v>3171</v>
      </c>
      <c r="B7" s="145" t="s">
        <v>3172</v>
      </c>
      <c r="C7" s="137"/>
      <c r="D7" s="137"/>
      <c r="E7" s="137"/>
      <c r="F7" s="137"/>
      <c r="G7" s="137"/>
      <c r="H7" s="137"/>
      <c r="I7" s="137"/>
      <c r="J7" s="137"/>
      <c r="K7" s="137"/>
      <c r="L7" s="137"/>
      <c r="M7" s="137"/>
      <c r="N7" s="137"/>
      <c r="O7" s="137"/>
      <c r="P7" s="137"/>
      <c r="Q7" s="137"/>
      <c r="R7" s="137"/>
      <c r="S7" s="137"/>
      <c r="T7" s="137"/>
      <c r="U7" s="137"/>
      <c r="V7" s="137"/>
      <c r="W7" s="137"/>
      <c r="X7" s="137"/>
      <c r="Y7" s="137"/>
      <c r="Z7" s="137"/>
    </row>
    <row r="8" spans="1:26" ht="15.75" customHeight="1" x14ac:dyDescent="0.2">
      <c r="A8" s="144" t="s">
        <v>3173</v>
      </c>
      <c r="B8" s="145" t="s">
        <v>3174</v>
      </c>
      <c r="C8" s="137"/>
      <c r="D8" s="137"/>
      <c r="E8" s="137"/>
      <c r="F8" s="137"/>
      <c r="G8" s="137"/>
      <c r="H8" s="137"/>
      <c r="I8" s="137"/>
      <c r="J8" s="137"/>
      <c r="K8" s="137"/>
      <c r="L8" s="137"/>
      <c r="M8" s="137"/>
      <c r="N8" s="137"/>
      <c r="O8" s="137"/>
      <c r="P8" s="137"/>
      <c r="Q8" s="137"/>
      <c r="R8" s="137"/>
      <c r="S8" s="137"/>
      <c r="T8" s="137"/>
      <c r="U8" s="137"/>
      <c r="V8" s="137"/>
      <c r="W8" s="137"/>
      <c r="X8" s="137"/>
      <c r="Y8" s="137"/>
      <c r="Z8" s="137"/>
    </row>
    <row r="9" spans="1:26" ht="15.75" customHeight="1" x14ac:dyDescent="0.2">
      <c r="A9" s="144" t="s">
        <v>3175</v>
      </c>
      <c r="B9" s="145" t="s">
        <v>3176</v>
      </c>
      <c r="C9" s="137"/>
      <c r="D9" s="137"/>
      <c r="E9" s="137"/>
      <c r="F9" s="137"/>
      <c r="G9" s="137"/>
      <c r="H9" s="137"/>
      <c r="I9" s="137"/>
      <c r="J9" s="137"/>
      <c r="K9" s="137"/>
      <c r="L9" s="137"/>
      <c r="M9" s="137"/>
      <c r="N9" s="137"/>
      <c r="O9" s="137"/>
      <c r="P9" s="137"/>
      <c r="Q9" s="137"/>
      <c r="R9" s="137"/>
      <c r="S9" s="137"/>
      <c r="T9" s="137"/>
      <c r="U9" s="137"/>
      <c r="V9" s="137"/>
      <c r="W9" s="137"/>
      <c r="X9" s="137"/>
      <c r="Y9" s="137"/>
      <c r="Z9" s="137"/>
    </row>
    <row r="10" spans="1:26" ht="15.75" customHeight="1" x14ac:dyDescent="0.2">
      <c r="A10" s="144" t="s">
        <v>3177</v>
      </c>
      <c r="B10" s="145" t="s">
        <v>3178</v>
      </c>
      <c r="C10" s="137"/>
      <c r="D10" s="137"/>
      <c r="E10" s="137"/>
      <c r="F10" s="137"/>
      <c r="G10" s="137"/>
      <c r="H10" s="137"/>
      <c r="I10" s="137"/>
      <c r="J10" s="137"/>
      <c r="K10" s="137"/>
      <c r="L10" s="137"/>
      <c r="M10" s="137"/>
      <c r="N10" s="137"/>
      <c r="O10" s="137"/>
      <c r="P10" s="137"/>
      <c r="Q10" s="137"/>
      <c r="R10" s="137"/>
      <c r="S10" s="137"/>
      <c r="T10" s="137"/>
      <c r="U10" s="137"/>
      <c r="V10" s="137"/>
      <c r="W10" s="137"/>
      <c r="X10" s="137"/>
      <c r="Y10" s="137"/>
      <c r="Z10" s="137"/>
    </row>
    <row r="11" spans="1:26" ht="15.75" customHeight="1" x14ac:dyDescent="0.2">
      <c r="A11" s="144" t="s">
        <v>3179</v>
      </c>
      <c r="B11" s="145" t="s">
        <v>3180</v>
      </c>
      <c r="C11" s="137"/>
      <c r="D11" s="137"/>
      <c r="E11" s="137"/>
      <c r="F11" s="137"/>
      <c r="G11" s="137"/>
      <c r="H11" s="137"/>
      <c r="I11" s="137"/>
      <c r="J11" s="137"/>
      <c r="K11" s="137"/>
      <c r="L11" s="137"/>
      <c r="M11" s="137"/>
      <c r="N11" s="137"/>
      <c r="O11" s="137"/>
      <c r="P11" s="137"/>
      <c r="Q11" s="137"/>
      <c r="R11" s="137"/>
      <c r="S11" s="137"/>
      <c r="T11" s="137"/>
      <c r="U11" s="137"/>
      <c r="V11" s="137"/>
      <c r="W11" s="137"/>
      <c r="X11" s="137"/>
      <c r="Y11" s="137"/>
      <c r="Z11" s="137"/>
    </row>
    <row r="12" spans="1:26" ht="15.75" customHeight="1" x14ac:dyDescent="0.2">
      <c r="A12" s="144" t="s">
        <v>3181</v>
      </c>
      <c r="B12" s="145" t="s">
        <v>3182</v>
      </c>
      <c r="C12" s="137"/>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spans="1:26" ht="15.75" customHeight="1" x14ac:dyDescent="0.2">
      <c r="A13" s="144" t="s">
        <v>3183</v>
      </c>
      <c r="B13" s="145" t="s">
        <v>3184</v>
      </c>
      <c r="C13" s="137"/>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spans="1:26" ht="15.75" customHeight="1" x14ac:dyDescent="0.2">
      <c r="A14" s="144" t="s">
        <v>3185</v>
      </c>
      <c r="B14" s="145" t="s">
        <v>3186</v>
      </c>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spans="1:26" ht="15.75" customHeight="1" x14ac:dyDescent="0.2">
      <c r="A15" s="144" t="s">
        <v>3187</v>
      </c>
      <c r="B15" s="145" t="s">
        <v>3188</v>
      </c>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spans="1:26" ht="15.75" customHeight="1" x14ac:dyDescent="0.2">
      <c r="A16" s="144" t="s">
        <v>3189</v>
      </c>
      <c r="B16" s="145" t="s">
        <v>3190</v>
      </c>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spans="1:26" ht="15.75" customHeight="1" x14ac:dyDescent="0.2">
      <c r="A17" s="144" t="s">
        <v>3191</v>
      </c>
      <c r="B17" s="145" t="s">
        <v>3192</v>
      </c>
      <c r="C17" s="137"/>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spans="1:26" ht="15.75" customHeight="1" x14ac:dyDescent="0.2">
      <c r="A18" s="144" t="s">
        <v>3193</v>
      </c>
      <c r="B18" s="145" t="s">
        <v>3194</v>
      </c>
      <c r="C18" s="137"/>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spans="1:26" ht="15.75" customHeight="1" x14ac:dyDescent="0.2">
      <c r="A19" s="144" t="s">
        <v>3195</v>
      </c>
      <c r="B19" s="145" t="s">
        <v>3196</v>
      </c>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spans="1:26" ht="15.75" customHeight="1" x14ac:dyDescent="0.2">
      <c r="A20" s="144" t="s">
        <v>3197</v>
      </c>
      <c r="B20" s="145" t="s">
        <v>3198</v>
      </c>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spans="1:26" ht="15.75" customHeight="1" x14ac:dyDescent="0.2">
      <c r="A21" s="144" t="s">
        <v>3199</v>
      </c>
      <c r="B21" s="145" t="s">
        <v>3200</v>
      </c>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spans="1:26" ht="15.75" customHeight="1" x14ac:dyDescent="0.2">
      <c r="A22" s="144" t="s">
        <v>3201</v>
      </c>
      <c r="B22" s="145" t="s">
        <v>3202</v>
      </c>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spans="1:26" ht="15.75" customHeight="1" x14ac:dyDescent="0.2">
      <c r="A23" s="144" t="s">
        <v>3203</v>
      </c>
      <c r="B23" s="145" t="s">
        <v>3204</v>
      </c>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spans="1:26" ht="15.75" customHeight="1" x14ac:dyDescent="0.2">
      <c r="A24" s="144" t="s">
        <v>3205</v>
      </c>
      <c r="B24" s="145" t="s">
        <v>3206</v>
      </c>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spans="1:26" ht="15.75" customHeight="1" x14ac:dyDescent="0.2">
      <c r="A25" s="144" t="s">
        <v>3207</v>
      </c>
      <c r="B25" s="145" t="s">
        <v>3208</v>
      </c>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144" t="s">
        <v>3209</v>
      </c>
      <c r="B26" s="145" t="s">
        <v>3210</v>
      </c>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144" t="s">
        <v>3211</v>
      </c>
      <c r="B27" s="145"/>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75" customHeight="1" x14ac:dyDescent="0.2">
      <c r="A28" s="144" t="s">
        <v>3212</v>
      </c>
      <c r="B28" s="145" t="s">
        <v>3213</v>
      </c>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5.75" customHeight="1" x14ac:dyDescent="0.2">
      <c r="A29" s="144" t="s">
        <v>3214</v>
      </c>
      <c r="B29" s="145" t="s">
        <v>3215</v>
      </c>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144" t="s">
        <v>3216</v>
      </c>
      <c r="B30" s="145" t="s">
        <v>3215</v>
      </c>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144" t="s">
        <v>3217</v>
      </c>
      <c r="B31" s="145" t="s">
        <v>3218</v>
      </c>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144" t="s">
        <v>3219</v>
      </c>
      <c r="B32" s="145"/>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144" t="s">
        <v>3220</v>
      </c>
      <c r="B33" s="145" t="s">
        <v>3221</v>
      </c>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144" t="s">
        <v>3222</v>
      </c>
      <c r="B34" s="145" t="s">
        <v>3223</v>
      </c>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144" t="s">
        <v>3224</v>
      </c>
      <c r="B35" s="145" t="s">
        <v>3225</v>
      </c>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146" t="s">
        <v>3226</v>
      </c>
      <c r="B36" s="146" t="s">
        <v>3227</v>
      </c>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144" t="s">
        <v>3228</v>
      </c>
      <c r="B37" s="145" t="s">
        <v>3229</v>
      </c>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144" t="s">
        <v>3230</v>
      </c>
      <c r="B38" s="147" t="s">
        <v>3231</v>
      </c>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147" t="s">
        <v>3232</v>
      </c>
      <c r="B39" s="146" t="s">
        <v>3233</v>
      </c>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147" t="s">
        <v>3234</v>
      </c>
      <c r="B40" s="146" t="s">
        <v>3235</v>
      </c>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147" t="s">
        <v>3236</v>
      </c>
      <c r="B41" s="146" t="s">
        <v>3237</v>
      </c>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147" t="s">
        <v>3238</v>
      </c>
      <c r="B42" s="146" t="s">
        <v>3239</v>
      </c>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147" t="s">
        <v>3240</v>
      </c>
      <c r="B43" s="146" t="s">
        <v>3241</v>
      </c>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147" t="s">
        <v>3242</v>
      </c>
      <c r="B44" s="146" t="s">
        <v>3243</v>
      </c>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147" t="s">
        <v>3244</v>
      </c>
      <c r="B45" s="146" t="s">
        <v>3245</v>
      </c>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147" t="s">
        <v>3246</v>
      </c>
      <c r="B46" s="146" t="s">
        <v>3247</v>
      </c>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147" t="s">
        <v>3248</v>
      </c>
      <c r="B47" s="146" t="s">
        <v>3249</v>
      </c>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147" t="s">
        <v>3250</v>
      </c>
      <c r="B48" s="146" t="s">
        <v>3251</v>
      </c>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347" t="s">
        <v>3252</v>
      </c>
      <c r="B49" s="348" t="s">
        <v>3253</v>
      </c>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347" t="s">
        <v>4045</v>
      </c>
      <c r="B50" s="349" t="s">
        <v>4049</v>
      </c>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347" t="s">
        <v>4046</v>
      </c>
      <c r="B51" s="349" t="s">
        <v>4050</v>
      </c>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5.75" customHeight="1" x14ac:dyDescent="0.2">
      <c r="A52" s="347" t="s">
        <v>4047</v>
      </c>
      <c r="B52" s="351" t="s">
        <v>4051</v>
      </c>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350" t="s">
        <v>4048</v>
      </c>
      <c r="B53" s="349" t="s">
        <v>4052</v>
      </c>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2">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row r="1001" spans="1:26" ht="15.75" customHeight="1" x14ac:dyDescent="0.2">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row>
  </sheetData>
  <phoneticPr fontId="44"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selection activeCell="C13" sqref="C13"/>
    </sheetView>
  </sheetViews>
  <sheetFormatPr baseColWidth="10" defaultColWidth="11.1640625" defaultRowHeight="15" customHeight="1" x14ac:dyDescent="0.2"/>
  <cols>
    <col min="1" max="1" width="15.6640625" customWidth="1"/>
    <col min="2" max="2" width="56.6640625" customWidth="1"/>
    <col min="3" max="3" width="20.33203125" customWidth="1"/>
    <col min="4" max="4" width="16" customWidth="1"/>
    <col min="5" max="26" width="10.83203125" customWidth="1"/>
  </cols>
  <sheetData>
    <row r="1" spans="1:26" ht="15.75" customHeight="1" x14ac:dyDescent="0.2">
      <c r="A1" s="148" t="s">
        <v>0</v>
      </c>
      <c r="B1" s="148" t="s">
        <v>1</v>
      </c>
      <c r="C1" s="148" t="s">
        <v>3254</v>
      </c>
      <c r="D1" s="148" t="s">
        <v>3255</v>
      </c>
      <c r="E1" s="137"/>
      <c r="F1" s="137"/>
      <c r="G1" s="137"/>
      <c r="H1" s="137"/>
      <c r="I1" s="137"/>
      <c r="J1" s="137"/>
      <c r="K1" s="137"/>
      <c r="L1" s="137"/>
      <c r="M1" s="137"/>
      <c r="N1" s="137"/>
      <c r="O1" s="137"/>
      <c r="P1" s="137"/>
      <c r="Q1" s="137"/>
      <c r="R1" s="137"/>
      <c r="S1" s="137"/>
      <c r="T1" s="137"/>
      <c r="U1" s="137"/>
      <c r="V1" s="137"/>
      <c r="W1" s="137"/>
      <c r="X1" s="137"/>
      <c r="Y1" s="137"/>
      <c r="Z1" s="137"/>
    </row>
    <row r="2" spans="1:26" ht="15.75" customHeight="1" x14ac:dyDescent="0.2">
      <c r="A2" s="57" t="s">
        <v>3256</v>
      </c>
      <c r="B2" s="57" t="s">
        <v>3257</v>
      </c>
      <c r="C2" s="149">
        <f>2.3*33.84</f>
        <v>77.832000000000008</v>
      </c>
      <c r="D2" s="149" t="s">
        <v>512</v>
      </c>
      <c r="E2" s="137"/>
      <c r="F2" s="137"/>
      <c r="G2" s="137"/>
      <c r="H2" s="137"/>
      <c r="I2" s="137"/>
      <c r="J2" s="137"/>
      <c r="K2" s="137"/>
      <c r="L2" s="137"/>
      <c r="M2" s="137"/>
      <c r="N2" s="137"/>
      <c r="O2" s="137"/>
      <c r="P2" s="137"/>
      <c r="Q2" s="137"/>
      <c r="R2" s="137"/>
      <c r="S2" s="137"/>
      <c r="T2" s="137"/>
      <c r="U2" s="137"/>
      <c r="V2" s="137"/>
      <c r="W2" s="137"/>
      <c r="X2" s="137"/>
      <c r="Y2" s="137"/>
      <c r="Z2" s="137"/>
    </row>
    <row r="3" spans="1:26" ht="15.75" customHeight="1" x14ac:dyDescent="0.2">
      <c r="A3" s="57" t="s">
        <v>3258</v>
      </c>
      <c r="B3" s="57" t="s">
        <v>3259</v>
      </c>
      <c r="C3" s="149">
        <f>1.3*33.84</f>
        <v>43.992000000000004</v>
      </c>
      <c r="D3" s="149" t="s">
        <v>512</v>
      </c>
      <c r="E3" s="137"/>
      <c r="F3" s="137"/>
      <c r="G3" s="137"/>
      <c r="H3" s="137"/>
      <c r="I3" s="137"/>
      <c r="J3" s="137"/>
      <c r="K3" s="137"/>
      <c r="L3" s="137"/>
      <c r="M3" s="137"/>
      <c r="N3" s="137"/>
      <c r="O3" s="137"/>
      <c r="P3" s="137"/>
      <c r="Q3" s="137"/>
      <c r="R3" s="137"/>
      <c r="S3" s="137"/>
      <c r="T3" s="137"/>
      <c r="U3" s="137"/>
      <c r="V3" s="137"/>
      <c r="W3" s="137"/>
      <c r="X3" s="137"/>
      <c r="Y3" s="137"/>
      <c r="Z3" s="137"/>
    </row>
    <row r="4" spans="1:26" ht="15.75" customHeight="1" x14ac:dyDescent="0.2">
      <c r="A4" s="57" t="s">
        <v>3260</v>
      </c>
      <c r="B4" s="57" t="s">
        <v>3261</v>
      </c>
      <c r="C4" s="149">
        <f t="shared" ref="C4:C5" si="0">6*33.84</f>
        <v>203.04000000000002</v>
      </c>
      <c r="D4" s="149" t="s">
        <v>512</v>
      </c>
      <c r="E4" s="137"/>
      <c r="F4" s="137"/>
      <c r="G4" s="137"/>
      <c r="H4" s="137"/>
      <c r="I4" s="137"/>
      <c r="J4" s="137"/>
      <c r="K4" s="137"/>
      <c r="L4" s="137"/>
      <c r="M4" s="137"/>
      <c r="N4" s="137"/>
      <c r="O4" s="137"/>
      <c r="P4" s="137"/>
      <c r="Q4" s="137"/>
      <c r="R4" s="137"/>
      <c r="S4" s="137"/>
      <c r="T4" s="137"/>
      <c r="U4" s="137"/>
      <c r="V4" s="137"/>
      <c r="W4" s="137"/>
      <c r="X4" s="137"/>
      <c r="Y4" s="137"/>
      <c r="Z4" s="137"/>
    </row>
    <row r="5" spans="1:26" ht="15.75" customHeight="1" x14ac:dyDescent="0.2">
      <c r="A5" s="57" t="s">
        <v>3262</v>
      </c>
      <c r="B5" s="57" t="s">
        <v>3263</v>
      </c>
      <c r="C5" s="149">
        <f t="shared" si="0"/>
        <v>203.04000000000002</v>
      </c>
      <c r="D5" s="149" t="s">
        <v>512</v>
      </c>
      <c r="E5" s="137"/>
      <c r="F5" s="137"/>
      <c r="G5" s="137"/>
      <c r="H5" s="137"/>
      <c r="I5" s="137"/>
      <c r="J5" s="137"/>
      <c r="K5" s="137"/>
      <c r="L5" s="137"/>
      <c r="M5" s="137"/>
      <c r="N5" s="137"/>
      <c r="O5" s="137"/>
      <c r="P5" s="137"/>
      <c r="Q5" s="137"/>
      <c r="R5" s="137"/>
      <c r="S5" s="137"/>
      <c r="T5" s="137"/>
      <c r="U5" s="137"/>
      <c r="V5" s="137"/>
      <c r="W5" s="137"/>
      <c r="X5" s="137"/>
      <c r="Y5" s="137"/>
      <c r="Z5" s="137"/>
    </row>
    <row r="6" spans="1:26" ht="15.75" customHeight="1" x14ac:dyDescent="0.2">
      <c r="A6" s="57" t="s">
        <v>3264</v>
      </c>
      <c r="B6" s="57" t="s">
        <v>3265</v>
      </c>
      <c r="C6" s="149">
        <f>4*33.84</f>
        <v>135.36000000000001</v>
      </c>
      <c r="D6" s="149" t="s">
        <v>512</v>
      </c>
      <c r="E6" s="137"/>
      <c r="F6" s="137"/>
      <c r="G6" s="137"/>
      <c r="H6" s="137"/>
      <c r="I6" s="137"/>
      <c r="J6" s="137"/>
      <c r="K6" s="137"/>
      <c r="L6" s="137"/>
      <c r="M6" s="137"/>
      <c r="N6" s="137"/>
      <c r="O6" s="137"/>
      <c r="P6" s="137"/>
      <c r="Q6" s="137"/>
      <c r="R6" s="137"/>
      <c r="S6" s="137"/>
      <c r="T6" s="137"/>
      <c r="U6" s="137"/>
      <c r="V6" s="137"/>
      <c r="W6" s="137"/>
      <c r="X6" s="137"/>
      <c r="Y6" s="137"/>
      <c r="Z6" s="137"/>
    </row>
    <row r="7" spans="1:26" ht="15.75" customHeight="1" x14ac:dyDescent="0.2">
      <c r="A7" s="57" t="s">
        <v>3266</v>
      </c>
      <c r="B7" s="57" t="s">
        <v>3267</v>
      </c>
      <c r="C7" s="149">
        <f>3*33.84</f>
        <v>101.52000000000001</v>
      </c>
      <c r="D7" s="149" t="s">
        <v>512</v>
      </c>
      <c r="E7" s="137"/>
      <c r="F7" s="137"/>
      <c r="G7" s="137"/>
      <c r="H7" s="137"/>
      <c r="I7" s="137"/>
      <c r="J7" s="137"/>
      <c r="K7" s="137"/>
      <c r="L7" s="137"/>
      <c r="M7" s="137"/>
      <c r="N7" s="137"/>
      <c r="O7" s="137"/>
      <c r="P7" s="137"/>
      <c r="Q7" s="137"/>
      <c r="R7" s="137"/>
      <c r="S7" s="137"/>
      <c r="T7" s="137"/>
      <c r="U7" s="137"/>
      <c r="V7" s="137"/>
      <c r="W7" s="137"/>
      <c r="X7" s="137"/>
      <c r="Y7" s="137"/>
      <c r="Z7" s="137"/>
    </row>
    <row r="8" spans="1:26" ht="15.75" customHeight="1" x14ac:dyDescent="0.2">
      <c r="A8" s="57" t="s">
        <v>3268</v>
      </c>
      <c r="B8" s="57" t="s">
        <v>3269</v>
      </c>
      <c r="C8" s="149">
        <f t="shared" ref="C8:C9" si="1">4*33.84</f>
        <v>135.36000000000001</v>
      </c>
      <c r="D8" s="149" t="s">
        <v>512</v>
      </c>
      <c r="E8" s="137"/>
      <c r="F8" s="137"/>
      <c r="G8" s="137"/>
      <c r="H8" s="137"/>
      <c r="I8" s="137"/>
      <c r="J8" s="137"/>
      <c r="K8" s="137"/>
      <c r="L8" s="137"/>
      <c r="M8" s="137"/>
      <c r="N8" s="137"/>
      <c r="O8" s="137"/>
      <c r="P8" s="137"/>
      <c r="Q8" s="137"/>
      <c r="R8" s="137"/>
      <c r="S8" s="137"/>
      <c r="T8" s="137"/>
      <c r="U8" s="137"/>
      <c r="V8" s="137"/>
      <c r="W8" s="137"/>
      <c r="X8" s="137"/>
      <c r="Y8" s="137"/>
      <c r="Z8" s="137"/>
    </row>
    <row r="9" spans="1:26" ht="15.75" customHeight="1" x14ac:dyDescent="0.2">
      <c r="A9" s="57" t="s">
        <v>3270</v>
      </c>
      <c r="B9" s="57" t="s">
        <v>3271</v>
      </c>
      <c r="C9" s="149">
        <f t="shared" si="1"/>
        <v>135.36000000000001</v>
      </c>
      <c r="D9" s="149" t="s">
        <v>512</v>
      </c>
      <c r="E9" s="137"/>
      <c r="F9" s="137"/>
      <c r="G9" s="137"/>
      <c r="H9" s="137"/>
      <c r="I9" s="137"/>
      <c r="J9" s="137"/>
      <c r="K9" s="137"/>
      <c r="L9" s="137"/>
      <c r="M9" s="137"/>
      <c r="N9" s="137"/>
      <c r="O9" s="137"/>
      <c r="P9" s="137"/>
      <c r="Q9" s="137"/>
      <c r="R9" s="137"/>
      <c r="S9" s="137"/>
      <c r="T9" s="137"/>
      <c r="U9" s="137"/>
      <c r="V9" s="137"/>
      <c r="W9" s="137"/>
      <c r="X9" s="137"/>
      <c r="Y9" s="137"/>
      <c r="Z9" s="137"/>
    </row>
    <row r="10" spans="1:26" ht="15.75" customHeight="1" x14ac:dyDescent="0.2">
      <c r="A10" s="150" t="s">
        <v>3272</v>
      </c>
      <c r="B10" s="150" t="s">
        <v>3273</v>
      </c>
      <c r="C10" s="149">
        <v>198.66</v>
      </c>
      <c r="D10" s="149">
        <f>C10/2200</f>
        <v>9.0300000000000005E-2</v>
      </c>
      <c r="E10" s="137"/>
      <c r="F10" s="137"/>
      <c r="G10" s="137"/>
      <c r="H10" s="137"/>
      <c r="I10" s="137"/>
      <c r="J10" s="137"/>
      <c r="K10" s="137"/>
      <c r="L10" s="137"/>
      <c r="M10" s="137"/>
      <c r="N10" s="137"/>
      <c r="O10" s="137"/>
      <c r="P10" s="137"/>
      <c r="Q10" s="137"/>
      <c r="R10" s="137"/>
      <c r="S10" s="137"/>
      <c r="T10" s="137"/>
      <c r="U10" s="137"/>
      <c r="V10" s="137"/>
      <c r="W10" s="137"/>
      <c r="X10" s="137"/>
      <c r="Y10" s="137"/>
      <c r="Z10" s="137"/>
    </row>
    <row r="11" spans="1:26" ht="15.75" customHeight="1" x14ac:dyDescent="0.2">
      <c r="A11" s="150" t="s">
        <v>3274</v>
      </c>
      <c r="B11" s="150" t="s">
        <v>3275</v>
      </c>
      <c r="C11" s="149">
        <v>142</v>
      </c>
      <c r="D11" s="149">
        <f>C11/1000</f>
        <v>0.14199999999999999</v>
      </c>
      <c r="E11" s="137"/>
      <c r="F11" s="137"/>
      <c r="G11" s="137"/>
      <c r="H11" s="137"/>
      <c r="I11" s="137"/>
      <c r="J11" s="137"/>
      <c r="K11" s="137"/>
      <c r="L11" s="137"/>
      <c r="M11" s="137"/>
      <c r="N11" s="137"/>
      <c r="O11" s="137"/>
      <c r="P11" s="137"/>
      <c r="Q11" s="137"/>
      <c r="R11" s="137"/>
      <c r="S11" s="137"/>
      <c r="T11" s="137"/>
      <c r="U11" s="137"/>
      <c r="V11" s="137"/>
      <c r="W11" s="137"/>
      <c r="X11" s="137"/>
      <c r="Y11" s="137"/>
      <c r="Z11" s="137"/>
    </row>
    <row r="12" spans="1:26" ht="15.75" customHeight="1" x14ac:dyDescent="0.2">
      <c r="A12" s="150" t="s">
        <v>3276</v>
      </c>
      <c r="B12" s="150" t="s">
        <v>3277</v>
      </c>
      <c r="C12" s="149">
        <f>142*2</f>
        <v>284</v>
      </c>
      <c r="D12" s="149">
        <f>C12/2400</f>
        <v>0.11833333333333333</v>
      </c>
      <c r="E12" s="137"/>
      <c r="F12" s="137"/>
      <c r="G12" s="137"/>
      <c r="H12" s="137"/>
      <c r="I12" s="137"/>
      <c r="J12" s="137"/>
      <c r="K12" s="137"/>
      <c r="L12" s="137"/>
      <c r="M12" s="137"/>
      <c r="N12" s="137"/>
      <c r="O12" s="137"/>
      <c r="P12" s="137"/>
      <c r="Q12" s="137"/>
      <c r="R12" s="137"/>
      <c r="S12" s="137"/>
      <c r="T12" s="137"/>
      <c r="U12" s="137"/>
      <c r="V12" s="137"/>
      <c r="W12" s="137"/>
      <c r="X12" s="137"/>
      <c r="Y12" s="137"/>
      <c r="Z12" s="137"/>
    </row>
    <row r="13" spans="1:26" ht="15.75" customHeight="1" x14ac:dyDescent="0.2">
      <c r="A13" s="150" t="s">
        <v>3278</v>
      </c>
      <c r="B13" s="150" t="s">
        <v>3279</v>
      </c>
      <c r="C13" s="149">
        <v>170</v>
      </c>
      <c r="D13" s="149">
        <f>C13/8000</f>
        <v>2.1250000000000002E-2</v>
      </c>
      <c r="E13" s="137"/>
      <c r="F13" s="137"/>
      <c r="G13" s="137"/>
      <c r="H13" s="137"/>
      <c r="I13" s="137"/>
      <c r="J13" s="137"/>
      <c r="K13" s="137"/>
      <c r="L13" s="137"/>
      <c r="M13" s="137"/>
      <c r="N13" s="137"/>
      <c r="O13" s="137"/>
      <c r="P13" s="137"/>
      <c r="Q13" s="137"/>
      <c r="R13" s="137"/>
      <c r="S13" s="137"/>
      <c r="T13" s="137"/>
      <c r="U13" s="137"/>
      <c r="V13" s="137"/>
      <c r="W13" s="137"/>
      <c r="X13" s="137"/>
      <c r="Y13" s="137"/>
      <c r="Z13" s="137"/>
    </row>
    <row r="14" spans="1:26" ht="15.75" customHeight="1" x14ac:dyDescent="0.2">
      <c r="A14" s="150" t="s">
        <v>3280</v>
      </c>
      <c r="B14" s="150" t="s">
        <v>3281</v>
      </c>
      <c r="C14" s="149">
        <v>71</v>
      </c>
      <c r="D14" s="149">
        <f>C14/1000</f>
        <v>7.0999999999999994E-2</v>
      </c>
      <c r="E14" s="137"/>
      <c r="F14" s="137"/>
      <c r="G14" s="137"/>
      <c r="H14" s="137"/>
      <c r="I14" s="137"/>
      <c r="J14" s="137"/>
      <c r="K14" s="137"/>
      <c r="L14" s="137"/>
      <c r="M14" s="137"/>
      <c r="N14" s="137"/>
      <c r="O14" s="137"/>
      <c r="P14" s="137"/>
      <c r="Q14" s="137"/>
      <c r="R14" s="137"/>
      <c r="S14" s="137"/>
      <c r="T14" s="137"/>
      <c r="U14" s="137"/>
      <c r="V14" s="137"/>
      <c r="W14" s="137"/>
      <c r="X14" s="137"/>
      <c r="Y14" s="137"/>
      <c r="Z14" s="137"/>
    </row>
    <row r="15" spans="1:26" ht="15.75" customHeight="1" x14ac:dyDescent="0.2">
      <c r="A15" s="150" t="s">
        <v>3282</v>
      </c>
      <c r="B15" s="150" t="s">
        <v>3283</v>
      </c>
      <c r="C15" s="149">
        <v>71</v>
      </c>
      <c r="D15" s="149">
        <f t="shared" ref="D15:D16" si="2">C15/500</f>
        <v>0.14199999999999999</v>
      </c>
      <c r="E15" s="137"/>
      <c r="F15" s="137"/>
      <c r="G15" s="137"/>
      <c r="H15" s="137"/>
      <c r="I15" s="137"/>
      <c r="J15" s="137"/>
      <c r="K15" s="137"/>
      <c r="L15" s="137"/>
      <c r="M15" s="137"/>
      <c r="N15" s="137"/>
      <c r="O15" s="137"/>
      <c r="P15" s="137"/>
      <c r="Q15" s="137"/>
      <c r="R15" s="137"/>
      <c r="S15" s="137"/>
      <c r="T15" s="137"/>
      <c r="U15" s="137"/>
      <c r="V15" s="137"/>
      <c r="W15" s="137"/>
      <c r="X15" s="137"/>
      <c r="Y15" s="137"/>
      <c r="Z15" s="137"/>
    </row>
    <row r="16" spans="1:26" ht="15.75" customHeight="1" x14ac:dyDescent="0.2">
      <c r="A16" s="150" t="s">
        <v>3284</v>
      </c>
      <c r="B16" s="150" t="s">
        <v>3285</v>
      </c>
      <c r="C16" s="149">
        <v>142</v>
      </c>
      <c r="D16" s="149">
        <f t="shared" si="2"/>
        <v>0.28399999999999997</v>
      </c>
      <c r="E16" s="137"/>
      <c r="F16" s="137"/>
      <c r="G16" s="137"/>
      <c r="H16" s="137"/>
      <c r="I16" s="137"/>
      <c r="J16" s="137"/>
      <c r="K16" s="137"/>
      <c r="L16" s="137"/>
      <c r="M16" s="137"/>
      <c r="N16" s="137"/>
      <c r="O16" s="137"/>
      <c r="P16" s="137"/>
      <c r="Q16" s="137"/>
      <c r="R16" s="137"/>
      <c r="S16" s="137"/>
      <c r="T16" s="137"/>
      <c r="U16" s="137"/>
      <c r="V16" s="137"/>
      <c r="W16" s="137"/>
      <c r="X16" s="137"/>
      <c r="Y16" s="137"/>
      <c r="Z16" s="137"/>
    </row>
    <row r="17" spans="1:26" ht="15.75" customHeight="1" x14ac:dyDescent="0.2">
      <c r="A17" s="150" t="s">
        <v>3286</v>
      </c>
      <c r="B17" s="150" t="s">
        <v>3287</v>
      </c>
      <c r="C17" s="149">
        <v>100</v>
      </c>
      <c r="D17" s="149">
        <f t="shared" ref="D17:D18" si="3">C17/1000</f>
        <v>0.1</v>
      </c>
      <c r="E17" s="137"/>
      <c r="F17" s="137"/>
      <c r="G17" s="137"/>
      <c r="H17" s="137"/>
      <c r="I17" s="137"/>
      <c r="J17" s="137"/>
      <c r="K17" s="137"/>
      <c r="L17" s="137"/>
      <c r="M17" s="137"/>
      <c r="N17" s="137"/>
      <c r="O17" s="137"/>
      <c r="P17" s="137"/>
      <c r="Q17" s="137"/>
      <c r="R17" s="137"/>
      <c r="S17" s="137"/>
      <c r="T17" s="137"/>
      <c r="U17" s="137"/>
      <c r="V17" s="137"/>
      <c r="W17" s="137"/>
      <c r="X17" s="137"/>
      <c r="Y17" s="137"/>
      <c r="Z17" s="137"/>
    </row>
    <row r="18" spans="1:26" ht="15.75" customHeight="1" x14ac:dyDescent="0.2">
      <c r="A18" s="150" t="s">
        <v>3288</v>
      </c>
      <c r="B18" s="150" t="s">
        <v>3289</v>
      </c>
      <c r="C18" s="149">
        <v>71</v>
      </c>
      <c r="D18" s="149">
        <f t="shared" si="3"/>
        <v>7.0999999999999994E-2</v>
      </c>
      <c r="E18" s="137"/>
      <c r="F18" s="137"/>
      <c r="G18" s="137"/>
      <c r="H18" s="137"/>
      <c r="I18" s="137"/>
      <c r="J18" s="137"/>
      <c r="K18" s="137"/>
      <c r="L18" s="137"/>
      <c r="M18" s="137"/>
      <c r="N18" s="137"/>
      <c r="O18" s="137"/>
      <c r="P18" s="137"/>
      <c r="Q18" s="137"/>
      <c r="R18" s="137"/>
      <c r="S18" s="137"/>
      <c r="T18" s="137"/>
      <c r="U18" s="137"/>
      <c r="V18" s="137"/>
      <c r="W18" s="137"/>
      <c r="X18" s="137"/>
      <c r="Y18" s="137"/>
      <c r="Z18" s="137"/>
    </row>
    <row r="19" spans="1:26" ht="15.75" customHeight="1" x14ac:dyDescent="0.2">
      <c r="A19" s="150" t="s">
        <v>3290</v>
      </c>
      <c r="B19" s="150" t="s">
        <v>3291</v>
      </c>
      <c r="C19" s="149">
        <v>200</v>
      </c>
      <c r="D19" s="149">
        <f>C19/2000</f>
        <v>0.1</v>
      </c>
      <c r="E19" s="137"/>
      <c r="F19" s="137"/>
      <c r="G19" s="137"/>
      <c r="H19" s="137"/>
      <c r="I19" s="137"/>
      <c r="J19" s="137"/>
      <c r="K19" s="137"/>
      <c r="L19" s="137"/>
      <c r="M19" s="137"/>
      <c r="N19" s="137"/>
      <c r="O19" s="137"/>
      <c r="P19" s="137"/>
      <c r="Q19" s="137"/>
      <c r="R19" s="137"/>
      <c r="S19" s="137"/>
      <c r="T19" s="137"/>
      <c r="U19" s="137"/>
      <c r="V19" s="137"/>
      <c r="W19" s="137"/>
      <c r="X19" s="137"/>
      <c r="Y19" s="137"/>
      <c r="Z19" s="137"/>
    </row>
    <row r="20" spans="1:26" ht="15.75" customHeight="1" x14ac:dyDescent="0.2">
      <c r="A20" s="137"/>
      <c r="B20" s="137"/>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spans="1:26" ht="15.75" customHeight="1" x14ac:dyDescent="0.2">
      <c r="A21" s="137"/>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spans="1:26" ht="15.75" customHeight="1" x14ac:dyDescent="0.2">
      <c r="A22" s="137"/>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spans="1:26" ht="15.75" customHeight="1" x14ac:dyDescent="0.2">
      <c r="A23" s="137"/>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spans="1:26" ht="15.75" customHeight="1" x14ac:dyDescent="0.2">
      <c r="A24" s="137"/>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spans="1:26" ht="15.75" customHeight="1" x14ac:dyDescent="0.2">
      <c r="A25" s="137"/>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75" customHeight="1" x14ac:dyDescent="0.2">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5.75" customHeight="1" x14ac:dyDescent="0.2">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5.75" customHeight="1" x14ac:dyDescent="0.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5.75" customHeight="1" x14ac:dyDescent="0.2">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row r="1001" spans="1:26" ht="15.75" customHeight="1" x14ac:dyDescent="0.2">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10"/>
  <sheetViews>
    <sheetView workbookViewId="0">
      <selection activeCell="C1" sqref="C1"/>
    </sheetView>
  </sheetViews>
  <sheetFormatPr baseColWidth="10" defaultColWidth="11.1640625" defaultRowHeight="15" customHeight="1" x14ac:dyDescent="0.2"/>
  <cols>
    <col min="1" max="1" width="30.83203125" customWidth="1"/>
    <col min="2" max="2" width="56.6640625" customWidth="1"/>
    <col min="3" max="3" width="32.83203125" customWidth="1"/>
    <col min="4" max="6" width="20.33203125" customWidth="1"/>
    <col min="7" max="26" width="10.83203125" customWidth="1"/>
  </cols>
  <sheetData>
    <row r="1" spans="1:26" ht="15.75" customHeight="1" x14ac:dyDescent="0.2">
      <c r="A1" s="151" t="s">
        <v>4098</v>
      </c>
      <c r="B1" s="151" t="s">
        <v>4099</v>
      </c>
      <c r="C1" s="151" t="s">
        <v>4100</v>
      </c>
      <c r="D1" s="151" t="s">
        <v>4097</v>
      </c>
      <c r="E1" s="152" t="s">
        <v>4</v>
      </c>
      <c r="F1" s="152" t="s">
        <v>3293</v>
      </c>
      <c r="G1" s="137"/>
      <c r="H1" s="137"/>
      <c r="I1" s="137"/>
      <c r="J1" s="137"/>
      <c r="K1" s="137"/>
      <c r="L1" s="137"/>
      <c r="M1" s="137"/>
      <c r="N1" s="137"/>
      <c r="O1" s="137"/>
      <c r="P1" s="137"/>
      <c r="Q1" s="137"/>
      <c r="R1" s="137"/>
      <c r="S1" s="137"/>
      <c r="T1" s="137"/>
      <c r="U1" s="137"/>
      <c r="V1" s="137"/>
      <c r="W1" s="137"/>
      <c r="X1" s="137"/>
      <c r="Y1" s="137"/>
      <c r="Z1" s="137"/>
    </row>
    <row r="2" spans="1:26" ht="15.75" customHeight="1" x14ac:dyDescent="0.2">
      <c r="A2" s="153" t="s">
        <v>3294</v>
      </c>
      <c r="B2" s="153" t="s">
        <v>3295</v>
      </c>
      <c r="C2" s="153" t="s">
        <v>3296</v>
      </c>
      <c r="D2" s="154">
        <v>0.2</v>
      </c>
      <c r="E2" s="154"/>
      <c r="F2" s="154"/>
      <c r="G2" s="137"/>
      <c r="H2" s="137"/>
      <c r="I2" s="137"/>
      <c r="J2" s="137"/>
      <c r="K2" s="137"/>
      <c r="L2" s="137"/>
      <c r="M2" s="137"/>
      <c r="N2" s="137"/>
      <c r="O2" s="137"/>
      <c r="P2" s="137"/>
      <c r="Q2" s="137"/>
      <c r="R2" s="137"/>
      <c r="S2" s="137"/>
      <c r="T2" s="137"/>
      <c r="U2" s="137"/>
      <c r="V2" s="137"/>
      <c r="W2" s="137"/>
      <c r="X2" s="137"/>
      <c r="Y2" s="137"/>
      <c r="Z2" s="137"/>
    </row>
    <row r="3" spans="1:26" ht="15.75" customHeight="1" x14ac:dyDescent="0.2">
      <c r="A3" s="155" t="s">
        <v>3297</v>
      </c>
      <c r="B3" s="155" t="s">
        <v>3298</v>
      </c>
      <c r="C3" s="155" t="s">
        <v>3299</v>
      </c>
      <c r="D3" s="156">
        <v>0.2361</v>
      </c>
      <c r="E3" s="156"/>
      <c r="F3" s="156"/>
      <c r="G3" s="137"/>
      <c r="H3" s="137"/>
      <c r="I3" s="137"/>
      <c r="J3" s="137"/>
      <c r="K3" s="137"/>
      <c r="L3" s="137"/>
      <c r="M3" s="137"/>
      <c r="N3" s="137"/>
      <c r="O3" s="137"/>
      <c r="P3" s="137"/>
      <c r="Q3" s="137"/>
      <c r="R3" s="137"/>
      <c r="S3" s="137"/>
      <c r="T3" s="137"/>
      <c r="U3" s="137"/>
      <c r="V3" s="137"/>
      <c r="W3" s="137"/>
      <c r="X3" s="137"/>
      <c r="Y3" s="137"/>
      <c r="Z3" s="137"/>
    </row>
    <row r="4" spans="1:26" ht="15.75" customHeight="1" x14ac:dyDescent="0.2">
      <c r="A4" s="155" t="s">
        <v>3300</v>
      </c>
      <c r="B4" s="155" t="s">
        <v>3301</v>
      </c>
      <c r="C4" s="155" t="s">
        <v>3299</v>
      </c>
      <c r="D4" s="156">
        <v>0.2361</v>
      </c>
      <c r="E4" s="156"/>
      <c r="F4" s="156"/>
      <c r="G4" s="137"/>
      <c r="H4" s="137"/>
      <c r="I4" s="137"/>
      <c r="J4" s="137"/>
      <c r="K4" s="137"/>
      <c r="L4" s="137"/>
      <c r="M4" s="137"/>
      <c r="N4" s="137"/>
      <c r="O4" s="137"/>
      <c r="P4" s="137"/>
      <c r="Q4" s="137"/>
      <c r="R4" s="137"/>
      <c r="S4" s="137"/>
      <c r="T4" s="137"/>
      <c r="U4" s="137"/>
      <c r="V4" s="137"/>
      <c r="W4" s="137"/>
      <c r="X4" s="137"/>
      <c r="Y4" s="137"/>
      <c r="Z4" s="137"/>
    </row>
    <row r="5" spans="1:26" ht="15.75" customHeight="1" x14ac:dyDescent="0.2">
      <c r="A5" s="155" t="s">
        <v>3302</v>
      </c>
      <c r="B5" s="155" t="s">
        <v>3303</v>
      </c>
      <c r="C5" s="155" t="s">
        <v>3299</v>
      </c>
      <c r="D5" s="156">
        <v>0.2361</v>
      </c>
      <c r="E5" s="156"/>
      <c r="F5" s="156"/>
      <c r="G5" s="137"/>
      <c r="H5" s="137"/>
      <c r="I5" s="137"/>
      <c r="J5" s="137"/>
      <c r="K5" s="137"/>
      <c r="L5" s="137"/>
      <c r="M5" s="137"/>
      <c r="N5" s="137"/>
      <c r="O5" s="137"/>
      <c r="P5" s="137"/>
      <c r="Q5" s="137"/>
      <c r="R5" s="137"/>
      <c r="S5" s="137"/>
      <c r="T5" s="137"/>
      <c r="U5" s="137"/>
      <c r="V5" s="137"/>
      <c r="W5" s="137"/>
      <c r="X5" s="137"/>
      <c r="Y5" s="137"/>
      <c r="Z5" s="137"/>
    </row>
    <row r="6" spans="1:26" ht="15.75" customHeight="1" x14ac:dyDescent="0.2">
      <c r="A6" s="155" t="s">
        <v>4084</v>
      </c>
      <c r="B6" s="155" t="s">
        <v>4085</v>
      </c>
      <c r="C6" s="155" t="s">
        <v>3344</v>
      </c>
      <c r="D6" s="156"/>
      <c r="E6" s="156"/>
      <c r="F6" s="156"/>
      <c r="G6" s="137"/>
      <c r="H6" s="137"/>
      <c r="I6" s="137"/>
      <c r="J6" s="137"/>
      <c r="K6" s="137"/>
      <c r="L6" s="137"/>
      <c r="M6" s="137"/>
      <c r="N6" s="137"/>
      <c r="O6" s="137"/>
      <c r="P6" s="137"/>
      <c r="Q6" s="137"/>
      <c r="R6" s="137"/>
      <c r="S6" s="137"/>
      <c r="T6" s="137"/>
      <c r="U6" s="137"/>
      <c r="V6" s="137"/>
      <c r="W6" s="137"/>
      <c r="X6" s="137"/>
      <c r="Y6" s="137"/>
      <c r="Z6" s="137"/>
    </row>
    <row r="7" spans="1:26" ht="15.75" customHeight="1" x14ac:dyDescent="0.2">
      <c r="A7" s="155" t="s">
        <v>3304</v>
      </c>
      <c r="B7" s="155" t="s">
        <v>3305</v>
      </c>
      <c r="C7" s="155" t="s">
        <v>3299</v>
      </c>
      <c r="D7" s="156">
        <v>0.2361</v>
      </c>
      <c r="E7" s="156"/>
      <c r="F7" s="156"/>
      <c r="G7" s="137"/>
      <c r="H7" s="137"/>
      <c r="I7" s="137"/>
      <c r="J7" s="137"/>
      <c r="K7" s="137"/>
      <c r="L7" s="137"/>
      <c r="M7" s="137"/>
      <c r="N7" s="137"/>
      <c r="O7" s="137"/>
      <c r="P7" s="137"/>
      <c r="Q7" s="137"/>
      <c r="R7" s="137"/>
      <c r="S7" s="137"/>
      <c r="T7" s="137"/>
      <c r="U7" s="137"/>
      <c r="V7" s="137"/>
      <c r="W7" s="137"/>
      <c r="X7" s="137"/>
      <c r="Y7" s="137"/>
      <c r="Z7" s="137"/>
    </row>
    <row r="8" spans="1:26" ht="15.75" customHeight="1" x14ac:dyDescent="0.2">
      <c r="A8" s="155" t="s">
        <v>3306</v>
      </c>
      <c r="B8" s="155" t="s">
        <v>3307</v>
      </c>
      <c r="C8" s="155" t="s">
        <v>3299</v>
      </c>
      <c r="D8" s="156">
        <v>0.46711999999999998</v>
      </c>
      <c r="E8" s="156"/>
      <c r="F8" s="156"/>
      <c r="G8" s="137"/>
      <c r="H8" s="137"/>
      <c r="I8" s="137"/>
      <c r="J8" s="137"/>
      <c r="K8" s="137"/>
      <c r="L8" s="137"/>
      <c r="M8" s="137"/>
      <c r="N8" s="137"/>
      <c r="O8" s="137"/>
      <c r="P8" s="137"/>
      <c r="Q8" s="137"/>
      <c r="R8" s="137"/>
      <c r="S8" s="137"/>
      <c r="T8" s="137"/>
      <c r="U8" s="137"/>
      <c r="V8" s="137"/>
      <c r="W8" s="137"/>
      <c r="X8" s="137"/>
      <c r="Y8" s="137"/>
      <c r="Z8" s="137"/>
    </row>
    <row r="9" spans="1:26" ht="15.75" customHeight="1" x14ac:dyDescent="0.2">
      <c r="A9" s="155" t="s">
        <v>3308</v>
      </c>
      <c r="B9" s="155" t="s">
        <v>3309</v>
      </c>
      <c r="C9" s="155" t="s">
        <v>3299</v>
      </c>
      <c r="D9" s="156">
        <v>0.46711999999999998</v>
      </c>
      <c r="E9" s="156"/>
      <c r="F9" s="156"/>
      <c r="G9" s="137"/>
      <c r="H9" s="137"/>
      <c r="I9" s="137"/>
      <c r="J9" s="137"/>
      <c r="K9" s="137"/>
      <c r="L9" s="137"/>
      <c r="M9" s="137"/>
      <c r="N9" s="137"/>
      <c r="O9" s="137"/>
      <c r="P9" s="137"/>
      <c r="Q9" s="137"/>
      <c r="R9" s="137"/>
      <c r="S9" s="137"/>
      <c r="T9" s="137"/>
      <c r="U9" s="137"/>
      <c r="V9" s="137"/>
      <c r="W9" s="137"/>
      <c r="X9" s="137"/>
      <c r="Y9" s="137"/>
      <c r="Z9" s="137"/>
    </row>
    <row r="10" spans="1:26" ht="15.75" customHeight="1" x14ac:dyDescent="0.2">
      <c r="A10" s="153" t="s">
        <v>3310</v>
      </c>
      <c r="B10" s="153" t="s">
        <v>3311</v>
      </c>
      <c r="C10" s="153" t="s">
        <v>3312</v>
      </c>
      <c r="D10" s="154">
        <v>0.11</v>
      </c>
      <c r="E10" s="154"/>
      <c r="F10" s="154"/>
      <c r="G10" s="137"/>
      <c r="H10" s="137"/>
      <c r="I10" s="137"/>
      <c r="J10" s="137"/>
      <c r="K10" s="137"/>
      <c r="L10" s="137"/>
      <c r="M10" s="137"/>
      <c r="N10" s="137"/>
      <c r="O10" s="137"/>
      <c r="P10" s="137"/>
      <c r="Q10" s="137"/>
      <c r="R10" s="137"/>
      <c r="S10" s="137"/>
      <c r="T10" s="137"/>
      <c r="U10" s="137"/>
      <c r="V10" s="137"/>
      <c r="W10" s="137"/>
      <c r="X10" s="137"/>
      <c r="Y10" s="137"/>
      <c r="Z10" s="137"/>
    </row>
    <row r="11" spans="1:26" ht="15.75" customHeight="1" x14ac:dyDescent="0.2">
      <c r="A11" s="153" t="s">
        <v>3313</v>
      </c>
      <c r="B11" s="153" t="s">
        <v>3314</v>
      </c>
      <c r="C11" s="153" t="s">
        <v>3312</v>
      </c>
      <c r="D11" s="154">
        <v>5.6000000000000001E-2</v>
      </c>
      <c r="E11" s="154"/>
      <c r="F11" s="154"/>
      <c r="G11" s="137"/>
      <c r="H11" s="137"/>
      <c r="I11" s="137"/>
      <c r="J11" s="137"/>
      <c r="K11" s="137"/>
      <c r="L11" s="137"/>
      <c r="M11" s="137"/>
      <c r="N11" s="137"/>
      <c r="O11" s="137"/>
      <c r="P11" s="137"/>
      <c r="Q11" s="137"/>
      <c r="R11" s="137"/>
      <c r="S11" s="137"/>
      <c r="T11" s="137"/>
      <c r="U11" s="137"/>
      <c r="V11" s="137"/>
      <c r="W11" s="137"/>
      <c r="X11" s="137"/>
      <c r="Y11" s="137"/>
      <c r="Z11" s="137"/>
    </row>
    <row r="12" spans="1:26" ht="15.75" customHeight="1" x14ac:dyDescent="0.2">
      <c r="A12" s="153" t="s">
        <v>3315</v>
      </c>
      <c r="B12" s="153" t="s">
        <v>3316</v>
      </c>
      <c r="C12" s="153" t="s">
        <v>3312</v>
      </c>
      <c r="D12" s="154">
        <v>5.6000000000000001E-2</v>
      </c>
      <c r="E12" s="154"/>
      <c r="F12" s="154"/>
      <c r="G12" s="137"/>
      <c r="H12" s="137"/>
      <c r="I12" s="137"/>
      <c r="J12" s="137"/>
      <c r="K12" s="137"/>
      <c r="L12" s="137"/>
      <c r="M12" s="137"/>
      <c r="N12" s="137"/>
      <c r="O12" s="137"/>
      <c r="P12" s="137"/>
      <c r="Q12" s="137"/>
      <c r="R12" s="137"/>
      <c r="S12" s="137"/>
      <c r="T12" s="137"/>
      <c r="U12" s="137"/>
      <c r="V12" s="137"/>
      <c r="W12" s="137"/>
      <c r="X12" s="137"/>
      <c r="Y12" s="137"/>
      <c r="Z12" s="137"/>
    </row>
    <row r="13" spans="1:26" ht="15.75" customHeight="1" x14ac:dyDescent="0.2">
      <c r="A13" s="153" t="s">
        <v>3317</v>
      </c>
      <c r="B13" s="153" t="s">
        <v>3318</v>
      </c>
      <c r="C13" s="153" t="s">
        <v>3312</v>
      </c>
      <c r="D13" s="154">
        <v>2.5000000000000001E-2</v>
      </c>
      <c r="E13" s="154"/>
      <c r="F13" s="154"/>
      <c r="G13" s="137"/>
      <c r="H13" s="137"/>
      <c r="I13" s="137"/>
      <c r="J13" s="137"/>
      <c r="K13" s="137"/>
      <c r="L13" s="137"/>
      <c r="M13" s="137"/>
      <c r="N13" s="137"/>
      <c r="O13" s="137"/>
      <c r="P13" s="137"/>
      <c r="Q13" s="137"/>
      <c r="R13" s="137"/>
      <c r="S13" s="137"/>
      <c r="T13" s="137"/>
      <c r="U13" s="137"/>
      <c r="V13" s="137"/>
      <c r="W13" s="137"/>
      <c r="X13" s="137"/>
      <c r="Y13" s="137"/>
      <c r="Z13" s="137"/>
    </row>
    <row r="14" spans="1:26" ht="15.75" customHeight="1" x14ac:dyDescent="0.2">
      <c r="A14" s="153" t="s">
        <v>3319</v>
      </c>
      <c r="B14" s="153" t="s">
        <v>3320</v>
      </c>
      <c r="C14" s="153" t="s">
        <v>3321</v>
      </c>
      <c r="D14" s="154">
        <v>0.35</v>
      </c>
      <c r="E14" s="154"/>
      <c r="F14" s="154"/>
      <c r="G14" s="137"/>
      <c r="H14" s="137"/>
      <c r="I14" s="137"/>
      <c r="J14" s="137"/>
      <c r="K14" s="137"/>
      <c r="L14" s="137"/>
      <c r="M14" s="137"/>
      <c r="N14" s="137"/>
      <c r="O14" s="137"/>
      <c r="P14" s="137"/>
      <c r="Q14" s="137"/>
      <c r="R14" s="137"/>
      <c r="S14" s="137"/>
      <c r="T14" s="137"/>
      <c r="U14" s="137"/>
      <c r="V14" s="137"/>
      <c r="W14" s="137"/>
      <c r="X14" s="137"/>
      <c r="Y14" s="137"/>
      <c r="Z14" s="137"/>
    </row>
    <row r="15" spans="1:26" ht="15.75" customHeight="1" x14ac:dyDescent="0.2">
      <c r="A15" s="153" t="s">
        <v>3322</v>
      </c>
      <c r="B15" s="153" t="s">
        <v>3323</v>
      </c>
      <c r="C15" s="153" t="s">
        <v>3324</v>
      </c>
      <c r="D15" s="154">
        <v>0.38300000000000001</v>
      </c>
      <c r="E15" s="154"/>
      <c r="F15" s="154"/>
      <c r="G15" s="137"/>
      <c r="H15" s="137"/>
      <c r="I15" s="137"/>
      <c r="J15" s="137"/>
      <c r="K15" s="137"/>
      <c r="L15" s="137"/>
      <c r="M15" s="137"/>
      <c r="N15" s="137"/>
      <c r="O15" s="137"/>
      <c r="P15" s="137"/>
      <c r="Q15" s="137"/>
      <c r="R15" s="137"/>
      <c r="S15" s="137"/>
      <c r="T15" s="137"/>
      <c r="U15" s="137"/>
      <c r="V15" s="137"/>
      <c r="W15" s="137"/>
      <c r="X15" s="137"/>
      <c r="Y15" s="137"/>
      <c r="Z15" s="137"/>
    </row>
    <row r="16" spans="1:26" ht="15.75" customHeight="1" x14ac:dyDescent="0.2">
      <c r="A16" s="153" t="s">
        <v>3325</v>
      </c>
      <c r="B16" s="153" t="s">
        <v>3326</v>
      </c>
      <c r="C16" s="153" t="s">
        <v>3327</v>
      </c>
      <c r="D16" s="154">
        <v>0.25</v>
      </c>
      <c r="E16" s="154"/>
      <c r="F16" s="154"/>
      <c r="G16" s="137"/>
      <c r="H16" s="137"/>
      <c r="I16" s="137"/>
      <c r="J16" s="137"/>
      <c r="K16" s="137"/>
      <c r="L16" s="137"/>
      <c r="M16" s="137"/>
      <c r="N16" s="137"/>
      <c r="O16" s="137"/>
      <c r="P16" s="137"/>
      <c r="Q16" s="137"/>
      <c r="R16" s="137"/>
      <c r="S16" s="137"/>
      <c r="T16" s="137"/>
      <c r="U16" s="137"/>
      <c r="V16" s="137"/>
      <c r="W16" s="137"/>
      <c r="X16" s="137"/>
      <c r="Y16" s="137"/>
      <c r="Z16" s="137"/>
    </row>
    <row r="17" spans="1:26" ht="15.75" customHeight="1" x14ac:dyDescent="0.2">
      <c r="A17" s="153" t="s">
        <v>3328</v>
      </c>
      <c r="B17" s="153" t="s">
        <v>3329</v>
      </c>
      <c r="C17" s="153" t="s">
        <v>3296</v>
      </c>
      <c r="D17" s="154">
        <v>0.28000000000000003</v>
      </c>
      <c r="E17" s="154"/>
      <c r="F17" s="154"/>
      <c r="G17" s="137"/>
      <c r="H17" s="137"/>
      <c r="I17" s="137"/>
      <c r="J17" s="137"/>
      <c r="K17" s="137"/>
      <c r="L17" s="137"/>
      <c r="M17" s="137"/>
      <c r="N17" s="137"/>
      <c r="O17" s="137"/>
      <c r="P17" s="137"/>
      <c r="Q17" s="137"/>
      <c r="R17" s="137"/>
      <c r="S17" s="137"/>
      <c r="T17" s="137"/>
      <c r="U17" s="137"/>
      <c r="V17" s="137"/>
      <c r="W17" s="137"/>
      <c r="X17" s="137"/>
      <c r="Y17" s="137"/>
      <c r="Z17" s="137"/>
    </row>
    <row r="18" spans="1:26" ht="15.75" customHeight="1" x14ac:dyDescent="0.2">
      <c r="A18" s="153" t="s">
        <v>3330</v>
      </c>
      <c r="B18" s="153" t="s">
        <v>3331</v>
      </c>
      <c r="C18" s="153" t="s">
        <v>3332</v>
      </c>
      <c r="D18" s="154">
        <v>0.27174999999999999</v>
      </c>
      <c r="E18" s="154"/>
      <c r="F18" s="154"/>
      <c r="G18" s="137"/>
      <c r="H18" s="137"/>
      <c r="I18" s="137"/>
      <c r="J18" s="137"/>
      <c r="K18" s="137"/>
      <c r="L18" s="137"/>
      <c r="M18" s="137"/>
      <c r="N18" s="137"/>
      <c r="O18" s="137"/>
      <c r="P18" s="137"/>
      <c r="Q18" s="137"/>
      <c r="R18" s="137"/>
      <c r="S18" s="137"/>
      <c r="T18" s="137"/>
      <c r="U18" s="137"/>
      <c r="V18" s="137"/>
      <c r="W18" s="137"/>
      <c r="X18" s="137"/>
      <c r="Y18" s="137"/>
      <c r="Z18" s="137"/>
    </row>
    <row r="19" spans="1:26" ht="15.75" customHeight="1" x14ac:dyDescent="0.2">
      <c r="A19" s="153" t="s">
        <v>3333</v>
      </c>
      <c r="B19" s="153" t="s">
        <v>3334</v>
      </c>
      <c r="C19" s="153" t="s">
        <v>3335</v>
      </c>
      <c r="D19" s="154">
        <v>0.16500000000000001</v>
      </c>
      <c r="E19" s="154"/>
      <c r="F19" s="154"/>
      <c r="G19" s="137"/>
      <c r="H19" s="137"/>
      <c r="I19" s="137"/>
      <c r="J19" s="137"/>
      <c r="K19" s="137"/>
      <c r="L19" s="137"/>
      <c r="M19" s="137"/>
      <c r="N19" s="137"/>
      <c r="O19" s="137"/>
      <c r="P19" s="137"/>
      <c r="Q19" s="137"/>
      <c r="R19" s="137"/>
      <c r="S19" s="137"/>
      <c r="T19" s="137"/>
      <c r="U19" s="137"/>
      <c r="V19" s="137"/>
      <c r="W19" s="137"/>
      <c r="X19" s="137"/>
      <c r="Y19" s="137"/>
      <c r="Z19" s="137"/>
    </row>
    <row r="20" spans="1:26" ht="15.75" customHeight="1" x14ac:dyDescent="0.2">
      <c r="A20" s="153" t="s">
        <v>3336</v>
      </c>
      <c r="B20" s="153" t="s">
        <v>3337</v>
      </c>
      <c r="C20" s="153" t="s">
        <v>3296</v>
      </c>
      <c r="D20" s="154">
        <v>6.1899999999999997E-2</v>
      </c>
      <c r="E20" s="154"/>
      <c r="F20" s="154"/>
      <c r="G20" s="137"/>
      <c r="H20" s="137"/>
      <c r="I20" s="137"/>
      <c r="J20" s="137"/>
      <c r="K20" s="137"/>
      <c r="L20" s="137"/>
      <c r="M20" s="137"/>
      <c r="N20" s="137"/>
      <c r="O20" s="137"/>
      <c r="P20" s="137"/>
      <c r="Q20" s="137"/>
      <c r="R20" s="137"/>
      <c r="S20" s="137"/>
      <c r="T20" s="137"/>
      <c r="U20" s="137"/>
      <c r="V20" s="137"/>
      <c r="W20" s="137"/>
      <c r="X20" s="137"/>
      <c r="Y20" s="137"/>
      <c r="Z20" s="137"/>
    </row>
    <row r="21" spans="1:26" ht="15.75" customHeight="1" x14ac:dyDescent="0.2">
      <c r="A21" s="155" t="s">
        <v>3338</v>
      </c>
      <c r="B21" s="155" t="s">
        <v>3339</v>
      </c>
      <c r="C21" s="155" t="s">
        <v>3299</v>
      </c>
      <c r="D21" s="156">
        <v>0.2361</v>
      </c>
      <c r="E21" s="156"/>
      <c r="F21" s="156"/>
      <c r="G21" s="137"/>
      <c r="H21" s="137"/>
      <c r="I21" s="137"/>
      <c r="J21" s="137"/>
      <c r="K21" s="137"/>
      <c r="L21" s="137"/>
      <c r="M21" s="137"/>
      <c r="N21" s="137"/>
      <c r="O21" s="137"/>
      <c r="P21" s="137"/>
      <c r="Q21" s="137"/>
      <c r="R21" s="137"/>
      <c r="S21" s="137"/>
      <c r="T21" s="137"/>
      <c r="U21" s="137"/>
      <c r="V21" s="137"/>
      <c r="W21" s="137"/>
      <c r="X21" s="137"/>
      <c r="Y21" s="137"/>
      <c r="Z21" s="137"/>
    </row>
    <row r="22" spans="1:26" ht="15.75" customHeight="1" x14ac:dyDescent="0.2">
      <c r="A22" s="155" t="s">
        <v>3340</v>
      </c>
      <c r="B22" s="155" t="s">
        <v>3341</v>
      </c>
      <c r="C22" s="155" t="s">
        <v>3299</v>
      </c>
      <c r="D22" s="156">
        <v>0.46711999999999998</v>
      </c>
      <c r="E22" s="156"/>
      <c r="F22" s="156"/>
      <c r="G22" s="137"/>
      <c r="H22" s="137"/>
      <c r="I22" s="137"/>
      <c r="J22" s="137"/>
      <c r="K22" s="137"/>
      <c r="L22" s="137"/>
      <c r="M22" s="137"/>
      <c r="N22" s="137"/>
      <c r="O22" s="137"/>
      <c r="P22" s="137"/>
      <c r="Q22" s="137"/>
      <c r="R22" s="137"/>
      <c r="S22" s="137"/>
      <c r="T22" s="137"/>
      <c r="U22" s="137"/>
      <c r="V22" s="137"/>
      <c r="W22" s="137"/>
      <c r="X22" s="137"/>
      <c r="Y22" s="137"/>
      <c r="Z22" s="137"/>
    </row>
    <row r="23" spans="1:26" ht="15.75" customHeight="1" x14ac:dyDescent="0.2">
      <c r="A23" s="155" t="s">
        <v>3342</v>
      </c>
      <c r="B23" s="155" t="s">
        <v>3343</v>
      </c>
      <c r="C23" s="155" t="s">
        <v>3344</v>
      </c>
      <c r="D23" s="156">
        <v>0.4</v>
      </c>
      <c r="E23" s="156"/>
      <c r="F23" s="156"/>
      <c r="G23" s="137"/>
      <c r="H23" s="137"/>
      <c r="I23" s="137"/>
      <c r="J23" s="137"/>
      <c r="K23" s="137"/>
      <c r="L23" s="137"/>
      <c r="M23" s="137"/>
      <c r="N23" s="137"/>
      <c r="O23" s="137"/>
      <c r="P23" s="137"/>
      <c r="Q23" s="137"/>
      <c r="R23" s="137"/>
      <c r="S23" s="137"/>
      <c r="T23" s="137"/>
      <c r="U23" s="137"/>
      <c r="V23" s="137"/>
      <c r="W23" s="137"/>
      <c r="X23" s="137"/>
      <c r="Y23" s="137"/>
      <c r="Z23" s="137"/>
    </row>
    <row r="24" spans="1:26" ht="15.75" customHeight="1" x14ac:dyDescent="0.2">
      <c r="A24" s="155" t="s">
        <v>3345</v>
      </c>
      <c r="B24" s="155" t="s">
        <v>3346</v>
      </c>
      <c r="C24" s="155" t="s">
        <v>3344</v>
      </c>
      <c r="D24" s="156">
        <v>0.44</v>
      </c>
      <c r="E24" s="156"/>
      <c r="F24" s="156"/>
      <c r="G24" s="137"/>
      <c r="H24" s="137"/>
      <c r="I24" s="137"/>
      <c r="J24" s="137"/>
      <c r="K24" s="137"/>
      <c r="L24" s="137"/>
      <c r="M24" s="137"/>
      <c r="N24" s="137"/>
      <c r="O24" s="137"/>
      <c r="P24" s="137"/>
      <c r="Q24" s="137"/>
      <c r="R24" s="137"/>
      <c r="S24" s="137"/>
      <c r="T24" s="137"/>
      <c r="U24" s="137"/>
      <c r="V24" s="137"/>
      <c r="W24" s="137"/>
      <c r="X24" s="137"/>
      <c r="Y24" s="137"/>
      <c r="Z24" s="137"/>
    </row>
    <row r="25" spans="1:26" ht="15.75" customHeight="1" x14ac:dyDescent="0.2">
      <c r="A25" s="155" t="s">
        <v>3347</v>
      </c>
      <c r="B25" s="155" t="s">
        <v>3348</v>
      </c>
      <c r="C25" s="155" t="s">
        <v>3344</v>
      </c>
      <c r="D25" s="156">
        <v>0.49</v>
      </c>
      <c r="E25" s="156"/>
      <c r="F25" s="156"/>
      <c r="G25" s="137"/>
      <c r="H25" s="137"/>
      <c r="I25" s="137"/>
      <c r="J25" s="137"/>
      <c r="K25" s="137"/>
      <c r="L25" s="137"/>
      <c r="M25" s="137"/>
      <c r="N25" s="137"/>
      <c r="O25" s="137"/>
      <c r="P25" s="137"/>
      <c r="Q25" s="137"/>
      <c r="R25" s="137"/>
      <c r="S25" s="137"/>
      <c r="T25" s="137"/>
      <c r="U25" s="137"/>
      <c r="V25" s="137"/>
      <c r="W25" s="137"/>
      <c r="X25" s="137"/>
      <c r="Y25" s="137"/>
      <c r="Z25" s="137"/>
    </row>
    <row r="26" spans="1:26" ht="15.75" customHeight="1" x14ac:dyDescent="0.2">
      <c r="A26" s="155" t="s">
        <v>3349</v>
      </c>
      <c r="B26" s="155" t="s">
        <v>3350</v>
      </c>
      <c r="C26" s="155" t="s">
        <v>3344</v>
      </c>
      <c r="D26" s="156">
        <v>0.2361</v>
      </c>
      <c r="E26" s="156"/>
      <c r="F26" s="156"/>
      <c r="G26" s="137"/>
      <c r="H26" s="137"/>
      <c r="I26" s="137"/>
      <c r="J26" s="137"/>
      <c r="K26" s="137"/>
      <c r="L26" s="137"/>
      <c r="M26" s="137"/>
      <c r="N26" s="137"/>
      <c r="O26" s="137"/>
      <c r="P26" s="137"/>
      <c r="Q26" s="137"/>
      <c r="R26" s="137"/>
      <c r="S26" s="137"/>
      <c r="T26" s="137"/>
      <c r="U26" s="137"/>
      <c r="V26" s="137"/>
      <c r="W26" s="137"/>
      <c r="X26" s="137"/>
      <c r="Y26" s="137"/>
      <c r="Z26" s="137"/>
    </row>
    <row r="27" spans="1:26" ht="15.75" customHeight="1" x14ac:dyDescent="0.2">
      <c r="A27" s="157" t="s">
        <v>3351</v>
      </c>
      <c r="B27" s="157" t="s">
        <v>3352</v>
      </c>
      <c r="C27" s="157" t="s">
        <v>3332</v>
      </c>
      <c r="D27" s="158">
        <v>0.11434</v>
      </c>
      <c r="E27" s="158"/>
      <c r="F27" s="158"/>
      <c r="G27" s="137"/>
      <c r="H27" s="137"/>
      <c r="I27" s="137"/>
      <c r="J27" s="137"/>
      <c r="K27" s="137"/>
      <c r="L27" s="137"/>
      <c r="M27" s="137"/>
      <c r="N27" s="137"/>
      <c r="O27" s="137"/>
      <c r="P27" s="137"/>
      <c r="Q27" s="137"/>
      <c r="R27" s="137"/>
      <c r="S27" s="137"/>
      <c r="T27" s="137"/>
      <c r="U27" s="137"/>
      <c r="V27" s="137"/>
      <c r="W27" s="137"/>
      <c r="X27" s="137"/>
      <c r="Y27" s="137"/>
      <c r="Z27" s="137"/>
    </row>
    <row r="28" spans="1:26" ht="15.75" customHeight="1" x14ac:dyDescent="0.2">
      <c r="A28" s="157" t="s">
        <v>3353</v>
      </c>
      <c r="B28" s="157" t="s">
        <v>3354</v>
      </c>
      <c r="C28" s="157" t="s">
        <v>3355</v>
      </c>
      <c r="D28" s="158">
        <v>0.19</v>
      </c>
      <c r="E28" s="158"/>
      <c r="F28" s="158"/>
      <c r="G28" s="137"/>
      <c r="H28" s="137"/>
      <c r="I28" s="137"/>
      <c r="J28" s="137"/>
      <c r="K28" s="137"/>
      <c r="L28" s="137"/>
      <c r="M28" s="137"/>
      <c r="N28" s="137"/>
      <c r="O28" s="137"/>
      <c r="P28" s="137"/>
      <c r="Q28" s="137"/>
      <c r="R28" s="137"/>
      <c r="S28" s="137"/>
      <c r="T28" s="137"/>
      <c r="U28" s="137"/>
      <c r="V28" s="137"/>
      <c r="W28" s="137"/>
      <c r="X28" s="137"/>
      <c r="Y28" s="137"/>
      <c r="Z28" s="137"/>
    </row>
    <row r="29" spans="1:26" ht="15.75" customHeight="1" x14ac:dyDescent="0.2">
      <c r="A29" s="157" t="s">
        <v>3356</v>
      </c>
      <c r="B29" s="157" t="s">
        <v>3357</v>
      </c>
      <c r="C29" s="157" t="s">
        <v>3358</v>
      </c>
      <c r="D29" s="158">
        <v>0.15629999999999999</v>
      </c>
      <c r="E29" s="158"/>
      <c r="F29" s="158"/>
      <c r="G29" s="137"/>
      <c r="H29" s="137"/>
      <c r="I29" s="137"/>
      <c r="J29" s="137"/>
      <c r="K29" s="137"/>
      <c r="L29" s="137"/>
      <c r="M29" s="137"/>
      <c r="N29" s="137"/>
      <c r="O29" s="137"/>
      <c r="P29" s="137"/>
      <c r="Q29" s="137"/>
      <c r="R29" s="137"/>
      <c r="S29" s="137"/>
      <c r="T29" s="137"/>
      <c r="U29" s="137"/>
      <c r="V29" s="137"/>
      <c r="W29" s="137"/>
      <c r="X29" s="137"/>
      <c r="Y29" s="137"/>
      <c r="Z29" s="137"/>
    </row>
    <row r="30" spans="1:26" ht="15.75" customHeight="1" x14ac:dyDescent="0.2">
      <c r="A30" s="157" t="s">
        <v>3359</v>
      </c>
      <c r="B30" s="157" t="s">
        <v>3360</v>
      </c>
      <c r="C30" s="157" t="s">
        <v>3296</v>
      </c>
      <c r="D30" s="158">
        <v>0.28999999999999998</v>
      </c>
      <c r="E30" s="158"/>
      <c r="F30" s="158"/>
      <c r="G30" s="137"/>
      <c r="H30" s="137"/>
      <c r="I30" s="137"/>
      <c r="J30" s="137"/>
      <c r="K30" s="137"/>
      <c r="L30" s="137"/>
      <c r="M30" s="137"/>
      <c r="N30" s="137"/>
      <c r="O30" s="137"/>
      <c r="P30" s="137"/>
      <c r="Q30" s="137"/>
      <c r="R30" s="137"/>
      <c r="S30" s="137"/>
      <c r="T30" s="137"/>
      <c r="U30" s="137"/>
      <c r="V30" s="137"/>
      <c r="W30" s="137"/>
      <c r="X30" s="137"/>
      <c r="Y30" s="137"/>
      <c r="Z30" s="137"/>
    </row>
    <row r="31" spans="1:26" ht="15.75" customHeight="1" x14ac:dyDescent="0.2">
      <c r="A31" s="157" t="s">
        <v>3361</v>
      </c>
      <c r="B31" s="157" t="s">
        <v>3362</v>
      </c>
      <c r="C31" s="157" t="s">
        <v>3363</v>
      </c>
      <c r="D31" s="158">
        <v>0.155</v>
      </c>
      <c r="E31" s="158"/>
      <c r="F31" s="158"/>
      <c r="G31" s="137"/>
      <c r="H31" s="137"/>
      <c r="I31" s="137"/>
      <c r="J31" s="137"/>
      <c r="K31" s="137"/>
      <c r="L31" s="137"/>
      <c r="M31" s="137"/>
      <c r="N31" s="137"/>
      <c r="O31" s="137"/>
      <c r="P31" s="137"/>
      <c r="Q31" s="137"/>
      <c r="R31" s="137"/>
      <c r="S31" s="137"/>
      <c r="T31" s="137"/>
      <c r="U31" s="137"/>
      <c r="V31" s="137"/>
      <c r="W31" s="137"/>
      <c r="X31" s="137"/>
      <c r="Y31" s="137"/>
      <c r="Z31" s="137"/>
    </row>
    <row r="32" spans="1:26" ht="15.75" customHeight="1" x14ac:dyDescent="0.2">
      <c r="A32" s="157" t="s">
        <v>3364</v>
      </c>
      <c r="B32" s="157" t="s">
        <v>3365</v>
      </c>
      <c r="C32" s="157" t="s">
        <v>3355</v>
      </c>
      <c r="D32" s="158">
        <v>0.18920000000000001</v>
      </c>
      <c r="E32" s="158"/>
      <c r="F32" s="158"/>
      <c r="G32" s="137"/>
      <c r="H32" s="137"/>
      <c r="I32" s="137"/>
      <c r="J32" s="137"/>
      <c r="K32" s="137"/>
      <c r="L32" s="137"/>
      <c r="M32" s="137"/>
      <c r="N32" s="137"/>
      <c r="O32" s="137"/>
      <c r="P32" s="137"/>
      <c r="Q32" s="137"/>
      <c r="R32" s="137"/>
      <c r="S32" s="137"/>
      <c r="T32" s="137"/>
      <c r="U32" s="137"/>
      <c r="V32" s="137"/>
      <c r="W32" s="137"/>
      <c r="X32" s="137"/>
      <c r="Y32" s="137"/>
      <c r="Z32" s="137"/>
    </row>
    <row r="33" spans="1:26" ht="15.75" customHeight="1" x14ac:dyDescent="0.2">
      <c r="A33" s="157" t="s">
        <v>3366</v>
      </c>
      <c r="B33" s="157" t="s">
        <v>3367</v>
      </c>
      <c r="C33" s="157" t="s">
        <v>3324</v>
      </c>
      <c r="D33" s="158">
        <v>0.222</v>
      </c>
      <c r="E33" s="158"/>
      <c r="F33" s="158"/>
      <c r="G33" s="137"/>
      <c r="H33" s="137"/>
      <c r="I33" s="137"/>
      <c r="J33" s="137"/>
      <c r="K33" s="137"/>
      <c r="L33" s="137"/>
      <c r="M33" s="137"/>
      <c r="N33" s="137"/>
      <c r="O33" s="137"/>
      <c r="P33" s="137"/>
      <c r="Q33" s="137"/>
      <c r="R33" s="137"/>
      <c r="S33" s="137"/>
      <c r="T33" s="137"/>
      <c r="U33" s="137"/>
      <c r="V33" s="137"/>
      <c r="W33" s="137"/>
      <c r="X33" s="137"/>
      <c r="Y33" s="137"/>
      <c r="Z33" s="137"/>
    </row>
    <row r="34" spans="1:26" ht="15.75" customHeight="1" x14ac:dyDescent="0.2">
      <c r="A34" s="157" t="s">
        <v>3368</v>
      </c>
      <c r="B34" s="157" t="s">
        <v>3369</v>
      </c>
      <c r="C34" s="157" t="s">
        <v>3370</v>
      </c>
      <c r="D34" s="158">
        <v>0.17499999999999999</v>
      </c>
      <c r="E34" s="158"/>
      <c r="F34" s="158"/>
      <c r="G34" s="137"/>
      <c r="H34" s="137"/>
      <c r="I34" s="137"/>
      <c r="J34" s="137"/>
      <c r="K34" s="137"/>
      <c r="L34" s="137"/>
      <c r="M34" s="137"/>
      <c r="N34" s="137"/>
      <c r="O34" s="137"/>
      <c r="P34" s="137"/>
      <c r="Q34" s="137"/>
      <c r="R34" s="137"/>
      <c r="S34" s="137"/>
      <c r="T34" s="137"/>
      <c r="U34" s="137"/>
      <c r="V34" s="137"/>
      <c r="W34" s="137"/>
      <c r="X34" s="137"/>
      <c r="Y34" s="137"/>
      <c r="Z34" s="137"/>
    </row>
    <row r="35" spans="1:26" ht="15.75" customHeight="1" x14ac:dyDescent="0.2">
      <c r="A35" s="157" t="s">
        <v>3371</v>
      </c>
      <c r="B35" s="157" t="s">
        <v>3372</v>
      </c>
      <c r="C35" s="157" t="s">
        <v>3373</v>
      </c>
      <c r="D35" s="158">
        <v>0.54415999999999998</v>
      </c>
      <c r="E35" s="158"/>
      <c r="F35" s="158"/>
      <c r="G35" s="137"/>
      <c r="H35" s="137"/>
      <c r="I35" s="137"/>
      <c r="J35" s="137"/>
      <c r="K35" s="137"/>
      <c r="L35" s="137"/>
      <c r="M35" s="137"/>
      <c r="N35" s="137"/>
      <c r="O35" s="137"/>
      <c r="P35" s="137"/>
      <c r="Q35" s="137"/>
      <c r="R35" s="137"/>
      <c r="S35" s="137"/>
      <c r="T35" s="137"/>
      <c r="U35" s="137"/>
      <c r="V35" s="137"/>
      <c r="W35" s="137"/>
      <c r="X35" s="137"/>
      <c r="Y35" s="137"/>
      <c r="Z35" s="137"/>
    </row>
    <row r="36" spans="1:26" ht="15.75" customHeight="1" x14ac:dyDescent="0.2">
      <c r="A36" s="157" t="s">
        <v>3374</v>
      </c>
      <c r="B36" s="157" t="s">
        <v>3375</v>
      </c>
      <c r="C36" s="157" t="s">
        <v>3296</v>
      </c>
      <c r="D36" s="158">
        <v>0.37</v>
      </c>
      <c r="E36" s="158"/>
      <c r="F36" s="158"/>
      <c r="G36" s="137"/>
      <c r="H36" s="137"/>
      <c r="I36" s="137"/>
      <c r="J36" s="137"/>
      <c r="K36" s="137"/>
      <c r="L36" s="137"/>
      <c r="M36" s="137"/>
      <c r="N36" s="137"/>
      <c r="O36" s="137"/>
      <c r="P36" s="137"/>
      <c r="Q36" s="137"/>
      <c r="R36" s="137"/>
      <c r="S36" s="137"/>
      <c r="T36" s="137"/>
      <c r="U36" s="137"/>
      <c r="V36" s="137"/>
      <c r="W36" s="137"/>
      <c r="X36" s="137"/>
      <c r="Y36" s="137"/>
      <c r="Z36" s="137"/>
    </row>
    <row r="37" spans="1:26" ht="15.75" customHeight="1" x14ac:dyDescent="0.2">
      <c r="A37" s="157" t="s">
        <v>3376</v>
      </c>
      <c r="B37" s="157" t="s">
        <v>3377</v>
      </c>
      <c r="C37" s="157" t="s">
        <v>3296</v>
      </c>
      <c r="D37" s="158">
        <v>0.28210000000000002</v>
      </c>
      <c r="E37" s="158"/>
      <c r="F37" s="158"/>
      <c r="G37" s="137"/>
      <c r="H37" s="137"/>
      <c r="I37" s="137"/>
      <c r="J37" s="137"/>
      <c r="K37" s="137"/>
      <c r="L37" s="137"/>
      <c r="M37" s="137"/>
      <c r="N37" s="137"/>
      <c r="O37" s="137"/>
      <c r="P37" s="137"/>
      <c r="Q37" s="137"/>
      <c r="R37" s="137"/>
      <c r="S37" s="137"/>
      <c r="T37" s="137"/>
      <c r="U37" s="137"/>
      <c r="V37" s="137"/>
      <c r="W37" s="137"/>
      <c r="X37" s="137"/>
      <c r="Y37" s="137"/>
      <c r="Z37" s="137"/>
    </row>
    <row r="38" spans="1:26" ht="15.75" customHeight="1" x14ac:dyDescent="0.2">
      <c r="A38" s="155" t="s">
        <v>3378</v>
      </c>
      <c r="B38" s="155" t="s">
        <v>3379</v>
      </c>
      <c r="C38" s="155" t="s">
        <v>3299</v>
      </c>
      <c r="D38" s="156">
        <v>0.46711999999999998</v>
      </c>
      <c r="E38" s="156"/>
      <c r="F38" s="156"/>
      <c r="G38" s="137"/>
      <c r="H38" s="137"/>
      <c r="I38" s="137"/>
      <c r="J38" s="137"/>
      <c r="K38" s="137"/>
      <c r="L38" s="137"/>
      <c r="M38" s="137"/>
      <c r="N38" s="137"/>
      <c r="O38" s="137"/>
      <c r="P38" s="137"/>
      <c r="Q38" s="137"/>
      <c r="R38" s="137"/>
      <c r="S38" s="137"/>
      <c r="T38" s="137"/>
      <c r="U38" s="137"/>
      <c r="V38" s="137"/>
      <c r="W38" s="137"/>
      <c r="X38" s="137"/>
      <c r="Y38" s="137"/>
      <c r="Z38" s="137"/>
    </row>
    <row r="39" spans="1:26" ht="15.75" customHeight="1" x14ac:dyDescent="0.2">
      <c r="A39" s="155" t="s">
        <v>3380</v>
      </c>
      <c r="B39" s="155" t="s">
        <v>3381</v>
      </c>
      <c r="C39" s="155" t="s">
        <v>3299</v>
      </c>
      <c r="D39" s="156">
        <v>0.2361</v>
      </c>
      <c r="E39" s="156"/>
      <c r="F39" s="156"/>
      <c r="G39" s="137"/>
      <c r="H39" s="137"/>
      <c r="I39" s="137"/>
      <c r="J39" s="137"/>
      <c r="K39" s="137"/>
      <c r="L39" s="137"/>
      <c r="M39" s="137"/>
      <c r="N39" s="137"/>
      <c r="O39" s="137"/>
      <c r="P39" s="137"/>
      <c r="Q39" s="137"/>
      <c r="R39" s="137"/>
      <c r="S39" s="137"/>
      <c r="T39" s="137"/>
      <c r="U39" s="137"/>
      <c r="V39" s="137"/>
      <c r="W39" s="137"/>
      <c r="X39" s="137"/>
      <c r="Y39" s="137"/>
      <c r="Z39" s="137"/>
    </row>
    <row r="40" spans="1:26" ht="15.75" customHeight="1" x14ac:dyDescent="0.2">
      <c r="A40" s="155" t="s">
        <v>3382</v>
      </c>
      <c r="B40" s="155" t="s">
        <v>3383</v>
      </c>
      <c r="C40" s="155" t="s">
        <v>3344</v>
      </c>
      <c r="D40" s="156"/>
      <c r="E40" s="156"/>
      <c r="F40" s="156"/>
      <c r="G40" s="137"/>
      <c r="H40" s="137"/>
      <c r="I40" s="137"/>
      <c r="J40" s="137"/>
      <c r="K40" s="137"/>
      <c r="L40" s="137"/>
      <c r="M40" s="137"/>
      <c r="N40" s="137"/>
      <c r="O40" s="137"/>
      <c r="P40" s="137"/>
      <c r="Q40" s="137"/>
      <c r="R40" s="137"/>
      <c r="S40" s="137"/>
      <c r="T40" s="137"/>
      <c r="U40" s="137"/>
      <c r="V40" s="137"/>
      <c r="W40" s="137"/>
      <c r="X40" s="137"/>
      <c r="Y40" s="137"/>
      <c r="Z40" s="137"/>
    </row>
    <row r="41" spans="1:26" ht="15.75" customHeight="1" x14ac:dyDescent="0.2">
      <c r="A41" s="155" t="s">
        <v>3384</v>
      </c>
      <c r="B41" s="155" t="s">
        <v>3385</v>
      </c>
      <c r="C41" s="155" t="s">
        <v>3299</v>
      </c>
      <c r="D41" s="156">
        <v>0.2361</v>
      </c>
      <c r="E41" s="156"/>
      <c r="F41" s="156"/>
      <c r="G41" s="137"/>
      <c r="H41" s="137"/>
      <c r="I41" s="137"/>
      <c r="J41" s="137"/>
      <c r="K41" s="137"/>
      <c r="L41" s="137"/>
      <c r="M41" s="137"/>
      <c r="N41" s="137"/>
      <c r="O41" s="137"/>
      <c r="P41" s="137"/>
      <c r="Q41" s="137"/>
      <c r="R41" s="137"/>
      <c r="S41" s="137"/>
      <c r="T41" s="137"/>
      <c r="U41" s="137"/>
      <c r="V41" s="137"/>
      <c r="W41" s="137"/>
      <c r="X41" s="137"/>
      <c r="Y41" s="137"/>
      <c r="Z41" s="137"/>
    </row>
    <row r="42" spans="1:26" ht="15.75" customHeight="1" x14ac:dyDescent="0.2">
      <c r="A42" s="155" t="s">
        <v>3386</v>
      </c>
      <c r="B42" s="155" t="s">
        <v>3387</v>
      </c>
      <c r="C42" s="155" t="s">
        <v>3299</v>
      </c>
      <c r="D42" s="156">
        <v>0.46711999999999998</v>
      </c>
      <c r="E42" s="156"/>
      <c r="F42" s="156"/>
      <c r="G42" s="137"/>
      <c r="H42" s="137"/>
      <c r="I42" s="137"/>
      <c r="J42" s="137"/>
      <c r="K42" s="137"/>
      <c r="L42" s="137"/>
      <c r="M42" s="137"/>
      <c r="N42" s="137"/>
      <c r="O42" s="137"/>
      <c r="P42" s="137"/>
      <c r="Q42" s="137"/>
      <c r="R42" s="137"/>
      <c r="S42" s="137"/>
      <c r="T42" s="137"/>
      <c r="U42" s="137"/>
      <c r="V42" s="137"/>
      <c r="W42" s="137"/>
      <c r="X42" s="137"/>
      <c r="Y42" s="137"/>
      <c r="Z42" s="137"/>
    </row>
    <row r="43" spans="1:26" ht="15.75" customHeight="1" x14ac:dyDescent="0.2">
      <c r="A43" s="155" t="s">
        <v>3388</v>
      </c>
      <c r="B43" s="155" t="s">
        <v>3389</v>
      </c>
      <c r="C43" s="155" t="s">
        <v>3344</v>
      </c>
      <c r="D43" s="156">
        <v>0.4</v>
      </c>
      <c r="E43" s="156"/>
      <c r="F43" s="156"/>
      <c r="G43" s="137"/>
      <c r="H43" s="137"/>
      <c r="I43" s="137"/>
      <c r="J43" s="137"/>
      <c r="K43" s="137"/>
      <c r="L43" s="137"/>
      <c r="M43" s="137"/>
      <c r="N43" s="137"/>
      <c r="O43" s="137"/>
      <c r="P43" s="137"/>
      <c r="Q43" s="137"/>
      <c r="R43" s="137"/>
      <c r="S43" s="137"/>
      <c r="T43" s="137"/>
      <c r="U43" s="137"/>
      <c r="V43" s="137"/>
      <c r="W43" s="137"/>
      <c r="X43" s="137"/>
      <c r="Y43" s="137"/>
      <c r="Z43" s="137"/>
    </row>
    <row r="44" spans="1:26" ht="15.75" customHeight="1" x14ac:dyDescent="0.2">
      <c r="A44" s="159" t="s">
        <v>3390</v>
      </c>
      <c r="B44" s="159" t="s">
        <v>3391</v>
      </c>
      <c r="C44" s="159" t="s">
        <v>3392</v>
      </c>
      <c r="D44" s="160">
        <v>0.62</v>
      </c>
      <c r="E44" s="160"/>
      <c r="F44" s="160"/>
      <c r="G44" s="137"/>
      <c r="H44" s="137"/>
      <c r="I44" s="137"/>
      <c r="J44" s="137"/>
      <c r="K44" s="137"/>
      <c r="L44" s="137"/>
      <c r="M44" s="137"/>
      <c r="N44" s="137"/>
      <c r="O44" s="137"/>
      <c r="P44" s="137"/>
      <c r="Q44" s="137"/>
      <c r="R44" s="137"/>
      <c r="S44" s="137"/>
      <c r="T44" s="137"/>
      <c r="U44" s="137"/>
      <c r="V44" s="137"/>
      <c r="W44" s="137"/>
      <c r="X44" s="137"/>
      <c r="Y44" s="137"/>
      <c r="Z44" s="137"/>
    </row>
    <row r="45" spans="1:26" ht="15.75" customHeight="1" x14ac:dyDescent="0.2">
      <c r="A45" s="159" t="s">
        <v>3393</v>
      </c>
      <c r="B45" s="159" t="s">
        <v>3394</v>
      </c>
      <c r="C45" s="159" t="s">
        <v>3392</v>
      </c>
      <c r="D45" s="160">
        <v>0.62</v>
      </c>
      <c r="E45" s="160"/>
      <c r="F45" s="160"/>
      <c r="G45" s="137"/>
      <c r="H45" s="137"/>
      <c r="I45" s="137"/>
      <c r="J45" s="137"/>
      <c r="K45" s="137"/>
      <c r="L45" s="137"/>
      <c r="M45" s="137"/>
      <c r="N45" s="137"/>
      <c r="O45" s="137"/>
      <c r="P45" s="137"/>
      <c r="Q45" s="137"/>
      <c r="R45" s="137"/>
      <c r="S45" s="137"/>
      <c r="T45" s="137"/>
      <c r="U45" s="137"/>
      <c r="V45" s="137"/>
      <c r="W45" s="137"/>
      <c r="X45" s="137"/>
      <c r="Y45" s="137"/>
      <c r="Z45" s="137"/>
    </row>
    <row r="46" spans="1:26" ht="15.75" customHeight="1" x14ac:dyDescent="0.2">
      <c r="A46" s="159" t="s">
        <v>3395</v>
      </c>
      <c r="B46" s="159" t="s">
        <v>3396</v>
      </c>
      <c r="C46" s="159" t="s">
        <v>3392</v>
      </c>
      <c r="D46" s="160">
        <v>0.62</v>
      </c>
      <c r="E46" s="160"/>
      <c r="F46" s="160"/>
      <c r="G46" s="137"/>
      <c r="H46" s="137"/>
      <c r="I46" s="137"/>
      <c r="J46" s="137"/>
      <c r="K46" s="137"/>
      <c r="L46" s="137"/>
      <c r="M46" s="137"/>
      <c r="N46" s="137"/>
      <c r="O46" s="137"/>
      <c r="P46" s="137"/>
      <c r="Q46" s="137"/>
      <c r="R46" s="137"/>
      <c r="S46" s="137"/>
      <c r="T46" s="137"/>
      <c r="U46" s="137"/>
      <c r="V46" s="137"/>
      <c r="W46" s="137"/>
      <c r="X46" s="137"/>
      <c r="Y46" s="137"/>
      <c r="Z46" s="137"/>
    </row>
    <row r="47" spans="1:26" ht="15.75" customHeight="1" x14ac:dyDescent="0.2">
      <c r="A47" s="159" t="s">
        <v>3397</v>
      </c>
      <c r="B47" s="159" t="s">
        <v>3398</v>
      </c>
      <c r="C47" s="159" t="s">
        <v>3392</v>
      </c>
      <c r="D47" s="160">
        <v>0.62</v>
      </c>
      <c r="E47" s="160"/>
      <c r="F47" s="160"/>
      <c r="G47" s="137"/>
      <c r="H47" s="137"/>
      <c r="I47" s="137"/>
      <c r="J47" s="137"/>
      <c r="K47" s="137"/>
      <c r="L47" s="137"/>
      <c r="M47" s="137"/>
      <c r="N47" s="137"/>
      <c r="O47" s="137"/>
      <c r="P47" s="137"/>
      <c r="Q47" s="137"/>
      <c r="R47" s="137"/>
      <c r="S47" s="137"/>
      <c r="T47" s="137"/>
      <c r="U47" s="137"/>
      <c r="V47" s="137"/>
      <c r="W47" s="137"/>
      <c r="X47" s="137"/>
      <c r="Y47" s="137"/>
      <c r="Z47" s="137"/>
    </row>
    <row r="48" spans="1:26" ht="15.75" customHeight="1" x14ac:dyDescent="0.2">
      <c r="A48" s="161" t="s">
        <v>3399</v>
      </c>
      <c r="B48" s="161" t="s">
        <v>3400</v>
      </c>
      <c r="C48" s="161" t="s">
        <v>3401</v>
      </c>
      <c r="D48" s="162">
        <v>0.22869999999999999</v>
      </c>
      <c r="E48" s="162"/>
      <c r="F48" s="162"/>
      <c r="G48" s="137"/>
      <c r="H48" s="137"/>
      <c r="I48" s="137"/>
      <c r="J48" s="137"/>
      <c r="K48" s="137"/>
      <c r="L48" s="137"/>
      <c r="M48" s="137"/>
      <c r="N48" s="137"/>
      <c r="O48" s="137"/>
      <c r="P48" s="137"/>
      <c r="Q48" s="137"/>
      <c r="R48" s="137"/>
      <c r="S48" s="137"/>
      <c r="T48" s="137"/>
      <c r="U48" s="137"/>
      <c r="V48" s="137"/>
      <c r="W48" s="137"/>
      <c r="X48" s="137"/>
      <c r="Y48" s="137"/>
      <c r="Z48" s="137"/>
    </row>
    <row r="49" spans="1:26" ht="15.75" customHeight="1" x14ac:dyDescent="0.2">
      <c r="A49" s="161" t="s">
        <v>3402</v>
      </c>
      <c r="B49" s="161" t="s">
        <v>3403</v>
      </c>
      <c r="C49" s="161" t="s">
        <v>3401</v>
      </c>
      <c r="D49" s="162">
        <v>7.1999999999999995E-2</v>
      </c>
      <c r="E49" s="162"/>
      <c r="F49" s="162"/>
      <c r="G49" s="137"/>
      <c r="H49" s="137"/>
      <c r="I49" s="137"/>
      <c r="J49" s="137"/>
      <c r="K49" s="137"/>
      <c r="L49" s="137"/>
      <c r="M49" s="137"/>
      <c r="N49" s="137"/>
      <c r="O49" s="137"/>
      <c r="P49" s="137"/>
      <c r="Q49" s="137"/>
      <c r="R49" s="137"/>
      <c r="S49" s="137"/>
      <c r="T49" s="137"/>
      <c r="U49" s="137"/>
      <c r="V49" s="137"/>
      <c r="W49" s="137"/>
      <c r="X49" s="137"/>
      <c r="Y49" s="137"/>
      <c r="Z49" s="137"/>
    </row>
    <row r="50" spans="1:26" ht="15.75" customHeight="1" x14ac:dyDescent="0.2">
      <c r="A50" s="161" t="s">
        <v>3404</v>
      </c>
      <c r="B50" s="161" t="s">
        <v>3405</v>
      </c>
      <c r="C50" s="161" t="s">
        <v>3401</v>
      </c>
      <c r="D50" s="162">
        <v>0.159</v>
      </c>
      <c r="E50" s="162"/>
      <c r="F50" s="162"/>
      <c r="G50" s="137"/>
      <c r="H50" s="137"/>
      <c r="I50" s="137"/>
      <c r="J50" s="137"/>
      <c r="K50" s="137"/>
      <c r="L50" s="137"/>
      <c r="M50" s="137"/>
      <c r="N50" s="137"/>
      <c r="O50" s="137"/>
      <c r="P50" s="137"/>
      <c r="Q50" s="137"/>
      <c r="R50" s="137"/>
      <c r="S50" s="137"/>
      <c r="T50" s="137"/>
      <c r="U50" s="137"/>
      <c r="V50" s="137"/>
      <c r="W50" s="137"/>
      <c r="X50" s="137"/>
      <c r="Y50" s="137"/>
      <c r="Z50" s="137"/>
    </row>
    <row r="51" spans="1:26" ht="15.75" customHeight="1" x14ac:dyDescent="0.2">
      <c r="A51" s="161" t="s">
        <v>3406</v>
      </c>
      <c r="B51" s="161" t="s">
        <v>3407</v>
      </c>
      <c r="C51" s="161" t="s">
        <v>3401</v>
      </c>
      <c r="D51" s="162">
        <v>7.1999999999999995E-2</v>
      </c>
      <c r="E51" s="162"/>
      <c r="F51" s="162"/>
      <c r="G51" s="137"/>
      <c r="H51" s="137"/>
      <c r="I51" s="137"/>
      <c r="J51" s="137"/>
      <c r="K51" s="137"/>
      <c r="L51" s="137"/>
      <c r="M51" s="137"/>
      <c r="N51" s="137"/>
      <c r="O51" s="137"/>
      <c r="P51" s="137"/>
      <c r="Q51" s="137"/>
      <c r="R51" s="137"/>
      <c r="S51" s="137"/>
      <c r="T51" s="137"/>
      <c r="U51" s="137"/>
      <c r="V51" s="137"/>
      <c r="W51" s="137"/>
      <c r="X51" s="137"/>
      <c r="Y51" s="137"/>
      <c r="Z51" s="137"/>
    </row>
    <row r="52" spans="1:26" ht="15.75" customHeight="1" x14ac:dyDescent="0.2">
      <c r="A52" s="161" t="s">
        <v>3408</v>
      </c>
      <c r="B52" s="161" t="s">
        <v>3409</v>
      </c>
      <c r="C52" s="161" t="s">
        <v>3401</v>
      </c>
      <c r="D52" s="162">
        <v>0.13550000000000001</v>
      </c>
      <c r="E52" s="162"/>
      <c r="F52" s="162"/>
      <c r="G52" s="137"/>
      <c r="H52" s="137"/>
      <c r="I52" s="137"/>
      <c r="J52" s="137"/>
      <c r="K52" s="137"/>
      <c r="L52" s="137"/>
      <c r="M52" s="137"/>
      <c r="N52" s="137"/>
      <c r="O52" s="137"/>
      <c r="P52" s="137"/>
      <c r="Q52" s="137"/>
      <c r="R52" s="137"/>
      <c r="S52" s="137"/>
      <c r="T52" s="137"/>
      <c r="U52" s="137"/>
      <c r="V52" s="137"/>
      <c r="W52" s="137"/>
      <c r="X52" s="137"/>
      <c r="Y52" s="137"/>
      <c r="Z52" s="137"/>
    </row>
    <row r="53" spans="1:26" ht="15.75" customHeight="1" x14ac:dyDescent="0.2">
      <c r="A53" s="161" t="s">
        <v>3410</v>
      </c>
      <c r="B53" s="161" t="s">
        <v>3411</v>
      </c>
      <c r="C53" s="161" t="s">
        <v>3401</v>
      </c>
      <c r="D53" s="162">
        <v>7.737E-3</v>
      </c>
      <c r="E53" s="162"/>
      <c r="F53" s="162"/>
      <c r="G53" s="137"/>
      <c r="H53" s="137"/>
      <c r="I53" s="137"/>
      <c r="J53" s="137"/>
      <c r="K53" s="137"/>
      <c r="L53" s="137"/>
      <c r="M53" s="137"/>
      <c r="N53" s="137"/>
      <c r="O53" s="137"/>
      <c r="P53" s="137"/>
      <c r="Q53" s="137"/>
      <c r="R53" s="137"/>
      <c r="S53" s="137"/>
      <c r="T53" s="137"/>
      <c r="U53" s="137"/>
      <c r="V53" s="137"/>
      <c r="W53" s="137"/>
      <c r="X53" s="137"/>
      <c r="Y53" s="137"/>
      <c r="Z53" s="137"/>
    </row>
    <row r="54" spans="1:26" ht="15.75" customHeight="1" x14ac:dyDescent="0.2">
      <c r="A54" s="161" t="s">
        <v>4086</v>
      </c>
      <c r="B54" s="161" t="s">
        <v>4087</v>
      </c>
      <c r="C54" s="161" t="s">
        <v>3401</v>
      </c>
      <c r="D54" s="162"/>
      <c r="E54" s="162"/>
      <c r="F54" s="162"/>
      <c r="G54" s="137"/>
      <c r="H54" s="137"/>
      <c r="I54" s="137"/>
      <c r="J54" s="137"/>
      <c r="K54" s="137"/>
      <c r="L54" s="137"/>
      <c r="M54" s="137"/>
      <c r="N54" s="137"/>
      <c r="O54" s="137"/>
      <c r="P54" s="137"/>
      <c r="Q54" s="137"/>
      <c r="R54" s="137"/>
      <c r="S54" s="137"/>
      <c r="T54" s="137"/>
      <c r="U54" s="137"/>
      <c r="V54" s="137"/>
      <c r="W54" s="137"/>
      <c r="X54" s="137"/>
      <c r="Y54" s="137"/>
      <c r="Z54" s="137"/>
    </row>
    <row r="55" spans="1:26" ht="15.75" customHeight="1" x14ac:dyDescent="0.2">
      <c r="A55" s="161" t="s">
        <v>3412</v>
      </c>
      <c r="B55" s="161" t="s">
        <v>3413</v>
      </c>
      <c r="C55" s="161" t="s">
        <v>3401</v>
      </c>
      <c r="D55" s="162">
        <v>9.3200000000000005E-2</v>
      </c>
      <c r="E55" s="162"/>
      <c r="F55" s="162"/>
      <c r="G55" s="137"/>
      <c r="H55" s="137"/>
      <c r="I55" s="137"/>
      <c r="J55" s="137"/>
      <c r="K55" s="137"/>
      <c r="L55" s="137"/>
      <c r="M55" s="137"/>
      <c r="N55" s="137"/>
      <c r="O55" s="137"/>
      <c r="P55" s="137"/>
      <c r="Q55" s="137"/>
      <c r="R55" s="137"/>
      <c r="S55" s="137"/>
      <c r="T55" s="137"/>
      <c r="U55" s="137"/>
      <c r="V55" s="137"/>
      <c r="W55" s="137"/>
      <c r="X55" s="137"/>
      <c r="Y55" s="137"/>
      <c r="Z55" s="137"/>
    </row>
    <row r="56" spans="1:26" ht="15.75" customHeight="1" x14ac:dyDescent="0.2">
      <c r="A56" s="161" t="s">
        <v>3414</v>
      </c>
      <c r="B56" s="161" t="s">
        <v>3415</v>
      </c>
      <c r="C56" s="161" t="s">
        <v>3401</v>
      </c>
      <c r="D56" s="162">
        <v>7.1999999999999995E-2</v>
      </c>
      <c r="E56" s="162"/>
      <c r="F56" s="162"/>
      <c r="G56" s="137"/>
      <c r="H56" s="137"/>
      <c r="I56" s="137"/>
      <c r="J56" s="137"/>
      <c r="K56" s="137"/>
      <c r="L56" s="137"/>
      <c r="M56" s="137"/>
      <c r="N56" s="137"/>
      <c r="O56" s="137"/>
      <c r="P56" s="137"/>
      <c r="Q56" s="137"/>
      <c r="R56" s="137"/>
      <c r="S56" s="137"/>
      <c r="T56" s="137"/>
      <c r="U56" s="137"/>
      <c r="V56" s="137"/>
      <c r="W56" s="137"/>
      <c r="X56" s="137"/>
      <c r="Y56" s="137"/>
      <c r="Z56" s="137"/>
    </row>
    <row r="57" spans="1:26" ht="15.75" customHeight="1" x14ac:dyDescent="0.2">
      <c r="A57" s="161" t="s">
        <v>3416</v>
      </c>
      <c r="B57" s="161" t="s">
        <v>3417</v>
      </c>
      <c r="C57" s="161" t="s">
        <v>3401</v>
      </c>
      <c r="D57" s="162">
        <v>0.1</v>
      </c>
      <c r="E57" s="162"/>
      <c r="F57" s="162"/>
      <c r="G57" s="137"/>
      <c r="H57" s="137"/>
      <c r="I57" s="137"/>
      <c r="J57" s="137"/>
      <c r="K57" s="137"/>
      <c r="L57" s="137"/>
      <c r="M57" s="137"/>
      <c r="N57" s="137"/>
      <c r="O57" s="137"/>
      <c r="P57" s="137"/>
      <c r="Q57" s="137"/>
      <c r="R57" s="137"/>
      <c r="S57" s="137"/>
      <c r="T57" s="137"/>
      <c r="U57" s="137"/>
      <c r="V57" s="137"/>
      <c r="W57" s="137"/>
      <c r="X57" s="137"/>
      <c r="Y57" s="137"/>
      <c r="Z57" s="137"/>
    </row>
    <row r="58" spans="1:26" ht="15.75" customHeight="1" x14ac:dyDescent="0.2">
      <c r="A58" s="161" t="s">
        <v>3418</v>
      </c>
      <c r="B58" s="161" t="s">
        <v>3419</v>
      </c>
      <c r="C58" s="161" t="s">
        <v>3401</v>
      </c>
      <c r="D58" s="162">
        <v>0.1</v>
      </c>
      <c r="E58" s="162"/>
      <c r="F58" s="162"/>
      <c r="G58" s="137"/>
      <c r="H58" s="137"/>
      <c r="I58" s="137"/>
      <c r="J58" s="137"/>
      <c r="K58" s="137"/>
      <c r="L58" s="137"/>
      <c r="M58" s="137"/>
      <c r="N58" s="137"/>
      <c r="O58" s="137"/>
      <c r="P58" s="137"/>
      <c r="Q58" s="137"/>
      <c r="R58" s="137"/>
      <c r="S58" s="137"/>
      <c r="T58" s="137"/>
      <c r="U58" s="137"/>
      <c r="V58" s="137"/>
      <c r="W58" s="137"/>
      <c r="X58" s="137"/>
      <c r="Y58" s="137"/>
      <c r="Z58" s="137"/>
    </row>
    <row r="59" spans="1:26" ht="15.75" customHeight="1" x14ac:dyDescent="0.2">
      <c r="A59" s="161" t="s">
        <v>3420</v>
      </c>
      <c r="B59" s="161" t="s">
        <v>3421</v>
      </c>
      <c r="C59" s="161" t="s">
        <v>3401</v>
      </c>
      <c r="D59" s="162">
        <v>0.13550000000000001</v>
      </c>
      <c r="E59" s="162"/>
      <c r="F59" s="162"/>
      <c r="G59" s="137"/>
      <c r="H59" s="137"/>
      <c r="I59" s="137"/>
      <c r="J59" s="137"/>
      <c r="K59" s="137"/>
      <c r="L59" s="137"/>
      <c r="M59" s="137"/>
      <c r="N59" s="137"/>
      <c r="O59" s="137"/>
      <c r="P59" s="137"/>
      <c r="Q59" s="137"/>
      <c r="R59" s="137"/>
      <c r="S59" s="137"/>
      <c r="T59" s="137"/>
      <c r="U59" s="137"/>
      <c r="V59" s="137"/>
      <c r="W59" s="137"/>
      <c r="X59" s="137"/>
      <c r="Y59" s="137"/>
      <c r="Z59" s="137"/>
    </row>
    <row r="60" spans="1:26" ht="15.75" customHeight="1" x14ac:dyDescent="0.2">
      <c r="A60" s="161" t="s">
        <v>3422</v>
      </c>
      <c r="B60" s="161" t="s">
        <v>3423</v>
      </c>
      <c r="C60" s="161" t="s">
        <v>3401</v>
      </c>
      <c r="D60" s="162">
        <v>0.04</v>
      </c>
      <c r="E60" s="162"/>
      <c r="F60" s="162"/>
      <c r="G60" s="137"/>
      <c r="H60" s="137"/>
      <c r="I60" s="137"/>
      <c r="J60" s="137"/>
      <c r="K60" s="137"/>
      <c r="L60" s="137"/>
      <c r="M60" s="137"/>
      <c r="N60" s="137"/>
      <c r="O60" s="137"/>
      <c r="P60" s="137"/>
      <c r="Q60" s="137"/>
      <c r="R60" s="137"/>
      <c r="S60" s="137"/>
      <c r="T60" s="137"/>
      <c r="U60" s="137"/>
      <c r="V60" s="137"/>
      <c r="W60" s="137"/>
      <c r="X60" s="137"/>
      <c r="Y60" s="137"/>
      <c r="Z60" s="137"/>
    </row>
    <row r="61" spans="1:26" ht="15.75" customHeight="1" x14ac:dyDescent="0.2">
      <c r="A61" s="161" t="s">
        <v>3424</v>
      </c>
      <c r="B61" s="161" t="s">
        <v>3425</v>
      </c>
      <c r="C61" s="161" t="s">
        <v>3401</v>
      </c>
      <c r="D61" s="162">
        <v>0.04</v>
      </c>
      <c r="E61" s="162"/>
      <c r="F61" s="162"/>
      <c r="G61" s="137"/>
      <c r="H61" s="137"/>
      <c r="I61" s="137"/>
      <c r="J61" s="137"/>
      <c r="K61" s="137"/>
      <c r="L61" s="137"/>
      <c r="M61" s="137"/>
      <c r="N61" s="137"/>
      <c r="O61" s="137"/>
      <c r="P61" s="137"/>
      <c r="Q61" s="137"/>
      <c r="R61" s="137"/>
      <c r="S61" s="137"/>
      <c r="T61" s="137"/>
      <c r="U61" s="137"/>
      <c r="V61" s="137"/>
      <c r="W61" s="137"/>
      <c r="X61" s="137"/>
      <c r="Y61" s="137"/>
      <c r="Z61" s="137"/>
    </row>
    <row r="62" spans="1:26" ht="15.75" customHeight="1" x14ac:dyDescent="0.2">
      <c r="A62" s="163" t="s">
        <v>3426</v>
      </c>
      <c r="B62" s="163" t="s">
        <v>3427</v>
      </c>
      <c r="C62" s="163" t="s">
        <v>3428</v>
      </c>
      <c r="D62" s="164">
        <v>1.05</v>
      </c>
      <c r="E62" s="165"/>
      <c r="F62" s="165"/>
      <c r="G62" s="137"/>
      <c r="H62" s="137"/>
      <c r="I62" s="137"/>
      <c r="J62" s="137"/>
      <c r="K62" s="137"/>
      <c r="L62" s="137"/>
      <c r="M62" s="137"/>
      <c r="N62" s="137"/>
      <c r="O62" s="137"/>
      <c r="P62" s="137"/>
      <c r="Q62" s="137"/>
      <c r="R62" s="137"/>
      <c r="S62" s="137"/>
      <c r="T62" s="137"/>
      <c r="U62" s="137"/>
      <c r="V62" s="137"/>
      <c r="W62" s="137"/>
      <c r="X62" s="137"/>
      <c r="Y62" s="137"/>
      <c r="Z62" s="137"/>
    </row>
    <row r="63" spans="1:26" ht="15.75" customHeight="1" x14ac:dyDescent="0.2">
      <c r="A63" s="163" t="s">
        <v>3429</v>
      </c>
      <c r="B63" s="163" t="s">
        <v>3430</v>
      </c>
      <c r="C63" s="163" t="s">
        <v>3428</v>
      </c>
      <c r="D63" s="164">
        <v>0.55000000000000004</v>
      </c>
      <c r="E63" s="165"/>
      <c r="F63" s="165"/>
      <c r="G63" s="137"/>
      <c r="H63" s="137"/>
      <c r="I63" s="137"/>
      <c r="J63" s="137"/>
      <c r="K63" s="137"/>
      <c r="L63" s="137"/>
      <c r="M63" s="137"/>
      <c r="N63" s="137"/>
      <c r="O63" s="137"/>
      <c r="P63" s="137"/>
      <c r="Q63" s="137"/>
      <c r="R63" s="137"/>
      <c r="S63" s="137"/>
      <c r="T63" s="137"/>
      <c r="U63" s="137"/>
      <c r="V63" s="137"/>
      <c r="W63" s="137"/>
      <c r="X63" s="137"/>
      <c r="Y63" s="137"/>
      <c r="Z63" s="137"/>
    </row>
    <row r="64" spans="1:26" ht="15.75" customHeight="1" x14ac:dyDescent="0.2">
      <c r="A64" s="163" t="s">
        <v>3431</v>
      </c>
      <c r="B64" s="163" t="s">
        <v>3432</v>
      </c>
      <c r="C64" s="163" t="s">
        <v>3428</v>
      </c>
      <c r="D64" s="164">
        <v>0.35</v>
      </c>
      <c r="E64" s="165"/>
      <c r="F64" s="165"/>
      <c r="G64" s="137"/>
      <c r="H64" s="137"/>
      <c r="I64" s="137"/>
      <c r="J64" s="137"/>
      <c r="K64" s="137"/>
      <c r="L64" s="137"/>
      <c r="M64" s="137"/>
      <c r="N64" s="137"/>
      <c r="O64" s="137"/>
      <c r="P64" s="137"/>
      <c r="Q64" s="137"/>
      <c r="R64" s="137"/>
      <c r="S64" s="137"/>
      <c r="T64" s="137"/>
      <c r="U64" s="137"/>
      <c r="V64" s="137"/>
      <c r="W64" s="137"/>
      <c r="X64" s="137"/>
      <c r="Y64" s="137"/>
      <c r="Z64" s="137"/>
    </row>
    <row r="65" spans="1:26" ht="15.75" customHeight="1" x14ac:dyDescent="0.2">
      <c r="A65" s="163" t="s">
        <v>3433</v>
      </c>
      <c r="B65" s="163" t="s">
        <v>3434</v>
      </c>
      <c r="C65" s="163" t="s">
        <v>3428</v>
      </c>
      <c r="D65" s="164">
        <v>0.45</v>
      </c>
      <c r="E65" s="165"/>
      <c r="F65" s="165"/>
      <c r="G65" s="137"/>
      <c r="H65" s="137"/>
      <c r="I65" s="137"/>
      <c r="J65" s="137"/>
      <c r="K65" s="137"/>
      <c r="L65" s="137"/>
      <c r="M65" s="137"/>
      <c r="N65" s="137"/>
      <c r="O65" s="137"/>
      <c r="P65" s="137"/>
      <c r="Q65" s="137"/>
      <c r="R65" s="137"/>
      <c r="S65" s="137"/>
      <c r="T65" s="137"/>
      <c r="U65" s="137"/>
      <c r="V65" s="137"/>
      <c r="W65" s="137"/>
      <c r="X65" s="137"/>
      <c r="Y65" s="137"/>
      <c r="Z65" s="137"/>
    </row>
    <row r="66" spans="1:26" ht="15.75" customHeight="1" x14ac:dyDescent="0.2">
      <c r="A66" s="163" t="s">
        <v>3435</v>
      </c>
      <c r="B66" s="163" t="s">
        <v>3436</v>
      </c>
      <c r="C66" s="163" t="s">
        <v>3428</v>
      </c>
      <c r="D66" s="164">
        <v>0.79</v>
      </c>
      <c r="E66" s="165"/>
      <c r="F66" s="165"/>
      <c r="G66" s="137"/>
      <c r="H66" s="137"/>
      <c r="I66" s="137"/>
      <c r="J66" s="137"/>
      <c r="K66" s="137"/>
      <c r="L66" s="137"/>
      <c r="M66" s="137"/>
      <c r="N66" s="137"/>
      <c r="O66" s="137"/>
      <c r="P66" s="137"/>
      <c r="Q66" s="137"/>
      <c r="R66" s="137"/>
      <c r="S66" s="137"/>
      <c r="T66" s="137"/>
      <c r="U66" s="137"/>
      <c r="V66" s="137"/>
      <c r="W66" s="137"/>
      <c r="X66" s="137"/>
      <c r="Y66" s="137"/>
      <c r="Z66" s="137"/>
    </row>
    <row r="67" spans="1:26" ht="15.75" customHeight="1" x14ac:dyDescent="0.2">
      <c r="A67" s="163" t="s">
        <v>3437</v>
      </c>
      <c r="B67" s="163" t="s">
        <v>3438</v>
      </c>
      <c r="C67" s="163" t="s">
        <v>3428</v>
      </c>
      <c r="D67" s="164">
        <v>0.18</v>
      </c>
      <c r="E67" s="165"/>
      <c r="F67" s="165"/>
      <c r="G67" s="137"/>
      <c r="H67" s="137"/>
      <c r="I67" s="137"/>
      <c r="J67" s="137"/>
      <c r="K67" s="137"/>
      <c r="L67" s="137"/>
      <c r="M67" s="137"/>
      <c r="N67" s="137"/>
      <c r="O67" s="137"/>
      <c r="P67" s="137"/>
      <c r="Q67" s="137"/>
      <c r="R67" s="137"/>
      <c r="S67" s="137"/>
      <c r="T67" s="137"/>
      <c r="U67" s="137"/>
      <c r="V67" s="137"/>
      <c r="W67" s="137"/>
      <c r="X67" s="137"/>
      <c r="Y67" s="137"/>
      <c r="Z67" s="137"/>
    </row>
    <row r="68" spans="1:26" ht="15.75" customHeight="1" x14ac:dyDescent="0.2">
      <c r="A68" s="161" t="s">
        <v>3439</v>
      </c>
      <c r="B68" s="161" t="s">
        <v>3440</v>
      </c>
      <c r="C68" s="161" t="s">
        <v>3401</v>
      </c>
      <c r="D68" s="162">
        <v>9.3200000000000005E-2</v>
      </c>
      <c r="E68" s="162"/>
      <c r="F68" s="162"/>
      <c r="G68" s="137"/>
      <c r="H68" s="137"/>
      <c r="I68" s="137"/>
      <c r="J68" s="137"/>
      <c r="K68" s="137"/>
      <c r="L68" s="137"/>
      <c r="M68" s="137"/>
      <c r="N68" s="137"/>
      <c r="O68" s="137"/>
      <c r="P68" s="137"/>
      <c r="Q68" s="137"/>
      <c r="R68" s="137"/>
      <c r="S68" s="137"/>
      <c r="T68" s="137"/>
      <c r="U68" s="137"/>
      <c r="V68" s="137"/>
      <c r="W68" s="137"/>
      <c r="X68" s="137"/>
      <c r="Y68" s="137"/>
      <c r="Z68" s="137"/>
    </row>
    <row r="69" spans="1:26" ht="15.75" customHeight="1" x14ac:dyDescent="0.2">
      <c r="A69" s="161" t="s">
        <v>3441</v>
      </c>
      <c r="B69" s="161" t="s">
        <v>3442</v>
      </c>
      <c r="C69" s="161" t="s">
        <v>3401</v>
      </c>
      <c r="D69" s="162">
        <v>9.3200000000000005E-2</v>
      </c>
      <c r="E69" s="162"/>
      <c r="F69" s="162"/>
      <c r="G69" s="137"/>
      <c r="H69" s="137"/>
      <c r="I69" s="137"/>
      <c r="J69" s="137"/>
      <c r="K69" s="137"/>
      <c r="L69" s="137"/>
      <c r="M69" s="137"/>
      <c r="N69" s="137"/>
      <c r="O69" s="137"/>
      <c r="P69" s="137"/>
      <c r="Q69" s="137"/>
      <c r="R69" s="137"/>
      <c r="S69" s="137"/>
      <c r="T69" s="137"/>
      <c r="U69" s="137"/>
      <c r="V69" s="137"/>
      <c r="W69" s="137"/>
      <c r="X69" s="137"/>
      <c r="Y69" s="137"/>
      <c r="Z69" s="137"/>
    </row>
    <row r="70" spans="1:26" ht="15.75" customHeight="1" x14ac:dyDescent="0.2">
      <c r="A70" s="161" t="s">
        <v>3443</v>
      </c>
      <c r="B70" s="161" t="s">
        <v>3444</v>
      </c>
      <c r="C70" s="161" t="s">
        <v>3401</v>
      </c>
      <c r="D70" s="162">
        <v>9.3200000000000005E-2</v>
      </c>
      <c r="E70" s="162"/>
      <c r="F70" s="162"/>
      <c r="G70" s="137"/>
      <c r="H70" s="137"/>
      <c r="I70" s="137"/>
      <c r="J70" s="137"/>
      <c r="K70" s="137"/>
      <c r="L70" s="137"/>
      <c r="M70" s="137"/>
      <c r="N70" s="137"/>
      <c r="O70" s="137"/>
      <c r="P70" s="137"/>
      <c r="Q70" s="137"/>
      <c r="R70" s="137"/>
      <c r="S70" s="137"/>
      <c r="T70" s="137"/>
      <c r="U70" s="137"/>
      <c r="V70" s="137"/>
      <c r="W70" s="137"/>
      <c r="X70" s="137"/>
      <c r="Y70" s="137"/>
      <c r="Z70" s="137"/>
    </row>
    <row r="71" spans="1:26" ht="15.75" customHeight="1" x14ac:dyDescent="0.2">
      <c r="A71" s="161" t="s">
        <v>3445</v>
      </c>
      <c r="B71" s="161" t="s">
        <v>3446</v>
      </c>
      <c r="C71" s="161" t="s">
        <v>3401</v>
      </c>
      <c r="D71" s="162">
        <v>9.3200000000000005E-2</v>
      </c>
      <c r="E71" s="162"/>
      <c r="F71" s="162"/>
      <c r="G71" s="137"/>
      <c r="H71" s="137"/>
      <c r="I71" s="137"/>
      <c r="J71" s="137"/>
      <c r="K71" s="137"/>
      <c r="L71" s="137"/>
      <c r="M71" s="137"/>
      <c r="N71" s="137"/>
      <c r="O71" s="137"/>
      <c r="P71" s="137"/>
      <c r="Q71" s="137"/>
      <c r="R71" s="137"/>
      <c r="S71" s="137"/>
      <c r="T71" s="137"/>
      <c r="U71" s="137"/>
      <c r="V71" s="137"/>
      <c r="W71" s="137"/>
      <c r="X71" s="137"/>
      <c r="Y71" s="137"/>
      <c r="Z71" s="137"/>
    </row>
    <row r="72" spans="1:26" ht="15.75" customHeight="1" x14ac:dyDescent="0.2">
      <c r="A72" s="161" t="s">
        <v>3447</v>
      </c>
      <c r="B72" s="161" t="s">
        <v>3448</v>
      </c>
      <c r="C72" s="161" t="s">
        <v>3401</v>
      </c>
      <c r="D72" s="162">
        <v>0.13550000000000001</v>
      </c>
      <c r="E72" s="162"/>
      <c r="F72" s="162"/>
      <c r="G72" s="137"/>
      <c r="H72" s="137"/>
      <c r="I72" s="137"/>
      <c r="J72" s="137"/>
      <c r="K72" s="137"/>
      <c r="L72" s="137"/>
      <c r="M72" s="137"/>
      <c r="N72" s="137"/>
      <c r="O72" s="137"/>
      <c r="P72" s="137"/>
      <c r="Q72" s="137"/>
      <c r="R72" s="137"/>
      <c r="S72" s="137"/>
      <c r="T72" s="137"/>
      <c r="U72" s="137"/>
      <c r="V72" s="137"/>
      <c r="W72" s="137"/>
      <c r="X72" s="137"/>
      <c r="Y72" s="137"/>
      <c r="Z72" s="137"/>
    </row>
    <row r="73" spans="1:26" ht="15.75" customHeight="1" x14ac:dyDescent="0.2">
      <c r="A73" s="161" t="s">
        <v>3449</v>
      </c>
      <c r="B73" s="161" t="s">
        <v>3450</v>
      </c>
      <c r="C73" s="161" t="s">
        <v>3401</v>
      </c>
      <c r="D73" s="162">
        <v>0.13550000000000001</v>
      </c>
      <c r="E73" s="162"/>
      <c r="F73" s="162"/>
      <c r="G73" s="137"/>
      <c r="H73" s="137"/>
      <c r="I73" s="137"/>
      <c r="J73" s="137"/>
      <c r="K73" s="137"/>
      <c r="L73" s="137"/>
      <c r="M73" s="137"/>
      <c r="N73" s="137"/>
      <c r="O73" s="137"/>
      <c r="P73" s="137"/>
      <c r="Q73" s="137"/>
      <c r="R73" s="137"/>
      <c r="S73" s="137"/>
      <c r="T73" s="137"/>
      <c r="U73" s="137"/>
      <c r="V73" s="137"/>
      <c r="W73" s="137"/>
      <c r="X73" s="137"/>
      <c r="Y73" s="137"/>
      <c r="Z73" s="137"/>
    </row>
    <row r="74" spans="1:26" ht="15.75" customHeight="1" x14ac:dyDescent="0.2">
      <c r="A74" s="161" t="s">
        <v>3451</v>
      </c>
      <c r="B74" s="161" t="s">
        <v>3452</v>
      </c>
      <c r="C74" s="161" t="s">
        <v>3401</v>
      </c>
      <c r="D74" s="162">
        <v>0.13550000000000001</v>
      </c>
      <c r="E74" s="162"/>
      <c r="F74" s="162"/>
      <c r="G74" s="137"/>
      <c r="H74" s="137"/>
      <c r="I74" s="137"/>
      <c r="J74" s="137"/>
      <c r="K74" s="137"/>
      <c r="L74" s="137"/>
      <c r="M74" s="137"/>
      <c r="N74" s="137"/>
      <c r="O74" s="137"/>
      <c r="P74" s="137"/>
      <c r="Q74" s="137"/>
      <c r="R74" s="137"/>
      <c r="S74" s="137"/>
      <c r="T74" s="137"/>
      <c r="U74" s="137"/>
      <c r="V74" s="137"/>
      <c r="W74" s="137"/>
      <c r="X74" s="137"/>
      <c r="Y74" s="137"/>
      <c r="Z74" s="137"/>
    </row>
    <row r="75" spans="1:26" ht="15.75" customHeight="1" x14ac:dyDescent="0.2">
      <c r="A75" s="161" t="s">
        <v>3453</v>
      </c>
      <c r="B75" s="161" t="s">
        <v>3454</v>
      </c>
      <c r="C75" s="161" t="s">
        <v>3401</v>
      </c>
      <c r="D75" s="162">
        <v>0.13550000000000001</v>
      </c>
      <c r="E75" s="162"/>
      <c r="F75" s="162"/>
      <c r="G75" s="137"/>
      <c r="H75" s="137"/>
      <c r="I75" s="137"/>
      <c r="J75" s="137"/>
      <c r="K75" s="137"/>
      <c r="L75" s="137"/>
      <c r="M75" s="137"/>
      <c r="N75" s="137"/>
      <c r="O75" s="137"/>
      <c r="P75" s="137"/>
      <c r="Q75" s="137"/>
      <c r="R75" s="137"/>
      <c r="S75" s="137"/>
      <c r="T75" s="137"/>
      <c r="U75" s="137"/>
      <c r="V75" s="137"/>
      <c r="W75" s="137"/>
      <c r="X75" s="137"/>
      <c r="Y75" s="137"/>
      <c r="Z75" s="137"/>
    </row>
    <row r="76" spans="1:26" ht="15.75" customHeight="1" x14ac:dyDescent="0.2">
      <c r="A76" s="161" t="s">
        <v>3455</v>
      </c>
      <c r="B76" s="161" t="s">
        <v>3456</v>
      </c>
      <c r="C76" s="161" t="s">
        <v>3401</v>
      </c>
      <c r="D76" s="162">
        <v>9.3200000000000005E-2</v>
      </c>
      <c r="E76" s="162"/>
      <c r="F76" s="162"/>
      <c r="G76" s="137"/>
      <c r="H76" s="137"/>
      <c r="I76" s="137"/>
      <c r="J76" s="137"/>
      <c r="K76" s="137"/>
      <c r="L76" s="137"/>
      <c r="M76" s="137"/>
      <c r="N76" s="137"/>
      <c r="O76" s="137"/>
      <c r="P76" s="137"/>
      <c r="Q76" s="137"/>
      <c r="R76" s="137"/>
      <c r="S76" s="137"/>
      <c r="T76" s="137"/>
      <c r="U76" s="137"/>
      <c r="V76" s="137"/>
      <c r="W76" s="137"/>
      <c r="X76" s="137"/>
      <c r="Y76" s="137"/>
      <c r="Z76" s="137"/>
    </row>
    <row r="77" spans="1:26" ht="15.75" customHeight="1" x14ac:dyDescent="0.2">
      <c r="A77" s="161" t="s">
        <v>3457</v>
      </c>
      <c r="B77" s="161" t="s">
        <v>3458</v>
      </c>
      <c r="C77" s="161" t="s">
        <v>3401</v>
      </c>
      <c r="D77" s="162">
        <v>9.3200000000000005E-2</v>
      </c>
      <c r="E77" s="162"/>
      <c r="F77" s="162"/>
      <c r="G77" s="137"/>
      <c r="H77" s="137"/>
      <c r="I77" s="137"/>
      <c r="J77" s="137"/>
      <c r="K77" s="137"/>
      <c r="L77" s="137"/>
      <c r="M77" s="137"/>
      <c r="N77" s="137"/>
      <c r="O77" s="137"/>
      <c r="P77" s="137"/>
      <c r="Q77" s="137"/>
      <c r="R77" s="137"/>
      <c r="S77" s="137"/>
      <c r="T77" s="137"/>
      <c r="U77" s="137"/>
      <c r="V77" s="137"/>
      <c r="W77" s="137"/>
      <c r="X77" s="137"/>
      <c r="Y77" s="137"/>
      <c r="Z77" s="137"/>
    </row>
    <row r="78" spans="1:26" ht="15.75" customHeight="1" x14ac:dyDescent="0.2">
      <c r="A78" s="161" t="s">
        <v>3459</v>
      </c>
      <c r="B78" s="161" t="s">
        <v>3460</v>
      </c>
      <c r="C78" s="161" t="s">
        <v>3401</v>
      </c>
      <c r="D78" s="162">
        <v>9.3200000000000005E-2</v>
      </c>
      <c r="E78" s="162"/>
      <c r="F78" s="162"/>
      <c r="G78" s="137"/>
      <c r="H78" s="137"/>
      <c r="I78" s="137"/>
      <c r="J78" s="137"/>
      <c r="K78" s="137"/>
      <c r="L78" s="137"/>
      <c r="M78" s="137"/>
      <c r="N78" s="137"/>
      <c r="O78" s="137"/>
      <c r="P78" s="137"/>
      <c r="Q78" s="137"/>
      <c r="R78" s="137"/>
      <c r="S78" s="137"/>
      <c r="T78" s="137"/>
      <c r="U78" s="137"/>
      <c r="V78" s="137"/>
      <c r="W78" s="137"/>
      <c r="X78" s="137"/>
      <c r="Y78" s="137"/>
      <c r="Z78" s="137"/>
    </row>
    <row r="79" spans="1:26" ht="15.75" customHeight="1" x14ac:dyDescent="0.2">
      <c r="A79" s="161" t="s">
        <v>3461</v>
      </c>
      <c r="B79" s="161" t="s">
        <v>3462</v>
      </c>
      <c r="C79" s="161" t="s">
        <v>3401</v>
      </c>
      <c r="D79" s="162">
        <v>0.22869999999999999</v>
      </c>
      <c r="E79" s="162"/>
      <c r="F79" s="162"/>
      <c r="G79" s="137"/>
      <c r="H79" s="137"/>
      <c r="I79" s="137"/>
      <c r="J79" s="137"/>
      <c r="K79" s="137"/>
      <c r="L79" s="137"/>
      <c r="M79" s="137"/>
      <c r="N79" s="137"/>
      <c r="O79" s="137"/>
      <c r="P79" s="137"/>
      <c r="Q79" s="137"/>
      <c r="R79" s="137"/>
      <c r="S79" s="137"/>
      <c r="T79" s="137"/>
      <c r="U79" s="137"/>
      <c r="V79" s="137"/>
      <c r="W79" s="137"/>
      <c r="X79" s="137"/>
      <c r="Y79" s="137"/>
      <c r="Z79" s="137"/>
    </row>
    <row r="80" spans="1:26" ht="15.75" customHeight="1" x14ac:dyDescent="0.2">
      <c r="A80" s="161" t="s">
        <v>3463</v>
      </c>
      <c r="B80" s="161" t="s">
        <v>3464</v>
      </c>
      <c r="C80" s="161" t="s">
        <v>3401</v>
      </c>
      <c r="D80" s="162">
        <v>7.1999999999999995E-2</v>
      </c>
      <c r="E80" s="162"/>
      <c r="F80" s="162"/>
      <c r="G80" s="137"/>
      <c r="H80" s="137"/>
      <c r="I80" s="137"/>
      <c r="J80" s="137"/>
      <c r="K80" s="137"/>
      <c r="L80" s="137"/>
      <c r="M80" s="137"/>
      <c r="N80" s="137"/>
      <c r="O80" s="137"/>
      <c r="P80" s="137"/>
      <c r="Q80" s="137"/>
      <c r="R80" s="137"/>
      <c r="S80" s="137"/>
      <c r="T80" s="137"/>
      <c r="U80" s="137"/>
      <c r="V80" s="137"/>
      <c r="W80" s="137"/>
      <c r="X80" s="137"/>
      <c r="Y80" s="137"/>
      <c r="Z80" s="137"/>
    </row>
    <row r="81" spans="1:26" ht="15.75" customHeight="1" x14ac:dyDescent="0.2">
      <c r="A81" s="161" t="s">
        <v>3465</v>
      </c>
      <c r="B81" s="161" t="s">
        <v>3466</v>
      </c>
      <c r="C81" s="161" t="s">
        <v>3401</v>
      </c>
      <c r="D81" s="162">
        <v>0.159</v>
      </c>
      <c r="E81" s="162"/>
      <c r="F81" s="162"/>
      <c r="G81" s="137"/>
      <c r="H81" s="137"/>
      <c r="I81" s="137"/>
      <c r="J81" s="137"/>
      <c r="K81" s="137"/>
      <c r="L81" s="137"/>
      <c r="M81" s="137"/>
      <c r="N81" s="137"/>
      <c r="O81" s="137"/>
      <c r="P81" s="137"/>
      <c r="Q81" s="137"/>
      <c r="R81" s="137"/>
      <c r="S81" s="137"/>
      <c r="T81" s="137"/>
      <c r="U81" s="137"/>
      <c r="V81" s="137"/>
      <c r="W81" s="137"/>
      <c r="X81" s="137"/>
      <c r="Y81" s="137"/>
      <c r="Z81" s="137"/>
    </row>
    <row r="82" spans="1:26" ht="15.75" customHeight="1" x14ac:dyDescent="0.2">
      <c r="A82" s="161" t="s">
        <v>3467</v>
      </c>
      <c r="B82" s="161" t="s">
        <v>3468</v>
      </c>
      <c r="C82" s="161" t="s">
        <v>3401</v>
      </c>
      <c r="D82" s="162">
        <v>9.3200000000000005E-2</v>
      </c>
      <c r="E82" s="162"/>
      <c r="F82" s="162"/>
      <c r="G82" s="137"/>
      <c r="H82" s="137"/>
      <c r="I82" s="137"/>
      <c r="J82" s="137"/>
      <c r="K82" s="137"/>
      <c r="L82" s="137"/>
      <c r="M82" s="137"/>
      <c r="N82" s="137"/>
      <c r="O82" s="137"/>
      <c r="P82" s="137"/>
      <c r="Q82" s="137"/>
      <c r="R82" s="137"/>
      <c r="S82" s="137"/>
      <c r="T82" s="137"/>
      <c r="U82" s="137"/>
      <c r="V82" s="137"/>
      <c r="W82" s="137"/>
      <c r="X82" s="137"/>
      <c r="Y82" s="137"/>
      <c r="Z82" s="137"/>
    </row>
    <row r="83" spans="1:26" ht="15.75" customHeight="1" x14ac:dyDescent="0.2">
      <c r="A83" s="161" t="s">
        <v>3469</v>
      </c>
      <c r="B83" s="161" t="s">
        <v>3470</v>
      </c>
      <c r="C83" s="161" t="s">
        <v>3401</v>
      </c>
      <c r="D83" s="162">
        <v>0.1</v>
      </c>
      <c r="E83" s="162"/>
      <c r="F83" s="162"/>
      <c r="G83" s="137"/>
      <c r="H83" s="137"/>
      <c r="I83" s="137"/>
      <c r="J83" s="137"/>
      <c r="K83" s="137"/>
      <c r="L83" s="137"/>
      <c r="M83" s="137"/>
      <c r="N83" s="137"/>
      <c r="O83" s="137"/>
      <c r="P83" s="137"/>
      <c r="Q83" s="137"/>
      <c r="R83" s="137"/>
      <c r="S83" s="137"/>
      <c r="T83" s="137"/>
      <c r="U83" s="137"/>
      <c r="V83" s="137"/>
      <c r="W83" s="137"/>
      <c r="X83" s="137"/>
      <c r="Y83" s="137"/>
      <c r="Z83" s="137"/>
    </row>
    <row r="84" spans="1:26" ht="15.75" customHeight="1" x14ac:dyDescent="0.2">
      <c r="A84" s="161" t="s">
        <v>3471</v>
      </c>
      <c r="B84" s="161" t="s">
        <v>3472</v>
      </c>
      <c r="C84" s="161" t="s">
        <v>3401</v>
      </c>
      <c r="D84" s="162">
        <v>0.1</v>
      </c>
      <c r="E84" s="162"/>
      <c r="F84" s="162"/>
      <c r="G84" s="137"/>
      <c r="H84" s="137"/>
      <c r="I84" s="137"/>
      <c r="J84" s="137"/>
      <c r="K84" s="137"/>
      <c r="L84" s="137"/>
      <c r="M84" s="137"/>
      <c r="N84" s="137"/>
      <c r="O84" s="137"/>
      <c r="P84" s="137"/>
      <c r="Q84" s="137"/>
      <c r="R84" s="137"/>
      <c r="S84" s="137"/>
      <c r="T84" s="137"/>
      <c r="U84" s="137"/>
      <c r="V84" s="137"/>
      <c r="W84" s="137"/>
      <c r="X84" s="137"/>
      <c r="Y84" s="137"/>
      <c r="Z84" s="137"/>
    </row>
    <row r="85" spans="1:26" ht="15.75" customHeight="1" x14ac:dyDescent="0.2">
      <c r="A85" s="161" t="s">
        <v>3473</v>
      </c>
      <c r="B85" s="161" t="s">
        <v>3474</v>
      </c>
      <c r="C85" s="161" t="s">
        <v>3401</v>
      </c>
      <c r="D85" s="162">
        <v>0.1</v>
      </c>
      <c r="E85" s="162"/>
      <c r="F85" s="162"/>
      <c r="G85" s="137"/>
      <c r="H85" s="137"/>
      <c r="I85" s="137"/>
      <c r="J85" s="137"/>
      <c r="K85" s="137"/>
      <c r="L85" s="137"/>
      <c r="M85" s="137"/>
      <c r="N85" s="137"/>
      <c r="O85" s="137"/>
      <c r="P85" s="137"/>
      <c r="Q85" s="137"/>
      <c r="R85" s="137"/>
      <c r="S85" s="137"/>
      <c r="T85" s="137"/>
      <c r="U85" s="137"/>
      <c r="V85" s="137"/>
      <c r="W85" s="137"/>
      <c r="X85" s="137"/>
      <c r="Y85" s="137"/>
      <c r="Z85" s="137"/>
    </row>
    <row r="86" spans="1:26" ht="15.75" customHeight="1" x14ac:dyDescent="0.2">
      <c r="A86" s="161" t="s">
        <v>3475</v>
      </c>
      <c r="B86" s="161" t="s">
        <v>3476</v>
      </c>
      <c r="C86" s="161" t="s">
        <v>3401</v>
      </c>
      <c r="D86" s="162">
        <v>0.13550000000000001</v>
      </c>
      <c r="E86" s="162"/>
      <c r="F86" s="162"/>
      <c r="G86" s="137"/>
      <c r="H86" s="137"/>
      <c r="I86" s="137"/>
      <c r="J86" s="137"/>
      <c r="K86" s="137"/>
      <c r="L86" s="137"/>
      <c r="M86" s="137"/>
      <c r="N86" s="137"/>
      <c r="O86" s="137"/>
      <c r="P86" s="137"/>
      <c r="Q86" s="137"/>
      <c r="R86" s="137"/>
      <c r="S86" s="137"/>
      <c r="T86" s="137"/>
      <c r="U86" s="137"/>
      <c r="V86" s="137"/>
      <c r="W86" s="137"/>
      <c r="X86" s="137"/>
      <c r="Y86" s="137"/>
      <c r="Z86" s="137"/>
    </row>
    <row r="87" spans="1:26" ht="15.75" customHeight="1" x14ac:dyDescent="0.2">
      <c r="A87" s="161" t="s">
        <v>3477</v>
      </c>
      <c r="B87" s="161" t="s">
        <v>3478</v>
      </c>
      <c r="C87" s="161" t="s">
        <v>3401</v>
      </c>
      <c r="D87" s="162">
        <v>0.13550000000000001</v>
      </c>
      <c r="E87" s="162"/>
      <c r="F87" s="162"/>
      <c r="G87" s="137"/>
      <c r="H87" s="137"/>
      <c r="I87" s="137"/>
      <c r="J87" s="137"/>
      <c r="K87" s="137"/>
      <c r="L87" s="137"/>
      <c r="M87" s="137"/>
      <c r="N87" s="137"/>
      <c r="O87" s="137"/>
      <c r="P87" s="137"/>
      <c r="Q87" s="137"/>
      <c r="R87" s="137"/>
      <c r="S87" s="137"/>
      <c r="T87" s="137"/>
      <c r="U87" s="137"/>
      <c r="V87" s="137"/>
      <c r="W87" s="137"/>
      <c r="X87" s="137"/>
      <c r="Y87" s="137"/>
      <c r="Z87" s="137"/>
    </row>
    <row r="88" spans="1:26" ht="15.75" customHeight="1" x14ac:dyDescent="0.2">
      <c r="A88" s="161" t="s">
        <v>3479</v>
      </c>
      <c r="B88" s="161" t="s">
        <v>3480</v>
      </c>
      <c r="C88" s="161" t="s">
        <v>3401</v>
      </c>
      <c r="D88" s="162">
        <v>0.04</v>
      </c>
      <c r="E88" s="162"/>
      <c r="F88" s="162"/>
      <c r="G88" s="137"/>
      <c r="H88" s="137"/>
      <c r="I88" s="137"/>
      <c r="J88" s="137"/>
      <c r="K88" s="137"/>
      <c r="L88" s="137"/>
      <c r="M88" s="137"/>
      <c r="N88" s="137"/>
      <c r="O88" s="137"/>
      <c r="P88" s="137"/>
      <c r="Q88" s="137"/>
      <c r="R88" s="137"/>
      <c r="S88" s="137"/>
      <c r="T88" s="137"/>
      <c r="U88" s="137"/>
      <c r="V88" s="137"/>
      <c r="W88" s="137"/>
      <c r="X88" s="137"/>
      <c r="Y88" s="137"/>
      <c r="Z88" s="137"/>
    </row>
    <row r="89" spans="1:26" ht="15.75" customHeight="1" x14ac:dyDescent="0.2">
      <c r="A89" s="161" t="s">
        <v>3481</v>
      </c>
      <c r="B89" s="161" t="s">
        <v>3482</v>
      </c>
      <c r="C89" s="161" t="s">
        <v>3401</v>
      </c>
      <c r="D89" s="162"/>
      <c r="E89" s="162"/>
      <c r="F89" s="162"/>
      <c r="G89" s="137"/>
      <c r="H89" s="137"/>
      <c r="I89" s="137"/>
      <c r="J89" s="137"/>
      <c r="K89" s="137"/>
      <c r="L89" s="137"/>
      <c r="M89" s="137"/>
      <c r="N89" s="137"/>
      <c r="O89" s="137"/>
      <c r="P89" s="137"/>
      <c r="Q89" s="137"/>
      <c r="R89" s="137"/>
      <c r="S89" s="137"/>
      <c r="T89" s="137"/>
      <c r="U89" s="137"/>
      <c r="V89" s="137"/>
      <c r="W89" s="137"/>
      <c r="X89" s="137"/>
      <c r="Y89" s="137"/>
      <c r="Z89" s="137"/>
    </row>
    <row r="90" spans="1:26" ht="15.75" customHeight="1" x14ac:dyDescent="0.2">
      <c r="A90" s="161" t="s">
        <v>3483</v>
      </c>
      <c r="B90" s="161" t="s">
        <v>3484</v>
      </c>
      <c r="C90" s="161" t="s">
        <v>3401</v>
      </c>
      <c r="D90" s="162"/>
      <c r="E90" s="162"/>
      <c r="F90" s="162"/>
      <c r="G90" s="137"/>
      <c r="H90" s="137"/>
      <c r="I90" s="137"/>
      <c r="J90" s="137"/>
      <c r="K90" s="137"/>
      <c r="L90" s="137"/>
      <c r="M90" s="137"/>
      <c r="N90" s="137"/>
      <c r="O90" s="137"/>
      <c r="P90" s="137"/>
      <c r="Q90" s="137"/>
      <c r="R90" s="137"/>
      <c r="S90" s="137"/>
      <c r="T90" s="137"/>
      <c r="U90" s="137"/>
      <c r="V90" s="137"/>
      <c r="W90" s="137"/>
      <c r="X90" s="137"/>
      <c r="Y90" s="137"/>
      <c r="Z90" s="137"/>
    </row>
    <row r="91" spans="1:26" ht="15.75" customHeight="1" x14ac:dyDescent="0.2">
      <c r="A91" s="161" t="s">
        <v>3485</v>
      </c>
      <c r="B91" s="161" t="s">
        <v>3486</v>
      </c>
      <c r="C91" s="161" t="s">
        <v>3401</v>
      </c>
      <c r="D91" s="162"/>
      <c r="E91" s="162"/>
      <c r="F91" s="162"/>
      <c r="G91" s="137"/>
      <c r="H91" s="137"/>
      <c r="I91" s="137"/>
      <c r="J91" s="137"/>
      <c r="K91" s="137"/>
      <c r="L91" s="137"/>
      <c r="M91" s="137"/>
      <c r="N91" s="137"/>
      <c r="O91" s="137"/>
      <c r="P91" s="137"/>
      <c r="Q91" s="137"/>
      <c r="R91" s="137"/>
      <c r="S91" s="137"/>
      <c r="T91" s="137"/>
      <c r="U91" s="137"/>
      <c r="V91" s="137"/>
      <c r="W91" s="137"/>
      <c r="X91" s="137"/>
      <c r="Y91" s="137"/>
      <c r="Z91" s="137"/>
    </row>
    <row r="92" spans="1:26" ht="15.75" customHeight="1" x14ac:dyDescent="0.2">
      <c r="A92" s="161" t="s">
        <v>3487</v>
      </c>
      <c r="B92" s="161" t="s">
        <v>3488</v>
      </c>
      <c r="C92" s="161" t="s">
        <v>3401</v>
      </c>
      <c r="D92" s="162"/>
      <c r="E92" s="162"/>
      <c r="F92" s="162"/>
      <c r="G92" s="137"/>
      <c r="H92" s="137"/>
      <c r="I92" s="137"/>
      <c r="J92" s="137"/>
      <c r="K92" s="137"/>
      <c r="L92" s="137"/>
      <c r="M92" s="137"/>
      <c r="N92" s="137"/>
      <c r="O92" s="137"/>
      <c r="P92" s="137"/>
      <c r="Q92" s="137"/>
      <c r="R92" s="137"/>
      <c r="S92" s="137"/>
      <c r="T92" s="137"/>
      <c r="U92" s="137"/>
      <c r="V92" s="137"/>
      <c r="W92" s="137"/>
      <c r="X92" s="137"/>
      <c r="Y92" s="137"/>
      <c r="Z92" s="137"/>
    </row>
    <row r="93" spans="1:26" ht="15.75" customHeight="1" x14ac:dyDescent="0.2">
      <c r="A93" s="161" t="s">
        <v>3489</v>
      </c>
      <c r="B93" s="161" t="s">
        <v>3490</v>
      </c>
      <c r="C93" s="161" t="s">
        <v>3401</v>
      </c>
      <c r="D93" s="162"/>
      <c r="E93" s="162"/>
      <c r="F93" s="162"/>
      <c r="G93" s="137"/>
      <c r="H93" s="137"/>
      <c r="I93" s="137"/>
      <c r="J93" s="137"/>
      <c r="K93" s="137"/>
      <c r="L93" s="137"/>
      <c r="M93" s="137"/>
      <c r="N93" s="137"/>
      <c r="O93" s="137"/>
      <c r="P93" s="137"/>
      <c r="Q93" s="137"/>
      <c r="R93" s="137"/>
      <c r="S93" s="137"/>
      <c r="T93" s="137"/>
      <c r="U93" s="137"/>
      <c r="V93" s="137"/>
      <c r="W93" s="137"/>
      <c r="X93" s="137"/>
      <c r="Y93" s="137"/>
      <c r="Z93" s="137"/>
    </row>
    <row r="94" spans="1:26" ht="15.75" customHeight="1" x14ac:dyDescent="0.2">
      <c r="A94" s="161" t="s">
        <v>3491</v>
      </c>
      <c r="B94" s="161" t="s">
        <v>3492</v>
      </c>
      <c r="C94" s="161" t="s">
        <v>3401</v>
      </c>
      <c r="D94" s="162"/>
      <c r="E94" s="162"/>
      <c r="F94" s="162"/>
      <c r="G94" s="137"/>
      <c r="H94" s="137"/>
      <c r="I94" s="137"/>
      <c r="J94" s="137"/>
      <c r="K94" s="137"/>
      <c r="L94" s="137"/>
      <c r="M94" s="137"/>
      <c r="N94" s="137"/>
      <c r="O94" s="137"/>
      <c r="P94" s="137"/>
      <c r="Q94" s="137"/>
      <c r="R94" s="137"/>
      <c r="S94" s="137"/>
      <c r="T94" s="137"/>
      <c r="U94" s="137"/>
      <c r="V94" s="137"/>
      <c r="W94" s="137"/>
      <c r="X94" s="137"/>
      <c r="Y94" s="137"/>
      <c r="Z94" s="137"/>
    </row>
    <row r="95" spans="1:26" ht="15.75" customHeight="1" x14ac:dyDescent="0.2">
      <c r="A95" s="161" t="s">
        <v>3493</v>
      </c>
      <c r="B95" s="161" t="s">
        <v>3494</v>
      </c>
      <c r="C95" s="161" t="s">
        <v>3401</v>
      </c>
      <c r="D95" s="162">
        <v>0.159</v>
      </c>
      <c r="E95" s="162"/>
      <c r="F95" s="162"/>
      <c r="G95" s="137"/>
      <c r="H95" s="137"/>
      <c r="I95" s="137"/>
      <c r="J95" s="137"/>
      <c r="K95" s="137"/>
      <c r="L95" s="137"/>
      <c r="M95" s="137"/>
      <c r="N95" s="137"/>
      <c r="O95" s="137"/>
      <c r="P95" s="137"/>
      <c r="Q95" s="137"/>
      <c r="R95" s="137"/>
      <c r="S95" s="137"/>
      <c r="T95" s="137"/>
      <c r="U95" s="137"/>
      <c r="V95" s="137"/>
      <c r="W95" s="137"/>
      <c r="X95" s="137"/>
      <c r="Y95" s="137"/>
      <c r="Z95" s="137"/>
    </row>
    <row r="96" spans="1:26" ht="15.75" customHeight="1" x14ac:dyDescent="0.2">
      <c r="A96" s="161" t="s">
        <v>3495</v>
      </c>
      <c r="B96" s="161" t="s">
        <v>3496</v>
      </c>
      <c r="C96" s="161" t="s">
        <v>3401</v>
      </c>
      <c r="D96" s="162">
        <v>0.1</v>
      </c>
      <c r="E96" s="162"/>
      <c r="F96" s="162"/>
      <c r="G96" s="137"/>
      <c r="H96" s="137"/>
      <c r="I96" s="137"/>
      <c r="J96" s="137"/>
      <c r="K96" s="137"/>
      <c r="L96" s="137"/>
      <c r="M96" s="137"/>
      <c r="N96" s="137"/>
      <c r="O96" s="137"/>
      <c r="P96" s="137"/>
      <c r="Q96" s="137"/>
      <c r="R96" s="137"/>
      <c r="S96" s="137"/>
      <c r="T96" s="137"/>
      <c r="U96" s="137"/>
      <c r="V96" s="137"/>
      <c r="W96" s="137"/>
      <c r="X96" s="137"/>
      <c r="Y96" s="137"/>
      <c r="Z96" s="137"/>
    </row>
    <row r="97" spans="1:26" ht="15.75" customHeight="1" x14ac:dyDescent="0.2">
      <c r="A97" s="161" t="s">
        <v>3497</v>
      </c>
      <c r="B97" s="161" t="s">
        <v>3498</v>
      </c>
      <c r="C97" s="161" t="s">
        <v>3401</v>
      </c>
      <c r="D97" s="162">
        <v>0.159</v>
      </c>
      <c r="E97" s="162"/>
      <c r="F97" s="162"/>
      <c r="G97" s="137"/>
      <c r="H97" s="137"/>
      <c r="I97" s="137"/>
      <c r="J97" s="137"/>
      <c r="K97" s="137"/>
      <c r="L97" s="137"/>
      <c r="M97" s="137"/>
      <c r="N97" s="137"/>
      <c r="O97" s="137"/>
      <c r="P97" s="137"/>
      <c r="Q97" s="137"/>
      <c r="R97" s="137"/>
      <c r="S97" s="137"/>
      <c r="T97" s="137"/>
      <c r="U97" s="137"/>
      <c r="V97" s="137"/>
      <c r="W97" s="137"/>
      <c r="X97" s="137"/>
      <c r="Y97" s="137"/>
      <c r="Z97" s="137"/>
    </row>
    <row r="98" spans="1:26" ht="15.75" customHeight="1" x14ac:dyDescent="0.2">
      <c r="A98" s="161" t="s">
        <v>3499</v>
      </c>
      <c r="B98" s="161" t="s">
        <v>3500</v>
      </c>
      <c r="C98" s="161" t="s">
        <v>3401</v>
      </c>
      <c r="D98" s="162">
        <v>0.159</v>
      </c>
      <c r="E98" s="162"/>
      <c r="F98" s="162"/>
      <c r="G98" s="137"/>
      <c r="H98" s="137"/>
      <c r="I98" s="137"/>
      <c r="J98" s="137"/>
      <c r="K98" s="137"/>
      <c r="L98" s="137"/>
      <c r="M98" s="137"/>
      <c r="N98" s="137"/>
      <c r="O98" s="137"/>
      <c r="P98" s="137"/>
      <c r="Q98" s="137"/>
      <c r="R98" s="137"/>
      <c r="S98" s="137"/>
      <c r="T98" s="137"/>
      <c r="U98" s="137"/>
      <c r="V98" s="137"/>
      <c r="W98" s="137"/>
      <c r="X98" s="137"/>
      <c r="Y98" s="137"/>
      <c r="Z98" s="137"/>
    </row>
    <row r="99" spans="1:26" ht="15.75" customHeight="1" x14ac:dyDescent="0.2">
      <c r="A99" s="161" t="s">
        <v>3501</v>
      </c>
      <c r="B99" s="161" t="s">
        <v>3502</v>
      </c>
      <c r="C99" s="161" t="s">
        <v>3401</v>
      </c>
      <c r="D99" s="162">
        <v>7.1999999999999995E-2</v>
      </c>
      <c r="E99" s="162"/>
      <c r="F99" s="162"/>
      <c r="G99" s="137"/>
      <c r="H99" s="137"/>
      <c r="I99" s="137"/>
      <c r="J99" s="137"/>
      <c r="K99" s="137"/>
      <c r="L99" s="137"/>
      <c r="M99" s="137"/>
      <c r="N99" s="137"/>
      <c r="O99" s="137"/>
      <c r="P99" s="137"/>
      <c r="Q99" s="137"/>
      <c r="R99" s="137"/>
      <c r="S99" s="137"/>
      <c r="T99" s="137"/>
      <c r="U99" s="137"/>
      <c r="V99" s="137"/>
      <c r="W99" s="137"/>
      <c r="X99" s="137"/>
      <c r="Y99" s="137"/>
      <c r="Z99" s="137"/>
    </row>
    <row r="100" spans="1:26" ht="15.75" customHeight="1" x14ac:dyDescent="0.2">
      <c r="A100" s="161" t="s">
        <v>3503</v>
      </c>
      <c r="B100" s="161" t="s">
        <v>3504</v>
      </c>
      <c r="C100" s="161" t="s">
        <v>3401</v>
      </c>
      <c r="D100" s="162"/>
      <c r="E100" s="162"/>
      <c r="F100" s="162"/>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5.75" customHeight="1" x14ac:dyDescent="0.2">
      <c r="A101" s="161" t="s">
        <v>3505</v>
      </c>
      <c r="B101" s="161" t="s">
        <v>3506</v>
      </c>
      <c r="C101" s="161" t="s">
        <v>3401</v>
      </c>
      <c r="D101" s="162">
        <v>0.12</v>
      </c>
      <c r="E101" s="162"/>
      <c r="F101" s="162"/>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5.75" customHeight="1" x14ac:dyDescent="0.2">
      <c r="A102" s="161" t="s">
        <v>3507</v>
      </c>
      <c r="B102" s="161" t="s">
        <v>3508</v>
      </c>
      <c r="C102" s="161" t="s">
        <v>3401</v>
      </c>
      <c r="D102" s="162">
        <v>0.04</v>
      </c>
      <c r="E102" s="162"/>
      <c r="F102" s="162"/>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5.75" customHeight="1" x14ac:dyDescent="0.2">
      <c r="A103" s="161" t="s">
        <v>3509</v>
      </c>
      <c r="B103" s="161" t="s">
        <v>3510</v>
      </c>
      <c r="C103" s="161" t="s">
        <v>3401</v>
      </c>
      <c r="D103" s="162">
        <v>7.7369999999999994E-2</v>
      </c>
      <c r="E103" s="162"/>
      <c r="F103" s="162"/>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5.75" customHeight="1" x14ac:dyDescent="0.2">
      <c r="A104" s="161" t="s">
        <v>3511</v>
      </c>
      <c r="B104" s="161" t="s">
        <v>3512</v>
      </c>
      <c r="C104" s="161" t="s">
        <v>3401</v>
      </c>
      <c r="D104" s="162">
        <v>0.1</v>
      </c>
      <c r="E104" s="162"/>
      <c r="F104" s="162"/>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5.75" customHeight="1" x14ac:dyDescent="0.2">
      <c r="A105" s="161" t="s">
        <v>3513</v>
      </c>
      <c r="B105" s="161" t="s">
        <v>3514</v>
      </c>
      <c r="C105" s="161" t="s">
        <v>3401</v>
      </c>
      <c r="D105" s="162">
        <v>0.1</v>
      </c>
      <c r="E105" s="162"/>
      <c r="F105" s="162"/>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5.75" customHeight="1" x14ac:dyDescent="0.2">
      <c r="A106" s="161" t="s">
        <v>3515</v>
      </c>
      <c r="B106" s="161" t="s">
        <v>3516</v>
      </c>
      <c r="C106" s="161" t="s">
        <v>3401</v>
      </c>
      <c r="D106" s="162">
        <v>0.04</v>
      </c>
      <c r="E106" s="162"/>
      <c r="F106" s="162"/>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5.75" customHeight="1" x14ac:dyDescent="0.2">
      <c r="A107" s="161" t="s">
        <v>4076</v>
      </c>
      <c r="B107" s="161" t="s">
        <v>4077</v>
      </c>
      <c r="C107" s="161" t="s">
        <v>3401</v>
      </c>
      <c r="D107" s="162"/>
      <c r="E107" s="162"/>
      <c r="F107" s="162"/>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5.75" customHeight="1" x14ac:dyDescent="0.2">
      <c r="A108" s="166" t="s">
        <v>3517</v>
      </c>
      <c r="B108" s="166" t="s">
        <v>3518</v>
      </c>
      <c r="C108" s="166" t="s">
        <v>3519</v>
      </c>
      <c r="D108" s="167">
        <v>0.02</v>
      </c>
      <c r="E108" s="167"/>
      <c r="F108" s="16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5.75" customHeight="1" x14ac:dyDescent="0.2">
      <c r="A109" s="166" t="s">
        <v>3520</v>
      </c>
      <c r="B109" s="166" t="s">
        <v>3521</v>
      </c>
      <c r="C109" s="166" t="s">
        <v>3519</v>
      </c>
      <c r="D109" s="167">
        <v>0.02</v>
      </c>
      <c r="E109" s="167"/>
      <c r="F109" s="16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5.75" customHeight="1" x14ac:dyDescent="0.2">
      <c r="A110" s="166" t="s">
        <v>3522</v>
      </c>
      <c r="B110" s="166" t="s">
        <v>3523</v>
      </c>
      <c r="C110" s="166" t="s">
        <v>3519</v>
      </c>
      <c r="D110" s="167">
        <v>0.02</v>
      </c>
      <c r="E110" s="167"/>
      <c r="F110" s="16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5.75" customHeight="1" x14ac:dyDescent="0.2">
      <c r="A111" s="166" t="s">
        <v>3524</v>
      </c>
      <c r="B111" s="166" t="s">
        <v>3525</v>
      </c>
      <c r="C111" s="166" t="s">
        <v>3519</v>
      </c>
      <c r="D111" s="167">
        <v>0.02</v>
      </c>
      <c r="E111" s="167"/>
      <c r="F111" s="16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5.75" customHeight="1" x14ac:dyDescent="0.2">
      <c r="A112" s="166" t="s">
        <v>3526</v>
      </c>
      <c r="B112" s="166" t="s">
        <v>3527</v>
      </c>
      <c r="C112" s="166" t="s">
        <v>3519</v>
      </c>
      <c r="D112" s="167">
        <v>0.02</v>
      </c>
      <c r="E112" s="167"/>
      <c r="F112" s="16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5.75" customHeight="1" x14ac:dyDescent="0.2">
      <c r="A113" s="166" t="s">
        <v>4062</v>
      </c>
      <c r="B113" s="166" t="s">
        <v>4064</v>
      </c>
      <c r="C113" s="166" t="s">
        <v>3519</v>
      </c>
      <c r="D113" s="167">
        <v>0.02</v>
      </c>
      <c r="E113" s="167"/>
      <c r="F113" s="167" t="s">
        <v>4066</v>
      </c>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5.75" customHeight="1" x14ac:dyDescent="0.2">
      <c r="A114" s="166" t="s">
        <v>4063</v>
      </c>
      <c r="B114" s="166" t="s">
        <v>4065</v>
      </c>
      <c r="C114" s="166" t="s">
        <v>3519</v>
      </c>
      <c r="D114" s="167">
        <v>0.02</v>
      </c>
      <c r="E114" s="167"/>
      <c r="F114" s="167" t="s">
        <v>4066</v>
      </c>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5.75" customHeight="1" x14ac:dyDescent="0.2">
      <c r="A115" s="166" t="s">
        <v>4067</v>
      </c>
      <c r="B115" s="166" t="s">
        <v>4069</v>
      </c>
      <c r="C115" s="166" t="s">
        <v>3519</v>
      </c>
      <c r="D115" s="167">
        <v>0.02</v>
      </c>
      <c r="E115" s="167"/>
      <c r="F115" s="167" t="s">
        <v>4071</v>
      </c>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5.75" customHeight="1" x14ac:dyDescent="0.2">
      <c r="A116" s="166" t="s">
        <v>4068</v>
      </c>
      <c r="B116" s="166" t="s">
        <v>4070</v>
      </c>
      <c r="C116" s="166" t="s">
        <v>3519</v>
      </c>
      <c r="D116" s="167">
        <v>0.02</v>
      </c>
      <c r="E116" s="167"/>
      <c r="F116" s="167" t="s">
        <v>4066</v>
      </c>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29" x14ac:dyDescent="0.2">
      <c r="A117" s="166" t="s">
        <v>4090</v>
      </c>
      <c r="B117" s="352" t="s">
        <v>4091</v>
      </c>
      <c r="C117" s="166" t="s">
        <v>3519</v>
      </c>
      <c r="D117" s="167"/>
      <c r="E117" s="167"/>
      <c r="F117" s="167" t="s">
        <v>4071</v>
      </c>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5.75" customHeight="1" x14ac:dyDescent="0.2">
      <c r="A118" s="157" t="s">
        <v>3528</v>
      </c>
      <c r="B118" s="157" t="s">
        <v>3529</v>
      </c>
      <c r="C118" s="157" t="s">
        <v>3335</v>
      </c>
      <c r="D118" s="158">
        <v>0.39</v>
      </c>
      <c r="E118" s="158"/>
      <c r="F118" s="158"/>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5.75" customHeight="1" x14ac:dyDescent="0.2">
      <c r="A119" s="168" t="s">
        <v>3530</v>
      </c>
      <c r="B119" s="168" t="s">
        <v>3531</v>
      </c>
      <c r="C119" s="168" t="s">
        <v>3532</v>
      </c>
      <c r="D119" s="169">
        <v>0.14299999999999999</v>
      </c>
      <c r="E119" s="169"/>
      <c r="F119" s="169"/>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5.75" customHeight="1" x14ac:dyDescent="0.2">
      <c r="A120" s="168" t="s">
        <v>3533</v>
      </c>
      <c r="B120" s="168" t="s">
        <v>3534</v>
      </c>
      <c r="C120" s="168" t="s">
        <v>3532</v>
      </c>
      <c r="D120" s="169">
        <v>0.14299999999999999</v>
      </c>
      <c r="E120" s="170"/>
      <c r="F120" s="170"/>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5.75" customHeight="1" x14ac:dyDescent="0.2">
      <c r="A121" s="168" t="s">
        <v>3535</v>
      </c>
      <c r="B121" s="168" t="s">
        <v>3536</v>
      </c>
      <c r="C121" s="168" t="s">
        <v>3537</v>
      </c>
      <c r="D121" s="169">
        <v>0.14299999999999999</v>
      </c>
      <c r="E121" s="169"/>
      <c r="F121" s="169"/>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5.75" customHeight="1" x14ac:dyDescent="0.2">
      <c r="A122" s="168" t="s">
        <v>3538</v>
      </c>
      <c r="B122" s="168" t="s">
        <v>3539</v>
      </c>
      <c r="C122" s="168" t="s">
        <v>3537</v>
      </c>
      <c r="D122" s="169">
        <v>0.14299999999999999</v>
      </c>
      <c r="E122" s="169"/>
      <c r="F122" s="169"/>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5.75" customHeight="1" x14ac:dyDescent="0.2">
      <c r="A123" s="168" t="s">
        <v>3540</v>
      </c>
      <c r="B123" s="168" t="s">
        <v>3541</v>
      </c>
      <c r="C123" s="168" t="s">
        <v>3532</v>
      </c>
      <c r="D123" s="169">
        <v>0.14299999999999999</v>
      </c>
      <c r="E123" s="169"/>
      <c r="F123" s="169"/>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5.75" customHeight="1" x14ac:dyDescent="0.2">
      <c r="A124" s="168" t="s">
        <v>3542</v>
      </c>
      <c r="B124" s="168" t="s">
        <v>3543</v>
      </c>
      <c r="C124" s="168" t="s">
        <v>3532</v>
      </c>
      <c r="D124" s="169">
        <v>0.14299999999999999</v>
      </c>
      <c r="E124" s="169"/>
      <c r="F124" s="169"/>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5.75" customHeight="1" x14ac:dyDescent="0.2">
      <c r="A125" s="168" t="s">
        <v>3544</v>
      </c>
      <c r="B125" s="168" t="s">
        <v>3545</v>
      </c>
      <c r="C125" s="168" t="s">
        <v>3537</v>
      </c>
      <c r="D125" s="169">
        <v>0.14299999999999999</v>
      </c>
      <c r="E125" s="169"/>
      <c r="F125" s="169"/>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5.75" customHeight="1" x14ac:dyDescent="0.2">
      <c r="A126" s="168" t="s">
        <v>4088</v>
      </c>
      <c r="B126" s="168" t="s">
        <v>4089</v>
      </c>
      <c r="C126" s="168" t="s">
        <v>3537</v>
      </c>
      <c r="D126" s="169"/>
      <c r="E126" s="169"/>
      <c r="F126" s="169"/>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5.75" customHeight="1" x14ac:dyDescent="0.2">
      <c r="A127" s="168" t="s">
        <v>3546</v>
      </c>
      <c r="B127" s="168" t="s">
        <v>3547</v>
      </c>
      <c r="C127" s="168" t="s">
        <v>3537</v>
      </c>
      <c r="D127" s="169">
        <v>0.14299999999999999</v>
      </c>
      <c r="E127" s="169"/>
      <c r="F127" s="169"/>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5.75" customHeight="1" x14ac:dyDescent="0.2">
      <c r="A128" s="168" t="s">
        <v>3548</v>
      </c>
      <c r="B128" s="168" t="s">
        <v>3549</v>
      </c>
      <c r="C128" s="168" t="s">
        <v>3532</v>
      </c>
      <c r="D128" s="169">
        <v>0.14299999999999999</v>
      </c>
      <c r="E128" s="169"/>
      <c r="F128" s="169"/>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5.75" customHeight="1" x14ac:dyDescent="0.2">
      <c r="A129" s="168" t="s">
        <v>3550</v>
      </c>
      <c r="B129" s="168" t="s">
        <v>3551</v>
      </c>
      <c r="C129" s="168" t="s">
        <v>3532</v>
      </c>
      <c r="D129" s="169">
        <v>0.14299999999999999</v>
      </c>
      <c r="E129" s="169"/>
      <c r="F129" s="169"/>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5.75" customHeight="1" x14ac:dyDescent="0.2">
      <c r="A130" s="168" t="s">
        <v>3552</v>
      </c>
      <c r="B130" s="168" t="s">
        <v>3553</v>
      </c>
      <c r="C130" s="168" t="s">
        <v>3537</v>
      </c>
      <c r="D130" s="169">
        <v>0.14299999999999999</v>
      </c>
      <c r="E130" s="169"/>
      <c r="F130" s="169"/>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5.75" customHeight="1" x14ac:dyDescent="0.2">
      <c r="A131" s="168" t="s">
        <v>3554</v>
      </c>
      <c r="B131" s="168" t="s">
        <v>3555</v>
      </c>
      <c r="C131" s="168" t="s">
        <v>3537</v>
      </c>
      <c r="D131" s="169">
        <v>0.17100000000000001</v>
      </c>
      <c r="E131" s="169"/>
      <c r="F131" s="169"/>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5.75" customHeight="1" x14ac:dyDescent="0.2">
      <c r="A132" s="168" t="s">
        <v>3556</v>
      </c>
      <c r="B132" s="168" t="s">
        <v>3557</v>
      </c>
      <c r="C132" s="168" t="s">
        <v>3537</v>
      </c>
      <c r="D132" s="169">
        <v>0.14299999999999999</v>
      </c>
      <c r="E132" s="169"/>
      <c r="F132" s="169"/>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5.75" customHeight="1" x14ac:dyDescent="0.2">
      <c r="A133" s="170" t="s">
        <v>3558</v>
      </c>
      <c r="B133" s="170" t="s">
        <v>3559</v>
      </c>
      <c r="C133" s="168" t="s">
        <v>3537</v>
      </c>
      <c r="D133" s="169">
        <v>0.2</v>
      </c>
      <c r="E133" s="169"/>
      <c r="F133" s="169"/>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5.75" customHeight="1" x14ac:dyDescent="0.2">
      <c r="A134" s="168" t="s">
        <v>3560</v>
      </c>
      <c r="B134" s="168" t="s">
        <v>3561</v>
      </c>
      <c r="C134" s="168" t="s">
        <v>3537</v>
      </c>
      <c r="D134" s="169">
        <v>0.2</v>
      </c>
      <c r="E134" s="169"/>
      <c r="F134" s="169"/>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5.75" customHeight="1" x14ac:dyDescent="0.2">
      <c r="A135" s="168" t="s">
        <v>3562</v>
      </c>
      <c r="B135" s="168" t="s">
        <v>3563</v>
      </c>
      <c r="C135" s="168" t="s">
        <v>3532</v>
      </c>
      <c r="D135" s="169">
        <v>0.14299999999999999</v>
      </c>
      <c r="E135" s="171" t="s">
        <v>3564</v>
      </c>
      <c r="F135" s="171" t="s">
        <v>3565</v>
      </c>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5.75" customHeight="1" x14ac:dyDescent="0.2">
      <c r="A136" s="168" t="s">
        <v>3566</v>
      </c>
      <c r="B136" s="168" t="s">
        <v>3567</v>
      </c>
      <c r="C136" s="168" t="s">
        <v>3532</v>
      </c>
      <c r="D136" s="169">
        <v>0.14299999999999999</v>
      </c>
      <c r="E136" s="170" t="s">
        <v>3564</v>
      </c>
      <c r="F136" s="170" t="s">
        <v>3565</v>
      </c>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5.75" customHeight="1" x14ac:dyDescent="0.2">
      <c r="A137" s="168" t="s">
        <v>3568</v>
      </c>
      <c r="B137" s="168" t="s">
        <v>3569</v>
      </c>
      <c r="C137" s="168" t="s">
        <v>3537</v>
      </c>
      <c r="D137" s="169">
        <v>0.17100000000000001</v>
      </c>
      <c r="E137" s="170" t="s">
        <v>3570</v>
      </c>
      <c r="F137" s="170" t="s">
        <v>3565</v>
      </c>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5.75" customHeight="1" x14ac:dyDescent="0.2">
      <c r="A138" s="168" t="s">
        <v>3571</v>
      </c>
      <c r="B138" s="168" t="s">
        <v>3572</v>
      </c>
      <c r="C138" s="168" t="s">
        <v>3537</v>
      </c>
      <c r="D138" s="169">
        <v>0.14299999999999999</v>
      </c>
      <c r="E138" s="170" t="s">
        <v>3570</v>
      </c>
      <c r="F138" s="170" t="s">
        <v>3565</v>
      </c>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5.75" customHeight="1" x14ac:dyDescent="0.2">
      <c r="A139" s="168" t="s">
        <v>3573</v>
      </c>
      <c r="B139" s="168" t="s">
        <v>3574</v>
      </c>
      <c r="C139" s="168" t="s">
        <v>3532</v>
      </c>
      <c r="D139" s="169">
        <v>0.14299999999999999</v>
      </c>
      <c r="E139" s="170" t="s">
        <v>3575</v>
      </c>
      <c r="F139" s="170" t="s">
        <v>3565</v>
      </c>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5.75" customHeight="1" x14ac:dyDescent="0.2">
      <c r="A140" s="168" t="s">
        <v>3576</v>
      </c>
      <c r="B140" s="168" t="s">
        <v>3577</v>
      </c>
      <c r="C140" s="168" t="s">
        <v>3537</v>
      </c>
      <c r="D140" s="169">
        <v>0.14299999999999999</v>
      </c>
      <c r="E140" s="170" t="s">
        <v>3578</v>
      </c>
      <c r="F140" s="170" t="s">
        <v>3565</v>
      </c>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5.75" customHeight="1" x14ac:dyDescent="0.2">
      <c r="A141" s="168" t="s">
        <v>4053</v>
      </c>
      <c r="B141" s="168" t="s">
        <v>4057</v>
      </c>
      <c r="C141" s="168" t="s">
        <v>3537</v>
      </c>
      <c r="D141" s="169"/>
      <c r="E141" s="170" t="s">
        <v>4061</v>
      </c>
      <c r="F141" s="170" t="s">
        <v>3565</v>
      </c>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5.75" customHeight="1" x14ac:dyDescent="0.2">
      <c r="A142" s="168" t="s">
        <v>4054</v>
      </c>
      <c r="B142" s="168" t="s">
        <v>4060</v>
      </c>
      <c r="C142" s="168" t="s">
        <v>3537</v>
      </c>
      <c r="D142" s="169"/>
      <c r="E142" s="170" t="s">
        <v>4061</v>
      </c>
      <c r="F142" s="170" t="s">
        <v>3565</v>
      </c>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5.75" customHeight="1" x14ac:dyDescent="0.2">
      <c r="A143" s="168" t="s">
        <v>4055</v>
      </c>
      <c r="B143" s="168" t="s">
        <v>4058</v>
      </c>
      <c r="C143" s="168" t="s">
        <v>3537</v>
      </c>
      <c r="D143" s="169"/>
      <c r="E143" s="170" t="s">
        <v>4061</v>
      </c>
      <c r="F143" s="170" t="s">
        <v>3565</v>
      </c>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5.75" customHeight="1" x14ac:dyDescent="0.2">
      <c r="A144" s="168" t="s">
        <v>4056</v>
      </c>
      <c r="B144" s="168" t="s">
        <v>4059</v>
      </c>
      <c r="C144" s="168" t="s">
        <v>3537</v>
      </c>
      <c r="D144" s="169"/>
      <c r="E144" s="170" t="s">
        <v>4061</v>
      </c>
      <c r="F144" s="170" t="s">
        <v>3565</v>
      </c>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5.75" customHeight="1" x14ac:dyDescent="0.2">
      <c r="A145" s="168" t="s">
        <v>4072</v>
      </c>
      <c r="B145" s="168" t="s">
        <v>4074</v>
      </c>
      <c r="C145" s="168" t="s">
        <v>3537</v>
      </c>
      <c r="D145" s="169"/>
      <c r="E145" s="170" t="s">
        <v>4061</v>
      </c>
      <c r="F145" s="170" t="s">
        <v>3565</v>
      </c>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5.75" customHeight="1" x14ac:dyDescent="0.2">
      <c r="A146" s="168" t="s">
        <v>4073</v>
      </c>
      <c r="B146" s="168" t="s">
        <v>4075</v>
      </c>
      <c r="C146" s="168" t="s">
        <v>3537</v>
      </c>
      <c r="D146" s="169"/>
      <c r="E146" s="170" t="s">
        <v>4061</v>
      </c>
      <c r="F146" s="170" t="s">
        <v>3565</v>
      </c>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5.75" customHeight="1" x14ac:dyDescent="0.2">
      <c r="A147" s="168" t="s">
        <v>4078</v>
      </c>
      <c r="B147" s="168" t="s">
        <v>4079</v>
      </c>
      <c r="C147" s="168" t="s">
        <v>3537</v>
      </c>
      <c r="D147" s="169"/>
      <c r="E147" s="170" t="s">
        <v>4061</v>
      </c>
      <c r="F147" s="170" t="s">
        <v>3565</v>
      </c>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5.75" customHeight="1"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5.75" customHeight="1"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5.75" customHeight="1"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5.75" customHeight="1"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5.75" customHeight="1"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5.75" customHeight="1"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5.75" customHeight="1"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5.75" customHeight="1"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5.75" customHeight="1"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5.75" customHeight="1"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5.75" customHeight="1"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5.75" customHeight="1"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5.75" customHeight="1"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5.75" customHeight="1"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5.75" customHeight="1"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5.75" customHeight="1"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5.75" customHeight="1"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5.75" customHeight="1"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5.75" customHeight="1"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5.75" customHeight="1"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5.75" customHeight="1"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5.75" customHeight="1"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5.75" customHeight="1"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5.75" customHeight="1"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5.75" customHeight="1"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5.75" customHeight="1"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5.75" customHeight="1"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5.75" customHeight="1"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5.75" customHeight="1"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5.75" customHeight="1"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5.75" customHeight="1"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5.75" customHeight="1"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5.75" customHeight="1"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5.75" customHeight="1"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5.75" customHeight="1"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5.75" customHeight="1"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5.75" customHeight="1"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5.75" customHeight="1"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5.75" customHeight="1"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5.75" customHeight="1"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5.75" customHeight="1"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5.75" customHeight="1"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5.75" customHeight="1"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5.75" customHeight="1"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5.75" customHeight="1"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5.75" customHeight="1"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5.75" customHeight="1"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5.75" customHeight="1"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5.75" customHeight="1"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5.75" customHeight="1"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5.75" customHeight="1"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5.75" customHeight="1"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5.75" customHeight="1"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5.75" customHeight="1"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5.75" customHeight="1"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5.75" customHeight="1"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5.75" customHeight="1"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5.75" customHeight="1"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5.75" customHeight="1"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5.75" customHeight="1"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5.75" customHeight="1"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5.75" customHeight="1"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5.75" customHeight="1"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5.75" customHeight="1"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5.75" customHeight="1"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5.75" customHeight="1"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5.75" customHeight="1"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5.75" customHeight="1"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5.75" customHeight="1"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5.75" customHeight="1"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5.75" customHeight="1"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5.75" customHeight="1"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5.75" customHeight="1"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5.75" customHeight="1"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5.75" customHeight="1"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5.75" customHeight="1"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5.75" customHeight="1"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5.75" customHeight="1"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5.75" customHeight="1"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5.75" customHeight="1"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5.75" customHeight="1"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5.75" customHeight="1"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5.75" customHeight="1"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5.75" customHeight="1"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5.75" customHeight="1"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5.75" customHeight="1"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5.75" customHeight="1"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5.75" customHeight="1"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5.75" customHeight="1"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5.75" customHeight="1"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5.75" customHeight="1"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5.75" customHeight="1"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5.75" customHeight="1"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5.75" customHeight="1"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5.75" customHeight="1"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5.75" customHeight="1"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5.75" customHeight="1"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5.75" customHeight="1"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5.75" customHeight="1"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5.75" customHeight="1"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5.75" customHeight="1"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5.75" customHeight="1"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5.75" customHeight="1"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5.75" customHeight="1"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5.75" customHeight="1"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5.75" customHeight="1"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5.75" customHeight="1"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5.75" customHeight="1"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5.75" customHeight="1"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5.75" customHeight="1"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5.75" customHeight="1"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5.75" customHeight="1"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5.75" customHeight="1"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5.75" customHeight="1"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5.75" customHeight="1"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5.75" customHeight="1"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5.75" customHeight="1"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5.75" customHeight="1"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5.75" customHeight="1"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5.75" customHeight="1"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5.75" customHeight="1"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5.75" customHeight="1"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5.75" customHeight="1"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5.75" customHeight="1"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5.75" customHeight="1"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5.75" customHeight="1"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5.75" customHeight="1"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5.75" customHeight="1"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5.75" customHeight="1"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5.75" customHeight="1"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5.75" customHeight="1"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5.75" customHeight="1"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5.75" customHeight="1"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5.75" customHeight="1"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5.75" customHeight="1"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5.75" customHeight="1"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5.75" customHeight="1"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5.75" customHeight="1"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5.75" customHeight="1"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5.75" customHeight="1"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5.75" customHeight="1"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5.75" customHeight="1"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5.75" customHeight="1"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5.75" customHeight="1"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5.75" customHeight="1"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5.75" customHeight="1"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5.75" customHeight="1"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5.75" customHeight="1"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5.75" customHeight="1"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5.75" customHeight="1"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5.75" customHeight="1"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5.75" customHeight="1"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5.75" customHeight="1"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5.75" customHeight="1"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5.75" customHeight="1"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5.75" customHeight="1"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5.75" customHeight="1"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5.75" customHeight="1"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5.75" customHeight="1"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5.75" customHeight="1"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5.75" customHeight="1"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5.75" customHeight="1"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5.75" customHeight="1"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5.75" customHeight="1"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5.75" customHeight="1"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5.75" customHeight="1"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5.75" customHeight="1"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5.75" customHeight="1"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5.75" customHeight="1"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5.75" customHeight="1"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5.75" customHeight="1"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5.75" customHeight="1"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5.75" customHeight="1"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5.75" customHeight="1"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5.75" customHeight="1"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5.75" customHeight="1"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5.75" customHeight="1"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5.75" customHeight="1"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5.75" customHeight="1"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5.75" customHeight="1"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5.75" customHeight="1"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5.75" customHeight="1"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5.75" customHeight="1"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5.75" customHeight="1"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5.75" customHeight="1"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5.75" customHeight="1"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5.75" customHeight="1"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5.75" customHeight="1"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5.75" customHeight="1"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5.75" customHeight="1"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5.75" customHeight="1"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5.75" customHeight="1"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5.75" customHeight="1"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5.75" customHeight="1"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5.75" customHeight="1"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5.75" customHeight="1"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5.75" customHeight="1"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5.75" customHeight="1"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5.75" customHeight="1"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5.75" customHeight="1"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5.75" customHeight="1"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5.75" customHeight="1"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5.75" customHeight="1"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5.75" customHeight="1"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5.75" customHeight="1"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5.75" customHeight="1"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5.75" customHeight="1"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5.75" customHeight="1"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5.75" customHeight="1"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5.75" customHeight="1"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5.75" customHeight="1"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5.75" customHeight="1"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5.75" customHeight="1"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5.75" customHeight="1"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5.75" customHeight="1"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5.75" customHeight="1"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5.75" customHeight="1"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5.75" customHeight="1"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5.75" customHeight="1"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5.75" customHeight="1"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5.75" customHeight="1"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5.75" customHeight="1"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5.75" customHeight="1"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5.75" customHeight="1"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5.75" customHeight="1"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5.75" customHeight="1"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5.75" customHeight="1"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5.75" customHeight="1"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5.75" customHeight="1"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5.75" customHeight="1"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5.75" customHeight="1"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5.75" customHeight="1"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5.75" customHeight="1"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5.75" customHeight="1"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5.75" customHeight="1"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5.75" customHeight="1"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5.75" customHeight="1"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5.75" customHeight="1"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5.75" customHeight="1"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5.75" customHeight="1"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5.75" customHeight="1"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5.75" customHeight="1"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5.75" customHeight="1"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5.75" customHeight="1"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5.75" customHeight="1"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5.75" customHeight="1"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5.75" customHeight="1"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5.75" customHeight="1"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5.75" customHeight="1"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5.75" customHeight="1"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5.75" customHeight="1"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5.75" customHeight="1"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5.75" customHeight="1"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5.75" customHeight="1"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5.75" customHeight="1"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5.75" customHeight="1"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5.75" customHeight="1"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5.75" customHeight="1"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5.75" customHeight="1"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5.75" customHeight="1"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5.75" customHeight="1"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5.75" customHeight="1"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5.75" customHeight="1"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5.75" customHeight="1"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5.75" customHeight="1"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5.75" customHeight="1"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5.75" customHeight="1"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5.75" customHeight="1"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5.75" customHeight="1"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5.75" customHeight="1"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5.75" customHeight="1"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5.75" customHeight="1"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5.75" customHeight="1"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5.75" customHeight="1"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5.75" customHeight="1"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5.75" customHeight="1"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5.75" customHeight="1"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5.75" customHeight="1"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5.75" customHeight="1"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5.75" customHeight="1"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5.75" customHeight="1"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5.75" customHeight="1"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5.75" customHeight="1"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5.75" customHeight="1"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5.75" customHeight="1"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5.75" customHeight="1"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5.75" customHeight="1"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5.75" customHeight="1"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5.75" customHeight="1"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5.75" customHeight="1"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5.75" customHeight="1"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5.75" customHeight="1"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5.75" customHeight="1"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5.75" customHeight="1"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5.75" customHeight="1"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5.75" customHeight="1"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5.75" customHeight="1"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5.75" customHeight="1"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5.75" customHeight="1"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5.75" customHeight="1"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5.75" customHeight="1"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5.75" customHeight="1"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5.75" customHeight="1"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5.75" customHeight="1"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5.75" customHeight="1"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5.75" customHeight="1"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5.75" customHeight="1"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5.75" customHeight="1"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5.75" customHeight="1"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5.75" customHeight="1"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5.75" customHeight="1"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5.75" customHeight="1"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5.75" customHeight="1"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5.75" customHeight="1"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5.75" customHeight="1"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5.75" customHeight="1"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5.75" customHeight="1"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5.75" customHeight="1"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5.75" customHeight="1"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5.75" customHeight="1"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5.75" customHeight="1"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5.75" customHeight="1"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5.75" customHeight="1"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5.75" customHeight="1"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5.75" customHeight="1"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5.75" customHeight="1"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5.75" customHeight="1"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5.75" customHeight="1"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5.75" customHeight="1"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5.75" customHeight="1"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5.75" customHeight="1"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5.75" customHeight="1"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5.75" customHeight="1"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5.75" customHeight="1"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5.75" customHeight="1"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5.75" customHeight="1"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5.75" customHeight="1"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5.75" customHeight="1"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5.75" customHeight="1"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5.75" customHeight="1"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5.75" customHeight="1"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5.75" customHeight="1"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5.75" customHeight="1"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5.75" customHeight="1"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5.75" customHeight="1"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5.75" customHeight="1"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5.75" customHeight="1"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5.75" customHeight="1"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5.75" customHeight="1"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5.75" customHeight="1"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5.75" customHeight="1"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5.75" customHeight="1"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5.75" customHeight="1"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5.75" customHeight="1"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5.75" customHeight="1"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5.75" customHeight="1"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5.75" customHeight="1"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5.75" customHeight="1"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5.75" customHeight="1"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5.75" customHeight="1"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5.75" customHeight="1"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5.75" customHeight="1"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5.75" customHeight="1"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5.75" customHeight="1"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5.75" customHeight="1"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5.75" customHeight="1"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5.75" customHeight="1"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5.75" customHeight="1"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5.75" customHeight="1"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5.75" customHeight="1"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5.75" customHeight="1"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5.75" customHeight="1"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5.75" customHeight="1"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5.75" customHeight="1"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5.75" customHeight="1"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5.75" customHeight="1"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5.75" customHeight="1"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5.75" customHeight="1"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5.75" customHeight="1"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5.75" customHeight="1"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5.75" customHeight="1"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5.75" customHeight="1"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5.75" customHeight="1"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5.75" customHeight="1"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5.75" customHeight="1"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5.75" customHeight="1"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5.75" customHeight="1"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5.75" customHeight="1"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5.75" customHeight="1"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5.75" customHeight="1"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5.75" customHeight="1"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5.75" customHeight="1"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5.75" customHeight="1"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5.75" customHeight="1"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5.75" customHeight="1"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5.75" customHeight="1"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5.75" customHeight="1"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5.75" customHeight="1"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5.75" customHeight="1"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5.75" customHeight="1"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5.75" customHeight="1"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5.75" customHeight="1"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5.75" customHeight="1"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5.75" customHeight="1"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5.75" customHeight="1"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5.75" customHeight="1"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5.75" customHeight="1"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5.75" customHeight="1"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5.75" customHeight="1"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5.75" customHeight="1"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5.75" customHeight="1"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5.75" customHeight="1"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5.75" customHeight="1"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5.75" customHeight="1"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5.75" customHeight="1"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5.75" customHeight="1"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5.75" customHeight="1"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5.75" customHeight="1"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5.75" customHeight="1"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5.75" customHeight="1"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5.75" customHeight="1"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5.75" customHeight="1"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5.75" customHeight="1"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5.75" customHeight="1"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5.75" customHeight="1"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5.75" customHeight="1"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5.75" customHeight="1"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5.75" customHeight="1"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5.75" customHeight="1"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5.75" customHeight="1"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5.75" customHeight="1"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5.75" customHeight="1"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5.75" customHeight="1"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5.75" customHeight="1"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5.75" customHeight="1"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5.75" customHeight="1"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5.75" customHeight="1"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5.75" customHeight="1"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5.75" customHeight="1"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5.75" customHeight="1"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5.75" customHeight="1"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5.75" customHeight="1"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5.75" customHeight="1"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5.75" customHeight="1"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5.75" customHeight="1"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5.75" customHeight="1"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5.75" customHeight="1"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5.75" customHeight="1"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5.75" customHeight="1"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5.75" customHeight="1"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5.75" customHeight="1"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5.75" customHeight="1"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5.75" customHeight="1"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5.75" customHeight="1"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5.75" customHeight="1"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5.75" customHeight="1"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5.75" customHeight="1"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5.75" customHeight="1"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5.75" customHeight="1"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5.75" customHeight="1"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5.75" customHeight="1"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5.75" customHeight="1"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5.75" customHeight="1"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5.75" customHeight="1"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5.75" customHeight="1"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5.75" customHeight="1"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5.75" customHeight="1"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5.75" customHeight="1"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5.75" customHeight="1"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5.75" customHeight="1"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5.75" customHeight="1"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5.75" customHeight="1"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5.75" customHeight="1"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5.75" customHeight="1"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5.75" customHeight="1"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5.75" customHeight="1"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5.75" customHeight="1"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5.75" customHeight="1"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5.75" customHeight="1"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5.75" customHeight="1"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5.75" customHeight="1"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5.75" customHeight="1"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5.75" customHeight="1"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5.75" customHeight="1"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5.75" customHeight="1"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5.75" customHeight="1"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5.75" customHeight="1"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5.75" customHeight="1"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5.75" customHeight="1"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5.75" customHeight="1"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5.75" customHeight="1"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5.75" customHeight="1"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5.75" customHeight="1"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5.75" customHeight="1"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5.75" customHeight="1"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5.75" customHeight="1"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5.75" customHeight="1"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5.75" customHeight="1"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5.75" customHeight="1"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5.75" customHeight="1"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5.75" customHeight="1"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5.75" customHeight="1"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5.75" customHeight="1"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5.75" customHeight="1"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5.75" customHeight="1"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5.75" customHeight="1"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5.75" customHeight="1"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5.75" customHeight="1"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5.75" customHeight="1"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5.75" customHeight="1"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5.75" customHeight="1"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5.75" customHeight="1"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5.75" customHeight="1"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5.75" customHeight="1"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5.75" customHeight="1"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5.75" customHeight="1"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5.75" customHeight="1"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5.75" customHeight="1"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5.75" customHeight="1"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5.75" customHeight="1"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5.75" customHeight="1"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5.75" customHeight="1"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5.75" customHeight="1"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5.75" customHeight="1"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5.75" customHeight="1"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5.75" customHeight="1"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5.75" customHeight="1"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5.75" customHeight="1"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5.75" customHeight="1"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5.75" customHeight="1"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5.75" customHeight="1"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5.75" customHeight="1"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5.75" customHeight="1"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5.75" customHeight="1"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5.75" customHeight="1"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5.75" customHeight="1"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5.75" customHeight="1"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5.75" customHeight="1"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5.75" customHeight="1"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5.75" customHeight="1"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5.75" customHeight="1"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5.75" customHeight="1"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5.75" customHeight="1"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5.75" customHeight="1"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5.75" customHeight="1"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5.75" customHeight="1"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5.75" customHeight="1"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5.75" customHeight="1"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5.75" customHeight="1"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5.75" customHeight="1"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5.75" customHeight="1"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5.75" customHeight="1"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5.75" customHeight="1"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5.75" customHeight="1"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5.75" customHeight="1"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5.75" customHeight="1"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5.75" customHeight="1"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5.75" customHeight="1"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5.75" customHeight="1"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5.75" customHeight="1"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5.75" customHeight="1"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5.75" customHeight="1"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5.75" customHeight="1"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5.75" customHeight="1"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5.75" customHeight="1"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5.75" customHeight="1"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5.75" customHeight="1"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5.75" customHeight="1"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5.75" customHeight="1"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5.75" customHeight="1"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5.75" customHeight="1"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5.75" customHeight="1"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5.75" customHeight="1"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5.75" customHeight="1"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5.75" customHeight="1"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5.75" customHeight="1"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5.75" customHeight="1"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5.75" customHeight="1"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5.75" customHeight="1"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5.75" customHeight="1"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5.75" customHeight="1"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5.75" customHeight="1"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5.75" customHeight="1"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5.75" customHeight="1"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5.75" customHeight="1"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5.75" customHeight="1"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5.75" customHeight="1"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5.75" customHeight="1"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5.75" customHeight="1"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5.75" customHeight="1"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5.75" customHeight="1"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5.75" customHeight="1"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5.75" customHeight="1"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5.75" customHeight="1"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5.75" customHeight="1"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5.75" customHeight="1"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5.75" customHeight="1"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5.75" customHeight="1"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5.75" customHeight="1"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5.75" customHeight="1"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5.75" customHeight="1"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5.75" customHeight="1"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5.75" customHeight="1"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5.75" customHeight="1"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5.75" customHeight="1"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5.75" customHeight="1"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5.75" customHeight="1"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5.75" customHeight="1"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5.75" customHeight="1"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5.75" customHeight="1"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5.75" customHeight="1"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5.75" customHeight="1"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5.75" customHeight="1"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5.75" customHeight="1"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5.75" customHeight="1"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5.75" customHeight="1"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5.75" customHeight="1"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5.75" customHeight="1"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5.75" customHeight="1"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5.75" customHeight="1"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5.75" customHeight="1"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5.75" customHeight="1"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5.75" customHeight="1"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5.75" customHeight="1"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5.75" customHeight="1"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5.75" customHeight="1"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5.75" customHeight="1"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5.75" customHeight="1"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5.75" customHeight="1"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5.75" customHeight="1"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5.75" customHeight="1"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5.75" customHeight="1"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5.75" customHeight="1"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5.75" customHeight="1"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5.75" customHeight="1"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5.75" customHeight="1"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5.75" customHeight="1"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5.75" customHeight="1"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5.75" customHeight="1"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5.75" customHeight="1"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5.75" customHeight="1"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5.75" customHeight="1"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5.75" customHeight="1"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5.75" customHeight="1"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5.75" customHeight="1"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5.75" customHeight="1"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5.75" customHeight="1"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5.75" customHeight="1"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5.75" customHeight="1"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5.75" customHeight="1"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5.75" customHeight="1"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5.75" customHeight="1"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5.75" customHeight="1"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5.75" customHeight="1"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5.75" customHeight="1"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5.75" customHeight="1"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5.75" customHeight="1"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5.75" customHeight="1"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5.75" customHeight="1"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5.75" customHeight="1"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5.75" customHeight="1"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5.75" customHeight="1"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5.75" customHeight="1"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5.75" customHeight="1"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5.75" customHeight="1"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5.75" customHeight="1"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5.75" customHeight="1"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5.75" customHeight="1"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5.75" customHeight="1"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5.75" customHeight="1"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5.75" customHeight="1"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5.75" customHeight="1"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5.75" customHeight="1"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5.75" customHeight="1"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5.75" customHeight="1"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5.75" customHeight="1"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5.75" customHeight="1"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5.75" customHeight="1"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5.75" customHeight="1"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5.75" customHeight="1"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5.75" customHeight="1"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5.75" customHeight="1"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5.75" customHeight="1"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5.75" customHeight="1"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5.75" customHeight="1"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5.75" customHeight="1"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5.75" customHeight="1"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5.75" customHeight="1"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5.75" customHeight="1"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5.75" customHeight="1"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5.75" customHeight="1"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5.75" customHeight="1"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5.75" customHeight="1"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5.75" customHeight="1"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5.75" customHeight="1"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5.75" customHeight="1"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5.75" customHeight="1"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5.75" customHeight="1"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5.75" customHeight="1"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5.75" customHeight="1"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5.75" customHeight="1"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5.75" customHeight="1"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5.75" customHeight="1"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5.75" customHeight="1"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5.75" customHeight="1"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5.75" customHeight="1"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5.75" customHeight="1"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5.75" customHeight="1"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5.75" customHeight="1"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5.75" customHeight="1"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5.75" customHeight="1"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5.75" customHeight="1"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5.75" customHeight="1"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5.75" customHeight="1"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5.75" customHeight="1"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5.75" customHeight="1"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5.75" customHeight="1"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5.75" customHeight="1"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5.75" customHeight="1"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5.75" customHeight="1"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5.75" customHeight="1"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5.75" customHeight="1"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5.75" customHeight="1"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5.75" customHeight="1"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5.75" customHeight="1"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5.75" customHeight="1"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5.75" customHeight="1"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5.75" customHeight="1"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5.75" customHeight="1"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5.75" customHeight="1"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5.75" customHeight="1"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5.75" customHeight="1"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5.75" customHeight="1"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5.75" customHeight="1"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5.75" customHeight="1"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5.75" customHeight="1"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5.75" customHeight="1"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5.75" customHeight="1"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5.75" customHeight="1"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5.75" customHeight="1"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5.75" customHeight="1"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5.75" customHeight="1"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5.75" customHeight="1"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5.75" customHeight="1"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5.75" customHeight="1"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5.75" customHeight="1"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5.75" customHeight="1"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5.75" customHeight="1"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5.75" customHeight="1"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5.75" customHeight="1"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5.75" customHeight="1"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5.75" customHeight="1"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5.75" customHeight="1"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5.75" customHeight="1"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5.75" customHeight="1"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5.75" customHeight="1"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5.75" customHeight="1"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5.75" customHeight="1"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5.75" customHeight="1"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5.75" customHeight="1"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5.75" customHeight="1"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5.75" customHeight="1"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5.75" customHeight="1"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5.75" customHeight="1"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5.75" customHeight="1"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5.75" customHeight="1"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5.75" customHeight="1"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5.75" customHeight="1"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5.75" customHeight="1"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5.75" customHeight="1"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5.75" customHeight="1"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5.75" customHeight="1"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5.75" customHeight="1"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5.75" customHeight="1"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5.75" customHeight="1"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5.75" customHeight="1"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5.75" customHeight="1"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5.75" customHeight="1"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5.75" customHeight="1"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5.75" customHeight="1"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5.75" customHeight="1"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5.75" customHeight="1"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5.75" customHeight="1"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5.75" customHeight="1"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5.75" customHeight="1"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5.75" customHeight="1"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5.75" customHeight="1"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5.75" customHeight="1"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5.75" customHeight="1"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5.75" customHeight="1"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5.75" customHeight="1"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5.75" customHeight="1"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5.75" customHeight="1"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5.75" customHeight="1"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5.75" customHeight="1"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5.75" customHeight="1"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5.75" customHeight="1"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5.75" customHeight="1"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5.75" customHeight="1"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5.75" customHeight="1"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5.75" customHeight="1"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5.75" customHeight="1"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5.75" customHeight="1"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5.75" customHeight="1"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5.75" customHeight="1"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5.75" customHeight="1"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5.75" customHeight="1"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5.75" customHeight="1"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5.75" customHeight="1"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5.75" customHeight="1"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5.75" customHeight="1"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5.75" customHeight="1"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5.75" customHeight="1"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5.75" customHeight="1"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5.75" customHeight="1"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5.75" customHeight="1"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5.75" customHeight="1"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5.75" customHeight="1"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5.75" customHeight="1"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5.75" customHeight="1"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5.75" customHeight="1"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5.75" customHeight="1"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5.75" customHeight="1"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5.75" customHeight="1"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5.75" customHeight="1"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5.75" customHeight="1"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5.75" customHeight="1"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5.75" customHeight="1"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5.75" customHeight="1"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5.75" customHeight="1"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5.75" customHeight="1"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5.75" customHeight="1"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5.75" customHeight="1"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5.75" customHeight="1"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5.75" customHeight="1"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5.75" customHeight="1"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5.75" customHeight="1"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5.75" customHeight="1"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5.75" customHeight="1"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5.75" customHeight="1"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5.75" customHeight="1"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5.75" customHeight="1"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5.75" customHeight="1"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5.75" customHeight="1"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5.75" customHeight="1"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5.75" customHeight="1"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5.75" customHeight="1"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5.75" customHeight="1"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5.75" customHeight="1"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5.75" customHeight="1"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5.75" customHeight="1"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5.75" customHeight="1"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5.75" customHeight="1"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row r="1001" spans="1:26" ht="15.75" customHeight="1" x14ac:dyDescent="0.2">
      <c r="A1001" s="137"/>
      <c r="B1001" s="137"/>
      <c r="C1001" s="137"/>
      <c r="D1001" s="137"/>
      <c r="E1001" s="137"/>
      <c r="F1001" s="137"/>
      <c r="G1001" s="137"/>
      <c r="H1001" s="137"/>
      <c r="I1001" s="137"/>
      <c r="J1001" s="137"/>
      <c r="K1001" s="137"/>
      <c r="L1001" s="137"/>
      <c r="M1001" s="137"/>
      <c r="N1001" s="137"/>
      <c r="O1001" s="137"/>
      <c r="P1001" s="137"/>
      <c r="Q1001" s="137"/>
      <c r="R1001" s="137"/>
      <c r="S1001" s="137"/>
      <c r="T1001" s="137"/>
      <c r="U1001" s="137"/>
      <c r="V1001" s="137"/>
      <c r="W1001" s="137"/>
      <c r="X1001" s="137"/>
      <c r="Y1001" s="137"/>
      <c r="Z1001" s="137"/>
    </row>
    <row r="1002" spans="1:26" ht="15.75" customHeight="1" x14ac:dyDescent="0.2">
      <c r="A1002" s="137"/>
      <c r="B1002" s="137"/>
      <c r="C1002" s="137"/>
      <c r="D1002" s="137"/>
      <c r="E1002" s="137"/>
      <c r="F1002" s="137"/>
      <c r="G1002" s="137"/>
      <c r="H1002" s="137"/>
      <c r="I1002" s="137"/>
      <c r="J1002" s="137"/>
      <c r="K1002" s="137"/>
      <c r="L1002" s="137"/>
      <c r="M1002" s="137"/>
      <c r="N1002" s="137"/>
      <c r="O1002" s="137"/>
      <c r="P1002" s="137"/>
      <c r="Q1002" s="137"/>
      <c r="R1002" s="137"/>
      <c r="S1002" s="137"/>
      <c r="T1002" s="137"/>
      <c r="U1002" s="137"/>
      <c r="V1002" s="137"/>
      <c r="W1002" s="137"/>
      <c r="X1002" s="137"/>
      <c r="Y1002" s="137"/>
      <c r="Z1002" s="137"/>
    </row>
    <row r="1003" spans="1:26" ht="15.75" customHeight="1" x14ac:dyDescent="0.2">
      <c r="A1003" s="137"/>
      <c r="B1003" s="137"/>
      <c r="C1003" s="137"/>
      <c r="D1003" s="137"/>
      <c r="E1003" s="137"/>
      <c r="F1003" s="137"/>
      <c r="G1003" s="137"/>
      <c r="H1003" s="137"/>
      <c r="I1003" s="137"/>
      <c r="J1003" s="137"/>
      <c r="K1003" s="137"/>
      <c r="L1003" s="137"/>
      <c r="M1003" s="137"/>
      <c r="N1003" s="137"/>
      <c r="O1003" s="137"/>
      <c r="P1003" s="137"/>
      <c r="Q1003" s="137"/>
      <c r="R1003" s="137"/>
      <c r="S1003" s="137"/>
      <c r="T1003" s="137"/>
      <c r="U1003" s="137"/>
      <c r="V1003" s="137"/>
      <c r="W1003" s="137"/>
      <c r="X1003" s="137"/>
      <c r="Y1003" s="137"/>
      <c r="Z1003" s="137"/>
    </row>
    <row r="1004" spans="1:26" ht="15.75" customHeight="1" x14ac:dyDescent="0.2">
      <c r="A1004" s="137"/>
      <c r="B1004" s="137"/>
      <c r="C1004" s="137"/>
      <c r="D1004" s="137"/>
      <c r="E1004" s="137"/>
      <c r="F1004" s="137"/>
      <c r="G1004" s="137"/>
      <c r="H1004" s="137"/>
      <c r="I1004" s="137"/>
      <c r="J1004" s="137"/>
      <c r="K1004" s="137"/>
      <c r="L1004" s="137"/>
      <c r="M1004" s="137"/>
      <c r="N1004" s="137"/>
      <c r="O1004" s="137"/>
      <c r="P1004" s="137"/>
      <c r="Q1004" s="137"/>
      <c r="R1004" s="137"/>
      <c r="S1004" s="137"/>
      <c r="T1004" s="137"/>
      <c r="U1004" s="137"/>
      <c r="V1004" s="137"/>
      <c r="W1004" s="137"/>
      <c r="X1004" s="137"/>
      <c r="Y1004" s="137"/>
      <c r="Z1004" s="137"/>
    </row>
    <row r="1005" spans="1:26" ht="15.75" customHeight="1" x14ac:dyDescent="0.2">
      <c r="A1005" s="137"/>
      <c r="B1005" s="137"/>
      <c r="C1005" s="137"/>
      <c r="D1005" s="137"/>
      <c r="E1005" s="137"/>
      <c r="F1005" s="137"/>
      <c r="G1005" s="137"/>
      <c r="H1005" s="137"/>
      <c r="I1005" s="137"/>
      <c r="J1005" s="137"/>
      <c r="K1005" s="137"/>
      <c r="L1005" s="137"/>
      <c r="M1005" s="137"/>
      <c r="N1005" s="137"/>
      <c r="O1005" s="137"/>
      <c r="P1005" s="137"/>
      <c r="Q1005" s="137"/>
      <c r="R1005" s="137"/>
      <c r="S1005" s="137"/>
      <c r="T1005" s="137"/>
      <c r="U1005" s="137"/>
      <c r="V1005" s="137"/>
      <c r="W1005" s="137"/>
      <c r="X1005" s="137"/>
      <c r="Y1005" s="137"/>
      <c r="Z1005" s="137"/>
    </row>
    <row r="1006" spans="1:26" ht="15.75" customHeight="1" x14ac:dyDescent="0.2">
      <c r="A1006" s="137"/>
      <c r="B1006" s="137"/>
      <c r="C1006" s="137"/>
      <c r="D1006" s="137"/>
      <c r="E1006" s="137"/>
      <c r="F1006" s="137"/>
      <c r="G1006" s="137"/>
      <c r="H1006" s="137"/>
      <c r="I1006" s="137"/>
      <c r="J1006" s="137"/>
      <c r="K1006" s="137"/>
      <c r="L1006" s="137"/>
      <c r="M1006" s="137"/>
      <c r="N1006" s="137"/>
      <c r="O1006" s="137"/>
      <c r="P1006" s="137"/>
      <c r="Q1006" s="137"/>
      <c r="R1006" s="137"/>
      <c r="S1006" s="137"/>
      <c r="T1006" s="137"/>
      <c r="U1006" s="137"/>
      <c r="V1006" s="137"/>
      <c r="W1006" s="137"/>
      <c r="X1006" s="137"/>
      <c r="Y1006" s="137"/>
      <c r="Z1006" s="137"/>
    </row>
    <row r="1007" spans="1:26" ht="15.75" customHeight="1" x14ac:dyDescent="0.2">
      <c r="A1007" s="137"/>
      <c r="B1007" s="137"/>
      <c r="C1007" s="137"/>
      <c r="D1007" s="137"/>
      <c r="E1007" s="137"/>
      <c r="F1007" s="137"/>
      <c r="G1007" s="137"/>
      <c r="H1007" s="137"/>
      <c r="I1007" s="137"/>
      <c r="J1007" s="137"/>
      <c r="K1007" s="137"/>
      <c r="L1007" s="137"/>
      <c r="M1007" s="137"/>
      <c r="N1007" s="137"/>
      <c r="O1007" s="137"/>
      <c r="P1007" s="137"/>
      <c r="Q1007" s="137"/>
      <c r="R1007" s="137"/>
      <c r="S1007" s="137"/>
      <c r="T1007" s="137"/>
      <c r="U1007" s="137"/>
      <c r="V1007" s="137"/>
      <c r="W1007" s="137"/>
      <c r="X1007" s="137"/>
      <c r="Y1007" s="137"/>
      <c r="Z1007" s="137"/>
    </row>
    <row r="1008" spans="1:26" ht="15.75" customHeight="1" x14ac:dyDescent="0.2">
      <c r="A1008" s="137"/>
      <c r="B1008" s="137"/>
      <c r="C1008" s="137"/>
      <c r="D1008" s="137"/>
      <c r="E1008" s="137"/>
      <c r="F1008" s="137"/>
      <c r="G1008" s="137"/>
      <c r="H1008" s="137"/>
      <c r="I1008" s="137"/>
      <c r="J1008" s="137"/>
      <c r="K1008" s="137"/>
      <c r="L1008" s="137"/>
      <c r="M1008" s="137"/>
      <c r="N1008" s="137"/>
      <c r="O1008" s="137"/>
      <c r="P1008" s="137"/>
      <c r="Q1008" s="137"/>
      <c r="R1008" s="137"/>
      <c r="S1008" s="137"/>
      <c r="T1008" s="137"/>
      <c r="U1008" s="137"/>
      <c r="V1008" s="137"/>
      <c r="W1008" s="137"/>
      <c r="X1008" s="137"/>
      <c r="Y1008" s="137"/>
      <c r="Z1008" s="137"/>
    </row>
    <row r="1009" spans="1:26" ht="15.75" customHeight="1" x14ac:dyDescent="0.2">
      <c r="A1009" s="137"/>
      <c r="B1009" s="137"/>
      <c r="C1009" s="137"/>
      <c r="D1009" s="137"/>
      <c r="E1009" s="137"/>
      <c r="F1009" s="137"/>
      <c r="G1009" s="137"/>
      <c r="H1009" s="137"/>
      <c r="I1009" s="137"/>
      <c r="J1009" s="137"/>
      <c r="K1009" s="137"/>
      <c r="L1009" s="137"/>
      <c r="M1009" s="137"/>
      <c r="N1009" s="137"/>
      <c r="O1009" s="137"/>
      <c r="P1009" s="137"/>
      <c r="Q1009" s="137"/>
      <c r="R1009" s="137"/>
      <c r="S1009" s="137"/>
      <c r="T1009" s="137"/>
      <c r="U1009" s="137"/>
      <c r="V1009" s="137"/>
      <c r="W1009" s="137"/>
      <c r="X1009" s="137"/>
      <c r="Y1009" s="137"/>
      <c r="Z1009" s="137"/>
    </row>
    <row r="1010" spans="1:26" ht="15.75" customHeight="1" x14ac:dyDescent="0.2">
      <c r="A1010" s="137"/>
      <c r="B1010" s="137"/>
      <c r="C1010" s="137"/>
      <c r="D1010" s="137"/>
      <c r="E1010" s="137"/>
      <c r="F1010" s="137"/>
      <c r="G1010" s="137"/>
      <c r="H1010" s="137"/>
      <c r="I1010" s="137"/>
      <c r="J1010" s="137"/>
      <c r="K1010" s="137"/>
      <c r="L1010" s="137"/>
      <c r="M1010" s="137"/>
      <c r="N1010" s="137"/>
      <c r="O1010" s="137"/>
      <c r="P1010" s="137"/>
      <c r="Q1010" s="137"/>
      <c r="R1010" s="137"/>
      <c r="S1010" s="137"/>
      <c r="T1010" s="137"/>
      <c r="U1010" s="137"/>
      <c r="V1010" s="137"/>
      <c r="W1010" s="137"/>
      <c r="X1010" s="137"/>
      <c r="Y1010" s="137"/>
      <c r="Z1010" s="137"/>
    </row>
  </sheetData>
  <autoFilter ref="A1:D128" xr:uid="{00000000-0009-0000-0000-000004000000}"/>
  <phoneticPr fontId="44"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1000"/>
  <sheetViews>
    <sheetView workbookViewId="0">
      <selection activeCell="F10" sqref="F10"/>
    </sheetView>
  </sheetViews>
  <sheetFormatPr baseColWidth="10" defaultColWidth="11.1640625" defaultRowHeight="15" customHeight="1" x14ac:dyDescent="0.2"/>
  <cols>
    <col min="1" max="1" width="11.83203125" customWidth="1"/>
    <col min="2" max="2" width="22.83203125" customWidth="1"/>
    <col min="3" max="3" width="27.33203125" customWidth="1"/>
    <col min="4" max="4" width="27.6640625" customWidth="1"/>
    <col min="5" max="6" width="15.83203125" customWidth="1"/>
    <col min="7" max="7" width="13.33203125" customWidth="1"/>
    <col min="8" max="8" width="16.83203125" customWidth="1"/>
    <col min="9" max="21" width="10.83203125" customWidth="1"/>
    <col min="23" max="23" width="25.6640625" customWidth="1"/>
    <col min="24" max="24" width="28.1640625" customWidth="1"/>
    <col min="25" max="25" width="26.1640625" customWidth="1"/>
    <col min="26" max="26" width="27.6640625" customWidth="1"/>
    <col min="27" max="29" width="10.83203125" customWidth="1"/>
    <col min="30" max="30" width="15" customWidth="1"/>
    <col min="31" max="31" width="10.83203125" customWidth="1"/>
    <col min="32" max="32" width="37.33203125" customWidth="1"/>
    <col min="33" max="33" width="29.83203125" customWidth="1"/>
    <col min="34" max="43" width="21.1640625" customWidth="1"/>
    <col min="45" max="45" width="14.83203125" customWidth="1"/>
    <col min="46" max="47" width="8.83203125" customWidth="1"/>
    <col min="48" max="48" width="15" customWidth="1"/>
    <col min="49" max="52" width="8.83203125" customWidth="1"/>
    <col min="53" max="53" width="17.33203125" customWidth="1"/>
    <col min="54" max="56" width="8.83203125" customWidth="1"/>
    <col min="57" max="57" width="20.6640625" customWidth="1"/>
    <col min="58" max="58" width="17.33203125" customWidth="1"/>
    <col min="59" max="59" width="23.33203125" customWidth="1"/>
    <col min="60" max="60" width="13.1640625" customWidth="1"/>
    <col min="61" max="64" width="8.83203125" customWidth="1"/>
    <col min="65" max="67" width="15" customWidth="1"/>
    <col min="68" max="71" width="8.83203125" customWidth="1"/>
    <col min="72" max="72" width="10.33203125" customWidth="1"/>
    <col min="73" max="73" width="9.6640625" customWidth="1"/>
    <col min="74" max="74" width="9.83203125" customWidth="1"/>
    <col min="75" max="75" width="10.33203125" customWidth="1"/>
    <col min="76" max="79" width="22.83203125" customWidth="1"/>
    <col min="80" max="80" width="25.33203125" customWidth="1"/>
    <col min="81" max="104" width="22.83203125" customWidth="1"/>
    <col min="105" max="105" width="25.6640625" customWidth="1"/>
    <col min="106" max="106" width="24" customWidth="1"/>
    <col min="107" max="112" width="25.6640625" customWidth="1"/>
    <col min="113" max="117" width="31.1640625" customWidth="1"/>
    <col min="118" max="147" width="25.6640625" customWidth="1"/>
    <col min="148" max="158" width="14.1640625" customWidth="1"/>
    <col min="159" max="159" width="16.33203125" customWidth="1"/>
    <col min="160" max="173" width="14.1640625" customWidth="1"/>
    <col min="174" max="178" width="8.83203125" customWidth="1"/>
  </cols>
  <sheetData>
    <row r="1" spans="1:178" ht="15.75" customHeight="1" x14ac:dyDescent="0.2"/>
    <row r="2" spans="1:178" ht="39" customHeight="1" x14ac:dyDescent="0.2">
      <c r="A2" s="355" t="s">
        <v>3579</v>
      </c>
      <c r="B2" s="356"/>
      <c r="C2" s="356"/>
      <c r="D2" s="356"/>
      <c r="E2" s="357"/>
      <c r="F2" s="172" t="s">
        <v>3580</v>
      </c>
      <c r="G2" s="173" t="s">
        <v>3581</v>
      </c>
      <c r="H2" s="174" t="s">
        <v>3582</v>
      </c>
      <c r="I2" s="109" t="s">
        <v>3583</v>
      </c>
      <c r="J2" s="173" t="s">
        <v>3584</v>
      </c>
      <c r="K2" s="173" t="s">
        <v>3585</v>
      </c>
      <c r="L2" s="173" t="s">
        <v>3586</v>
      </c>
      <c r="M2" s="173" t="s">
        <v>3586</v>
      </c>
      <c r="N2" s="173" t="s">
        <v>3586</v>
      </c>
      <c r="O2" s="173" t="s">
        <v>3587</v>
      </c>
      <c r="P2" s="173" t="s">
        <v>3587</v>
      </c>
      <c r="Q2" s="173" t="s">
        <v>3587</v>
      </c>
      <c r="R2" s="173" t="s">
        <v>3587</v>
      </c>
      <c r="S2" s="173" t="s">
        <v>3588</v>
      </c>
      <c r="T2" s="173" t="s">
        <v>3588</v>
      </c>
      <c r="U2" s="173" t="s">
        <v>3588</v>
      </c>
      <c r="V2" s="173" t="s">
        <v>3588</v>
      </c>
      <c r="W2" s="173" t="s">
        <v>3589</v>
      </c>
      <c r="X2" s="173" t="s">
        <v>3590</v>
      </c>
      <c r="Y2" s="173" t="s">
        <v>3591</v>
      </c>
      <c r="Z2" s="173" t="s">
        <v>3591</v>
      </c>
      <c r="AA2" s="173" t="s">
        <v>3592</v>
      </c>
      <c r="AB2" s="173" t="s">
        <v>3592</v>
      </c>
      <c r="AC2" s="173" t="s">
        <v>3592</v>
      </c>
      <c r="AD2" s="173" t="s">
        <v>3593</v>
      </c>
      <c r="AE2" s="173" t="s">
        <v>3594</v>
      </c>
      <c r="AF2" s="173" t="s">
        <v>3595</v>
      </c>
      <c r="AG2" s="173" t="s">
        <v>3596</v>
      </c>
      <c r="AH2" s="173" t="s">
        <v>3597</v>
      </c>
      <c r="AI2" s="173" t="s">
        <v>3598</v>
      </c>
      <c r="AJ2" s="173" t="s">
        <v>3599</v>
      </c>
      <c r="AK2" s="173" t="s">
        <v>3600</v>
      </c>
      <c r="AL2" s="173" t="s">
        <v>3601</v>
      </c>
      <c r="AM2" s="173" t="s">
        <v>3602</v>
      </c>
      <c r="AN2" s="173" t="s">
        <v>3603</v>
      </c>
      <c r="AO2" s="173" t="s">
        <v>3604</v>
      </c>
      <c r="AP2" s="173" t="s">
        <v>3605</v>
      </c>
      <c r="AQ2" s="173" t="s">
        <v>3605</v>
      </c>
      <c r="AR2" s="173" t="s">
        <v>3606</v>
      </c>
      <c r="AS2" s="173" t="s">
        <v>3607</v>
      </c>
      <c r="AT2" s="173" t="s">
        <v>3608</v>
      </c>
      <c r="AU2" s="173" t="s">
        <v>3608</v>
      </c>
      <c r="AV2" s="173" t="s">
        <v>3609</v>
      </c>
      <c r="AW2" s="173" t="s">
        <v>3610</v>
      </c>
      <c r="AX2" s="173" t="s">
        <v>3610</v>
      </c>
      <c r="AY2" s="173" t="s">
        <v>3610</v>
      </c>
      <c r="AZ2" s="173" t="s">
        <v>3610</v>
      </c>
      <c r="BA2" s="173" t="s">
        <v>3611</v>
      </c>
      <c r="BB2" s="173" t="s">
        <v>3612</v>
      </c>
      <c r="BC2" s="173" t="s">
        <v>3612</v>
      </c>
      <c r="BD2" s="173" t="s">
        <v>3612</v>
      </c>
      <c r="BE2" s="173" t="s">
        <v>3613</v>
      </c>
      <c r="BF2" s="173" t="s">
        <v>3614</v>
      </c>
      <c r="BG2" s="173" t="s">
        <v>3615</v>
      </c>
      <c r="BH2" s="173" t="s">
        <v>3616</v>
      </c>
      <c r="BI2" s="173" t="s">
        <v>3617</v>
      </c>
      <c r="BJ2" s="173" t="s">
        <v>3617</v>
      </c>
      <c r="BK2" s="173" t="s">
        <v>3617</v>
      </c>
      <c r="BL2" s="173" t="s">
        <v>3617</v>
      </c>
      <c r="BM2" s="173" t="s">
        <v>3618</v>
      </c>
      <c r="BN2" s="175" t="s">
        <v>3619</v>
      </c>
      <c r="BO2" s="173" t="s">
        <v>3620</v>
      </c>
      <c r="BP2" s="173" t="s">
        <v>3621</v>
      </c>
      <c r="BQ2" s="173" t="s">
        <v>3621</v>
      </c>
      <c r="BR2" s="173" t="s">
        <v>3621</v>
      </c>
      <c r="BS2" s="173" t="s">
        <v>3622</v>
      </c>
      <c r="BT2" s="173" t="s">
        <v>3623</v>
      </c>
      <c r="BU2" s="173" t="s">
        <v>3624</v>
      </c>
      <c r="BV2" s="173" t="s">
        <v>3623</v>
      </c>
      <c r="BW2" s="173" t="s">
        <v>3623</v>
      </c>
      <c r="BX2" s="173" t="s">
        <v>3625</v>
      </c>
      <c r="BY2" s="173" t="s">
        <v>3625</v>
      </c>
      <c r="BZ2" s="173" t="s">
        <v>3625</v>
      </c>
      <c r="CA2" s="173" t="s">
        <v>3625</v>
      </c>
      <c r="CB2" s="173" t="s">
        <v>3626</v>
      </c>
      <c r="CC2" s="173" t="s">
        <v>3018</v>
      </c>
      <c r="CD2" s="173" t="s">
        <v>3627</v>
      </c>
      <c r="CE2" s="173" t="s">
        <v>3627</v>
      </c>
      <c r="CF2" s="173" t="s">
        <v>2962</v>
      </c>
      <c r="CG2" s="173" t="s">
        <v>2962</v>
      </c>
      <c r="CH2" s="173" t="s">
        <v>3628</v>
      </c>
      <c r="CI2" s="173" t="s">
        <v>3628</v>
      </c>
      <c r="CJ2" s="173" t="s">
        <v>3629</v>
      </c>
      <c r="CK2" s="173" t="s">
        <v>3629</v>
      </c>
      <c r="CL2" s="173" t="s">
        <v>3630</v>
      </c>
      <c r="CM2" s="173" t="s">
        <v>3631</v>
      </c>
      <c r="CN2" s="173" t="s">
        <v>3631</v>
      </c>
      <c r="CO2" s="173" t="s">
        <v>3632</v>
      </c>
      <c r="CP2" s="173" t="s">
        <v>3633</v>
      </c>
      <c r="CQ2" s="173" t="s">
        <v>3634</v>
      </c>
      <c r="CR2" s="173" t="s">
        <v>3635</v>
      </c>
      <c r="CS2" s="173" t="s">
        <v>3635</v>
      </c>
      <c r="CT2" s="173" t="s">
        <v>3636</v>
      </c>
      <c r="CU2" s="173" t="s">
        <v>3636</v>
      </c>
      <c r="CV2" s="173" t="s">
        <v>3636</v>
      </c>
      <c r="CW2" s="173" t="s">
        <v>3636</v>
      </c>
      <c r="CX2" s="173" t="s">
        <v>3636</v>
      </c>
      <c r="CY2" s="173" t="s">
        <v>3637</v>
      </c>
      <c r="CZ2" s="173" t="s">
        <v>3637</v>
      </c>
      <c r="DA2" s="173" t="s">
        <v>3638</v>
      </c>
      <c r="DB2" s="173" t="s">
        <v>3639</v>
      </c>
      <c r="DC2" s="173" t="s">
        <v>3640</v>
      </c>
      <c r="DD2" s="173" t="s">
        <v>3641</v>
      </c>
      <c r="DE2" s="173" t="s">
        <v>3642</v>
      </c>
      <c r="DF2" s="173" t="s">
        <v>3643</v>
      </c>
      <c r="DG2" s="173" t="s">
        <v>3644</v>
      </c>
      <c r="DH2" s="173" t="s">
        <v>3644</v>
      </c>
      <c r="DI2" s="173" t="s">
        <v>3645</v>
      </c>
      <c r="DJ2" s="173" t="s">
        <v>3645</v>
      </c>
      <c r="DK2" s="173" t="s">
        <v>3645</v>
      </c>
      <c r="DL2" s="173" t="s">
        <v>3645</v>
      </c>
      <c r="DM2" s="173" t="s">
        <v>3645</v>
      </c>
      <c r="DN2" s="173" t="s">
        <v>3646</v>
      </c>
      <c r="DO2" s="173" t="s">
        <v>3647</v>
      </c>
      <c r="DP2" s="173" t="s">
        <v>3647</v>
      </c>
      <c r="DQ2" s="173" t="s">
        <v>3647</v>
      </c>
      <c r="DR2" s="173" t="s">
        <v>3648</v>
      </c>
      <c r="DS2" s="173" t="s">
        <v>3648</v>
      </c>
      <c r="DT2" s="173" t="s">
        <v>3648</v>
      </c>
      <c r="DU2" s="173" t="s">
        <v>3648</v>
      </c>
      <c r="DV2" s="173" t="s">
        <v>3648</v>
      </c>
      <c r="DW2" s="173" t="s">
        <v>3649</v>
      </c>
      <c r="DX2" s="173" t="s">
        <v>3649</v>
      </c>
      <c r="DY2" s="173" t="s">
        <v>3650</v>
      </c>
      <c r="DZ2" s="173" t="s">
        <v>3650</v>
      </c>
      <c r="EA2" s="173" t="s">
        <v>3651</v>
      </c>
      <c r="EB2" s="173" t="s">
        <v>3651</v>
      </c>
      <c r="EC2" s="173" t="s">
        <v>3652</v>
      </c>
      <c r="ED2" s="173" t="s">
        <v>3652</v>
      </c>
      <c r="EE2" s="173" t="s">
        <v>3652</v>
      </c>
      <c r="EF2" s="173" t="s">
        <v>3652</v>
      </c>
      <c r="EG2" s="173" t="s">
        <v>3653</v>
      </c>
      <c r="EH2" s="173" t="s">
        <v>3653</v>
      </c>
      <c r="EI2" s="173" t="s">
        <v>3654</v>
      </c>
      <c r="EJ2" s="173" t="s">
        <v>3654</v>
      </c>
      <c r="EK2" s="173" t="s">
        <v>3655</v>
      </c>
      <c r="EL2" s="173" t="s">
        <v>3655</v>
      </c>
      <c r="EM2" s="173" t="s">
        <v>3655</v>
      </c>
      <c r="EN2" s="173" t="s">
        <v>3655</v>
      </c>
      <c r="EO2" s="173" t="s">
        <v>3655</v>
      </c>
      <c r="EP2" s="173" t="s">
        <v>3655</v>
      </c>
      <c r="EQ2" s="173" t="s">
        <v>3655</v>
      </c>
      <c r="ER2" s="173" t="s">
        <v>3656</v>
      </c>
      <c r="ES2" s="173" t="s">
        <v>3656</v>
      </c>
      <c r="ET2" s="173" t="s">
        <v>3657</v>
      </c>
      <c r="EU2" s="173" t="s">
        <v>3658</v>
      </c>
      <c r="EV2" s="173" t="s">
        <v>3659</v>
      </c>
      <c r="EW2" s="173" t="s">
        <v>3660</v>
      </c>
      <c r="EX2" s="173" t="s">
        <v>3660</v>
      </c>
      <c r="EY2" s="173" t="s">
        <v>3660</v>
      </c>
      <c r="EZ2" s="173" t="s">
        <v>3660</v>
      </c>
      <c r="FA2" s="173" t="s">
        <v>3661</v>
      </c>
      <c r="FB2" s="173" t="s">
        <v>3662</v>
      </c>
      <c r="FC2" s="173" t="s">
        <v>3663</v>
      </c>
      <c r="FD2" s="173" t="s">
        <v>3664</v>
      </c>
      <c r="FE2" s="173" t="s">
        <v>3665</v>
      </c>
      <c r="FF2" s="173" t="s">
        <v>3666</v>
      </c>
      <c r="FG2" s="173" t="s">
        <v>3667</v>
      </c>
      <c r="FH2" s="173" t="s">
        <v>3668</v>
      </c>
      <c r="FI2" s="173" t="s">
        <v>3669</v>
      </c>
      <c r="FJ2" s="173" t="s">
        <v>3670</v>
      </c>
      <c r="FK2" s="173" t="s">
        <v>3671</v>
      </c>
      <c r="FL2" s="173" t="s">
        <v>3672</v>
      </c>
      <c r="FM2" s="173" t="s">
        <v>3673</v>
      </c>
      <c r="FN2" s="173" t="s">
        <v>3674</v>
      </c>
      <c r="FO2" s="173" t="s">
        <v>3675</v>
      </c>
      <c r="FP2" s="173" t="s">
        <v>3676</v>
      </c>
      <c r="FQ2" s="173" t="s">
        <v>3677</v>
      </c>
      <c r="FR2" s="176"/>
      <c r="FS2" s="176"/>
      <c r="FT2" s="176"/>
      <c r="FU2" s="176"/>
      <c r="FV2" s="176"/>
    </row>
    <row r="3" spans="1:178" ht="15.75" customHeight="1" x14ac:dyDescent="0.2">
      <c r="A3" s="358" t="s">
        <v>3678</v>
      </c>
      <c r="B3" s="358" t="s">
        <v>1</v>
      </c>
      <c r="C3" s="358" t="s">
        <v>3679</v>
      </c>
      <c r="D3" s="358" t="s">
        <v>3680</v>
      </c>
      <c r="E3" s="358" t="s">
        <v>3681</v>
      </c>
      <c r="F3" s="172" t="s">
        <v>12</v>
      </c>
      <c r="G3" s="177" t="s">
        <v>3682</v>
      </c>
      <c r="H3" s="178" t="s">
        <v>3683</v>
      </c>
      <c r="I3" s="177" t="s">
        <v>3684</v>
      </c>
      <c r="J3" s="177" t="s">
        <v>3685</v>
      </c>
      <c r="K3" s="177" t="s">
        <v>3686</v>
      </c>
      <c r="L3" s="177" t="s">
        <v>3687</v>
      </c>
      <c r="M3" s="177" t="s">
        <v>3688</v>
      </c>
      <c r="N3" s="177" t="s">
        <v>3689</v>
      </c>
      <c r="O3" s="177" t="s">
        <v>3690</v>
      </c>
      <c r="P3" s="177" t="s">
        <v>3691</v>
      </c>
      <c r="Q3" s="177" t="s">
        <v>3692</v>
      </c>
      <c r="R3" s="177" t="s">
        <v>3693</v>
      </c>
      <c r="S3" s="177" t="s">
        <v>3694</v>
      </c>
      <c r="T3" s="177" t="s">
        <v>3695</v>
      </c>
      <c r="U3" s="177" t="s">
        <v>3696</v>
      </c>
      <c r="V3" s="177" t="s">
        <v>3697</v>
      </c>
      <c r="W3" s="177" t="s">
        <v>3698</v>
      </c>
      <c r="X3" s="177" t="s">
        <v>3699</v>
      </c>
      <c r="Y3" s="177" t="s">
        <v>3700</v>
      </c>
      <c r="Z3" s="177" t="s">
        <v>3701</v>
      </c>
      <c r="AA3" s="177" t="s">
        <v>3702</v>
      </c>
      <c r="AB3" s="177" t="s">
        <v>3703</v>
      </c>
      <c r="AC3" s="177" t="s">
        <v>3704</v>
      </c>
      <c r="AD3" s="177" t="s">
        <v>3705</v>
      </c>
      <c r="AE3" s="177" t="s">
        <v>3706</v>
      </c>
      <c r="AF3" s="177" t="s">
        <v>3707</v>
      </c>
      <c r="AG3" s="177" t="s">
        <v>3708</v>
      </c>
      <c r="AH3" s="177" t="s">
        <v>3709</v>
      </c>
      <c r="AI3" s="177" t="s">
        <v>3710</v>
      </c>
      <c r="AJ3" s="177" t="s">
        <v>3711</v>
      </c>
      <c r="AK3" s="177" t="s">
        <v>3712</v>
      </c>
      <c r="AL3" s="177" t="s">
        <v>3713</v>
      </c>
      <c r="AM3" s="177" t="s">
        <v>3714</v>
      </c>
      <c r="AN3" s="177" t="s">
        <v>3715</v>
      </c>
      <c r="AO3" s="177" t="s">
        <v>3716</v>
      </c>
      <c r="AP3" s="179" t="s">
        <v>3717</v>
      </c>
      <c r="AQ3" s="179" t="s">
        <v>3718</v>
      </c>
      <c r="AR3" s="177" t="s">
        <v>3719</v>
      </c>
      <c r="AS3" s="109" t="s">
        <v>3720</v>
      </c>
      <c r="AT3" s="109" t="s">
        <v>3721</v>
      </c>
      <c r="AU3" s="109" t="s">
        <v>3722</v>
      </c>
      <c r="AV3" s="109" t="s">
        <v>3723</v>
      </c>
      <c r="AW3" s="109" t="s">
        <v>3724</v>
      </c>
      <c r="AX3" s="109" t="s">
        <v>3725</v>
      </c>
      <c r="AY3" s="109" t="s">
        <v>3726</v>
      </c>
      <c r="AZ3" s="109" t="s">
        <v>3727</v>
      </c>
      <c r="BA3" s="177" t="s">
        <v>3728</v>
      </c>
      <c r="BB3" s="177" t="s">
        <v>3729</v>
      </c>
      <c r="BC3" s="177" t="s">
        <v>3730</v>
      </c>
      <c r="BD3" s="177" t="s">
        <v>3731</v>
      </c>
      <c r="BE3" s="177" t="s">
        <v>3732</v>
      </c>
      <c r="BF3" s="177" t="s">
        <v>3733</v>
      </c>
      <c r="BG3" s="177" t="s">
        <v>3734</v>
      </c>
      <c r="BH3" s="177" t="s">
        <v>3735</v>
      </c>
      <c r="BI3" s="177" t="s">
        <v>3736</v>
      </c>
      <c r="BJ3" s="177" t="s">
        <v>3737</v>
      </c>
      <c r="BK3" s="177" t="s">
        <v>3738</v>
      </c>
      <c r="BL3" s="177" t="s">
        <v>3739</v>
      </c>
      <c r="BM3" s="177" t="s">
        <v>3740</v>
      </c>
      <c r="BN3" s="177" t="s">
        <v>3741</v>
      </c>
      <c r="BO3" s="177" t="s">
        <v>3742</v>
      </c>
      <c r="BP3" s="177" t="s">
        <v>3743</v>
      </c>
      <c r="BQ3" s="177" t="s">
        <v>3744</v>
      </c>
      <c r="BR3" s="177" t="s">
        <v>3745</v>
      </c>
      <c r="BS3" s="177" t="s">
        <v>3746</v>
      </c>
      <c r="BT3" s="177" t="s">
        <v>3747</v>
      </c>
      <c r="BU3" s="177" t="s">
        <v>3748</v>
      </c>
      <c r="BV3" s="177" t="s">
        <v>3749</v>
      </c>
      <c r="BW3" s="177" t="s">
        <v>3750</v>
      </c>
      <c r="BX3" s="177" t="s">
        <v>3751</v>
      </c>
      <c r="BY3" s="177" t="s">
        <v>3752</v>
      </c>
      <c r="BZ3" s="177" t="s">
        <v>3753</v>
      </c>
      <c r="CA3" s="177" t="s">
        <v>3754</v>
      </c>
      <c r="CB3" s="177" t="s">
        <v>3755</v>
      </c>
      <c r="CC3" s="177" t="s">
        <v>3756</v>
      </c>
      <c r="CD3" s="109" t="s">
        <v>3757</v>
      </c>
      <c r="CE3" s="109" t="s">
        <v>3758</v>
      </c>
      <c r="CF3" s="109" t="s">
        <v>3759</v>
      </c>
      <c r="CG3" s="109" t="s">
        <v>3760</v>
      </c>
      <c r="CH3" s="177" t="s">
        <v>3761</v>
      </c>
      <c r="CI3" s="177" t="s">
        <v>3762</v>
      </c>
      <c r="CJ3" s="177" t="s">
        <v>3763</v>
      </c>
      <c r="CK3" s="177" t="s">
        <v>3764</v>
      </c>
      <c r="CL3" s="177" t="s">
        <v>2798</v>
      </c>
      <c r="CM3" s="177" t="s">
        <v>3765</v>
      </c>
      <c r="CN3" s="177" t="s">
        <v>3766</v>
      </c>
      <c r="CO3" s="177" t="s">
        <v>3767</v>
      </c>
      <c r="CP3" s="177" t="s">
        <v>2798</v>
      </c>
      <c r="CQ3" s="177" t="s">
        <v>3768</v>
      </c>
      <c r="CR3" s="177" t="s">
        <v>3765</v>
      </c>
      <c r="CS3" s="177" t="s">
        <v>2983</v>
      </c>
      <c r="CT3" s="177" t="s">
        <v>3769</v>
      </c>
      <c r="CU3" s="177" t="s">
        <v>2998</v>
      </c>
      <c r="CV3" s="177" t="s">
        <v>3770</v>
      </c>
      <c r="CW3" s="177" t="s">
        <v>3771</v>
      </c>
      <c r="CX3" s="177" t="s">
        <v>3772</v>
      </c>
      <c r="CY3" s="177" t="s">
        <v>3773</v>
      </c>
      <c r="CZ3" s="177" t="s">
        <v>3004</v>
      </c>
      <c r="DA3" s="177" t="s">
        <v>3774</v>
      </c>
      <c r="DB3" s="177" t="s">
        <v>3775</v>
      </c>
      <c r="DC3" s="177" t="s">
        <v>3776</v>
      </c>
      <c r="DD3" s="177" t="s">
        <v>3777</v>
      </c>
      <c r="DE3" s="177" t="s">
        <v>3778</v>
      </c>
      <c r="DF3" s="177" t="s">
        <v>3779</v>
      </c>
      <c r="DG3" s="177" t="s">
        <v>3780</v>
      </c>
      <c r="DH3" s="177" t="s">
        <v>3781</v>
      </c>
      <c r="DI3" s="177" t="s">
        <v>3782</v>
      </c>
      <c r="DJ3" s="177" t="s">
        <v>3783</v>
      </c>
      <c r="DK3" s="177" t="s">
        <v>3784</v>
      </c>
      <c r="DL3" s="177" t="s">
        <v>3785</v>
      </c>
      <c r="DM3" s="177" t="s">
        <v>3783</v>
      </c>
      <c r="DN3" s="177" t="s">
        <v>3786</v>
      </c>
      <c r="DO3" s="177" t="s">
        <v>3787</v>
      </c>
      <c r="DP3" s="177" t="s">
        <v>3788</v>
      </c>
      <c r="DQ3" s="177" t="s">
        <v>3789</v>
      </c>
      <c r="DR3" s="177" t="s">
        <v>3790</v>
      </c>
      <c r="DS3" s="177" t="s">
        <v>3791</v>
      </c>
      <c r="DT3" s="177" t="s">
        <v>3792</v>
      </c>
      <c r="DU3" s="177" t="s">
        <v>3793</v>
      </c>
      <c r="DV3" s="177" t="s">
        <v>3794</v>
      </c>
      <c r="DW3" s="177" t="s">
        <v>2987</v>
      </c>
      <c r="DX3" s="177" t="s">
        <v>2678</v>
      </c>
      <c r="DY3" s="177" t="s">
        <v>3795</v>
      </c>
      <c r="DZ3" s="177" t="s">
        <v>2789</v>
      </c>
      <c r="EA3" s="177" t="s">
        <v>3796</v>
      </c>
      <c r="EB3" s="177" t="s">
        <v>3797</v>
      </c>
      <c r="EC3" s="177" t="s">
        <v>3798</v>
      </c>
      <c r="ED3" s="177" t="s">
        <v>3799</v>
      </c>
      <c r="EE3" s="177" t="s">
        <v>3800</v>
      </c>
      <c r="EF3" s="177" t="s">
        <v>3801</v>
      </c>
      <c r="EG3" s="177" t="s">
        <v>2991</v>
      </c>
      <c r="EH3" s="177" t="s">
        <v>3802</v>
      </c>
      <c r="EI3" s="177" t="s">
        <v>3803</v>
      </c>
      <c r="EJ3" s="177" t="s">
        <v>3804</v>
      </c>
      <c r="EK3" s="177" t="s">
        <v>3805</v>
      </c>
      <c r="EL3" s="177" t="s">
        <v>3806</v>
      </c>
      <c r="EM3" s="177" t="s">
        <v>3807</v>
      </c>
      <c r="EN3" s="177" t="s">
        <v>3808</v>
      </c>
      <c r="EO3" s="177" t="s">
        <v>3809</v>
      </c>
      <c r="EP3" s="177" t="s">
        <v>3810</v>
      </c>
      <c r="EQ3" s="177" t="s">
        <v>3811</v>
      </c>
      <c r="ER3" s="177" t="s">
        <v>3812</v>
      </c>
      <c r="ES3" s="177" t="s">
        <v>3813</v>
      </c>
      <c r="ET3" s="177" t="s">
        <v>3814</v>
      </c>
      <c r="EU3" s="177" t="s">
        <v>3815</v>
      </c>
      <c r="EV3" s="177" t="s">
        <v>3816</v>
      </c>
      <c r="EW3" s="177" t="s">
        <v>3817</v>
      </c>
      <c r="EX3" s="177" t="s">
        <v>3818</v>
      </c>
      <c r="EY3" s="177" t="s">
        <v>3819</v>
      </c>
      <c r="EZ3" s="177" t="s">
        <v>3820</v>
      </c>
      <c r="FA3" s="177" t="s">
        <v>3821</v>
      </c>
      <c r="FB3" s="177" t="s">
        <v>3822</v>
      </c>
      <c r="FC3" s="177" t="s">
        <v>3823</v>
      </c>
      <c r="FD3" s="177" t="s">
        <v>3824</v>
      </c>
      <c r="FE3" s="177" t="s">
        <v>3825</v>
      </c>
      <c r="FF3" s="177" t="s">
        <v>3826</v>
      </c>
      <c r="FG3" s="177" t="s">
        <v>3827</v>
      </c>
      <c r="FH3" s="177" t="s">
        <v>3828</v>
      </c>
      <c r="FI3" s="177" t="s">
        <v>3829</v>
      </c>
      <c r="FJ3" s="177" t="s">
        <v>3830</v>
      </c>
      <c r="FK3" s="109" t="s">
        <v>3831</v>
      </c>
      <c r="FL3" s="177" t="s">
        <v>3832</v>
      </c>
      <c r="FM3" s="177" t="s">
        <v>3833</v>
      </c>
      <c r="FN3" s="177" t="s">
        <v>3834</v>
      </c>
      <c r="FO3" s="177" t="s">
        <v>3835</v>
      </c>
      <c r="FP3" s="177" t="s">
        <v>3836</v>
      </c>
      <c r="FQ3" s="109" t="s">
        <v>3837</v>
      </c>
      <c r="FR3" s="180"/>
      <c r="FS3" s="180"/>
      <c r="FT3" s="180"/>
      <c r="FU3" s="180"/>
      <c r="FV3" s="180"/>
    </row>
    <row r="4" spans="1:178" ht="35.25" customHeight="1" x14ac:dyDescent="0.2">
      <c r="A4" s="359"/>
      <c r="B4" s="359"/>
      <c r="C4" s="359"/>
      <c r="D4" s="359"/>
      <c r="E4" s="359"/>
      <c r="F4" s="172" t="s">
        <v>3838</v>
      </c>
      <c r="G4" s="109"/>
      <c r="H4" s="181"/>
      <c r="I4" s="182" t="s">
        <v>3583</v>
      </c>
      <c r="J4" s="182" t="s">
        <v>3583</v>
      </c>
      <c r="K4" s="182" t="s">
        <v>3583</v>
      </c>
      <c r="L4" s="109"/>
      <c r="M4" s="109"/>
      <c r="N4" s="109"/>
      <c r="O4" s="109"/>
      <c r="P4" s="109"/>
      <c r="Q4" s="109"/>
      <c r="R4" s="109"/>
      <c r="S4" s="109"/>
      <c r="T4" s="109"/>
      <c r="U4" s="109"/>
      <c r="V4" s="109"/>
      <c r="W4" s="182" t="s">
        <v>3839</v>
      </c>
      <c r="X4" s="182" t="s">
        <v>3840</v>
      </c>
      <c r="Y4" s="182" t="s">
        <v>3841</v>
      </c>
      <c r="Z4" s="182" t="s">
        <v>3841</v>
      </c>
      <c r="AA4" s="109"/>
      <c r="AB4" s="109"/>
      <c r="AC4" s="109"/>
      <c r="AD4" s="109"/>
      <c r="AE4" s="109"/>
      <c r="AF4" s="182" t="s">
        <v>3842</v>
      </c>
      <c r="AG4" s="183" t="s">
        <v>3843</v>
      </c>
      <c r="AH4" s="183" t="s">
        <v>3843</v>
      </c>
      <c r="AI4" s="183" t="s">
        <v>3843</v>
      </c>
      <c r="AJ4" s="183" t="s">
        <v>3843</v>
      </c>
      <c r="AK4" s="183" t="s">
        <v>3843</v>
      </c>
      <c r="AL4" s="183" t="s">
        <v>3843</v>
      </c>
      <c r="AM4" s="183" t="s">
        <v>3843</v>
      </c>
      <c r="AN4" s="183" t="s">
        <v>3843</v>
      </c>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82" t="s">
        <v>3844</v>
      </c>
      <c r="CE4" s="182" t="s">
        <v>3844</v>
      </c>
      <c r="CF4" s="182" t="s">
        <v>3844</v>
      </c>
      <c r="CG4" s="182" t="s">
        <v>3844</v>
      </c>
      <c r="CH4" s="109"/>
      <c r="CI4" s="109"/>
      <c r="CJ4" s="109"/>
      <c r="CK4" s="109"/>
      <c r="CL4" s="182" t="s">
        <v>3036</v>
      </c>
      <c r="CM4" s="182" t="s">
        <v>3036</v>
      </c>
      <c r="CN4" s="182" t="s">
        <v>3036</v>
      </c>
      <c r="CO4" s="183" t="s">
        <v>3845</v>
      </c>
      <c r="CP4" s="183" t="s">
        <v>3845</v>
      </c>
      <c r="CQ4" s="183" t="s">
        <v>3845</v>
      </c>
      <c r="CR4" s="183" t="s">
        <v>3845</v>
      </c>
      <c r="CS4" s="183" t="s">
        <v>3845</v>
      </c>
      <c r="CT4" s="109"/>
      <c r="CU4" s="109"/>
      <c r="CV4" s="109"/>
      <c r="CW4" s="109"/>
      <c r="CX4" s="109"/>
      <c r="CY4" s="109"/>
      <c r="CZ4" s="109"/>
      <c r="DA4" s="183" t="s">
        <v>3846</v>
      </c>
      <c r="DB4" s="183" t="s">
        <v>3846</v>
      </c>
      <c r="DC4" s="183" t="s">
        <v>3846</v>
      </c>
      <c r="DD4" s="183" t="s">
        <v>3847</v>
      </c>
      <c r="DE4" s="183" t="s">
        <v>3847</v>
      </c>
      <c r="DF4" s="182" t="s">
        <v>3848</v>
      </c>
      <c r="DG4" s="182" t="s">
        <v>3848</v>
      </c>
      <c r="DH4" s="182" t="s">
        <v>3848</v>
      </c>
      <c r="DI4" s="182" t="s">
        <v>3849</v>
      </c>
      <c r="DJ4" s="182" t="s">
        <v>3849</v>
      </c>
      <c r="DK4" s="182" t="s">
        <v>3849</v>
      </c>
      <c r="DL4" s="182" t="s">
        <v>3849</v>
      </c>
      <c r="DM4" s="182" t="s">
        <v>3849</v>
      </c>
      <c r="DN4" s="183" t="s">
        <v>3850</v>
      </c>
      <c r="DO4" s="109"/>
      <c r="DP4" s="109"/>
      <c r="DQ4" s="109"/>
      <c r="DR4" s="182" t="s">
        <v>3851</v>
      </c>
      <c r="DS4" s="182" t="s">
        <v>3851</v>
      </c>
      <c r="DT4" s="182" t="s">
        <v>3851</v>
      </c>
      <c r="DU4" s="182" t="s">
        <v>3851</v>
      </c>
      <c r="DV4" s="182" t="s">
        <v>3851</v>
      </c>
      <c r="DW4" s="182" t="s">
        <v>3851</v>
      </c>
      <c r="DX4" s="182" t="s">
        <v>3851</v>
      </c>
      <c r="DY4" s="109"/>
      <c r="DZ4" s="109"/>
      <c r="EA4" s="109"/>
      <c r="EB4" s="109"/>
      <c r="EC4" s="182" t="s">
        <v>3852</v>
      </c>
      <c r="ED4" s="182" t="s">
        <v>3852</v>
      </c>
      <c r="EE4" s="182" t="s">
        <v>3852</v>
      </c>
      <c r="EF4" s="182" t="s">
        <v>3852</v>
      </c>
      <c r="EG4" s="109" t="s">
        <v>3653</v>
      </c>
      <c r="EH4" s="109" t="s">
        <v>3653</v>
      </c>
      <c r="EI4" s="109"/>
      <c r="EJ4" s="109"/>
      <c r="EK4" s="183" t="s">
        <v>3853</v>
      </c>
      <c r="EL4" s="183" t="s">
        <v>3853</v>
      </c>
      <c r="EM4" s="183" t="s">
        <v>3853</v>
      </c>
      <c r="EN4" s="183" t="s">
        <v>3853</v>
      </c>
      <c r="EO4" s="183" t="s">
        <v>3853</v>
      </c>
      <c r="EP4" s="183" t="s">
        <v>3853</v>
      </c>
      <c r="EQ4" s="183" t="s">
        <v>3853</v>
      </c>
      <c r="ER4" s="109"/>
      <c r="ES4" s="109"/>
      <c r="ET4" s="109"/>
      <c r="EU4" s="109"/>
      <c r="EV4" s="109"/>
      <c r="EW4" s="109"/>
      <c r="EX4" s="109"/>
      <c r="EY4" s="109"/>
      <c r="EZ4" s="109"/>
      <c r="FA4" s="109"/>
      <c r="FB4" s="109"/>
      <c r="FC4" s="109"/>
      <c r="FD4" s="109"/>
      <c r="FE4" s="109"/>
      <c r="FF4" s="109"/>
      <c r="FG4" s="109"/>
      <c r="FH4" s="109"/>
      <c r="FI4" s="109"/>
      <c r="FJ4" s="109"/>
      <c r="FK4" s="109"/>
      <c r="FL4" s="109"/>
      <c r="FM4" s="109"/>
      <c r="FN4" s="109"/>
      <c r="FO4" s="109"/>
      <c r="FP4" s="109"/>
      <c r="FQ4" s="109"/>
      <c r="FR4" s="184"/>
      <c r="FS4" s="184"/>
      <c r="FT4" s="184"/>
      <c r="FU4" s="184"/>
      <c r="FV4" s="184"/>
    </row>
    <row r="5" spans="1:178" ht="15.75" customHeight="1" x14ac:dyDescent="0.2">
      <c r="A5" s="185">
        <v>1</v>
      </c>
      <c r="B5" s="185">
        <v>2</v>
      </c>
      <c r="C5" s="185">
        <v>3</v>
      </c>
      <c r="D5" s="185">
        <v>4</v>
      </c>
      <c r="E5" s="185">
        <v>5</v>
      </c>
      <c r="F5" s="185">
        <v>6</v>
      </c>
      <c r="G5" s="185">
        <v>7</v>
      </c>
      <c r="H5" s="185">
        <v>8</v>
      </c>
      <c r="I5" s="185">
        <v>9</v>
      </c>
      <c r="J5" s="185">
        <v>10</v>
      </c>
      <c r="K5" s="185">
        <v>11</v>
      </c>
      <c r="L5" s="185">
        <v>12</v>
      </c>
      <c r="M5" s="185">
        <v>13</v>
      </c>
      <c r="N5" s="185">
        <v>14</v>
      </c>
      <c r="O5" s="185">
        <v>15</v>
      </c>
      <c r="P5" s="185">
        <v>16</v>
      </c>
      <c r="Q5" s="185">
        <v>17</v>
      </c>
      <c r="R5" s="185">
        <v>18</v>
      </c>
      <c r="S5" s="185">
        <v>19</v>
      </c>
      <c r="T5" s="185">
        <v>20</v>
      </c>
      <c r="U5" s="185">
        <v>21</v>
      </c>
      <c r="V5" s="185">
        <v>22</v>
      </c>
      <c r="W5" s="185">
        <v>23</v>
      </c>
      <c r="X5" s="185">
        <v>24</v>
      </c>
      <c r="Y5" s="185">
        <v>25</v>
      </c>
      <c r="Z5" s="185">
        <v>26</v>
      </c>
      <c r="AA5" s="185">
        <v>27</v>
      </c>
      <c r="AB5" s="185">
        <v>28</v>
      </c>
      <c r="AC5" s="185">
        <v>29</v>
      </c>
      <c r="AD5" s="185">
        <v>30</v>
      </c>
      <c r="AE5" s="185">
        <v>31</v>
      </c>
      <c r="AF5" s="185">
        <v>32</v>
      </c>
      <c r="AG5" s="185">
        <v>33</v>
      </c>
      <c r="AH5" s="185">
        <v>34</v>
      </c>
      <c r="AI5" s="185">
        <v>35</v>
      </c>
      <c r="AJ5" s="185">
        <v>36</v>
      </c>
      <c r="AK5" s="185">
        <v>37</v>
      </c>
      <c r="AL5" s="185">
        <v>38</v>
      </c>
      <c r="AM5" s="185">
        <v>39</v>
      </c>
      <c r="AN5" s="185">
        <v>40</v>
      </c>
      <c r="AO5" s="185">
        <v>41</v>
      </c>
      <c r="AP5" s="185">
        <v>42</v>
      </c>
      <c r="AQ5" s="185">
        <v>43</v>
      </c>
      <c r="AR5" s="185">
        <v>44</v>
      </c>
      <c r="AS5" s="185">
        <v>45</v>
      </c>
      <c r="AT5" s="185">
        <v>46</v>
      </c>
      <c r="AU5" s="185">
        <v>47</v>
      </c>
      <c r="AV5" s="185">
        <v>48</v>
      </c>
      <c r="AW5" s="185">
        <v>49</v>
      </c>
      <c r="AX5" s="185">
        <v>50</v>
      </c>
      <c r="AY5" s="185">
        <v>51</v>
      </c>
      <c r="AZ5" s="185">
        <v>52</v>
      </c>
      <c r="BA5" s="185">
        <v>53</v>
      </c>
      <c r="BB5" s="185">
        <v>54</v>
      </c>
      <c r="BC5" s="185">
        <v>55</v>
      </c>
      <c r="BD5" s="185">
        <v>56</v>
      </c>
      <c r="BE5" s="185">
        <v>57</v>
      </c>
      <c r="BF5" s="185">
        <v>58</v>
      </c>
      <c r="BG5" s="185">
        <v>59</v>
      </c>
      <c r="BH5" s="185">
        <v>60</v>
      </c>
      <c r="BI5" s="185">
        <v>61</v>
      </c>
      <c r="BJ5" s="185">
        <v>62</v>
      </c>
      <c r="BK5" s="185">
        <v>63</v>
      </c>
      <c r="BL5" s="185">
        <v>64</v>
      </c>
      <c r="BM5" s="185">
        <v>65</v>
      </c>
      <c r="BN5" s="185">
        <v>66</v>
      </c>
      <c r="BO5" s="185">
        <v>67</v>
      </c>
      <c r="BP5" s="185">
        <v>68</v>
      </c>
      <c r="BQ5" s="185">
        <v>69</v>
      </c>
      <c r="BR5" s="185">
        <v>70</v>
      </c>
      <c r="BS5" s="185">
        <v>71</v>
      </c>
      <c r="BT5" s="185">
        <v>72</v>
      </c>
      <c r="BU5" s="185">
        <v>73</v>
      </c>
      <c r="BV5" s="185">
        <v>74</v>
      </c>
      <c r="BW5" s="185">
        <v>75</v>
      </c>
      <c r="BX5" s="185">
        <v>76</v>
      </c>
      <c r="BY5" s="185">
        <v>77</v>
      </c>
      <c r="BZ5" s="185">
        <v>78</v>
      </c>
      <c r="CA5" s="185">
        <v>79</v>
      </c>
      <c r="CB5" s="185">
        <v>80</v>
      </c>
      <c r="CC5" s="185">
        <v>81</v>
      </c>
      <c r="CD5" s="185">
        <v>82</v>
      </c>
      <c r="CE5" s="185">
        <v>83</v>
      </c>
      <c r="CF5" s="185">
        <v>84</v>
      </c>
      <c r="CG5" s="185">
        <v>85</v>
      </c>
      <c r="CH5" s="185">
        <v>86</v>
      </c>
      <c r="CI5" s="185">
        <v>87</v>
      </c>
      <c r="CJ5" s="185">
        <v>88</v>
      </c>
      <c r="CK5" s="185">
        <v>89</v>
      </c>
      <c r="CL5" s="185">
        <v>90</v>
      </c>
      <c r="CM5" s="185">
        <v>91</v>
      </c>
      <c r="CN5" s="185">
        <v>92</v>
      </c>
      <c r="CO5" s="185">
        <v>93</v>
      </c>
      <c r="CP5" s="185">
        <v>94</v>
      </c>
      <c r="CQ5" s="185">
        <v>95</v>
      </c>
      <c r="CR5" s="185">
        <v>96</v>
      </c>
      <c r="CS5" s="185">
        <v>97</v>
      </c>
      <c r="CT5" s="185">
        <v>98</v>
      </c>
      <c r="CU5" s="185">
        <v>99</v>
      </c>
      <c r="CV5" s="185">
        <v>100</v>
      </c>
      <c r="CW5" s="185">
        <v>101</v>
      </c>
      <c r="CX5" s="185">
        <v>102</v>
      </c>
      <c r="CY5" s="185">
        <v>103</v>
      </c>
      <c r="CZ5" s="185">
        <v>104</v>
      </c>
      <c r="DA5" s="185">
        <v>105</v>
      </c>
      <c r="DB5" s="185">
        <v>106</v>
      </c>
      <c r="DC5" s="185">
        <v>107</v>
      </c>
      <c r="DD5" s="185">
        <v>108</v>
      </c>
      <c r="DE5" s="185">
        <v>109</v>
      </c>
      <c r="DF5" s="185">
        <v>110</v>
      </c>
      <c r="DG5" s="185">
        <v>111</v>
      </c>
      <c r="DH5" s="185">
        <v>112</v>
      </c>
      <c r="DI5" s="185">
        <v>113</v>
      </c>
      <c r="DJ5" s="185">
        <v>114</v>
      </c>
      <c r="DK5" s="185">
        <v>115</v>
      </c>
      <c r="DL5" s="185">
        <v>116</v>
      </c>
      <c r="DM5" s="185">
        <v>117</v>
      </c>
      <c r="DN5" s="185">
        <v>118</v>
      </c>
      <c r="DO5" s="185">
        <v>119</v>
      </c>
      <c r="DP5" s="185">
        <v>120</v>
      </c>
      <c r="DQ5" s="185">
        <v>121</v>
      </c>
      <c r="DR5" s="185">
        <v>122</v>
      </c>
      <c r="DS5" s="185">
        <v>123</v>
      </c>
      <c r="DT5" s="185">
        <v>124</v>
      </c>
      <c r="DU5" s="185">
        <v>125</v>
      </c>
      <c r="DV5" s="185">
        <v>126</v>
      </c>
      <c r="DW5" s="185">
        <v>127</v>
      </c>
      <c r="DX5" s="185">
        <v>128</v>
      </c>
      <c r="DY5" s="185">
        <v>129</v>
      </c>
      <c r="DZ5" s="185">
        <v>130</v>
      </c>
      <c r="EA5" s="185">
        <v>131</v>
      </c>
      <c r="EB5" s="185">
        <v>132</v>
      </c>
      <c r="EC5" s="185">
        <v>133</v>
      </c>
      <c r="ED5" s="185">
        <v>134</v>
      </c>
      <c r="EE5" s="185">
        <v>135</v>
      </c>
      <c r="EF5" s="185">
        <v>136</v>
      </c>
      <c r="EG5" s="185">
        <v>137</v>
      </c>
      <c r="EH5" s="185">
        <v>138</v>
      </c>
      <c r="EI5" s="185">
        <v>139</v>
      </c>
      <c r="EJ5" s="185">
        <v>140</v>
      </c>
      <c r="EK5" s="185">
        <v>141</v>
      </c>
      <c r="EL5" s="185">
        <v>142</v>
      </c>
      <c r="EM5" s="185">
        <v>143</v>
      </c>
      <c r="EN5" s="185">
        <v>144</v>
      </c>
      <c r="EO5" s="185">
        <v>145</v>
      </c>
      <c r="EP5" s="185">
        <v>146</v>
      </c>
      <c r="EQ5" s="185">
        <v>147</v>
      </c>
      <c r="ER5" s="185">
        <v>148</v>
      </c>
      <c r="ES5" s="185">
        <v>149</v>
      </c>
      <c r="ET5" s="185">
        <v>150</v>
      </c>
      <c r="EU5" s="185">
        <v>151</v>
      </c>
      <c r="EV5" s="185">
        <v>152</v>
      </c>
      <c r="EW5" s="185">
        <v>153</v>
      </c>
      <c r="EX5" s="185">
        <v>154</v>
      </c>
      <c r="EY5" s="185">
        <v>155</v>
      </c>
      <c r="EZ5" s="185">
        <v>156</v>
      </c>
      <c r="FA5" s="185">
        <v>157</v>
      </c>
      <c r="FB5" s="185">
        <v>158</v>
      </c>
      <c r="FC5" s="185">
        <v>159</v>
      </c>
      <c r="FD5" s="185">
        <v>160</v>
      </c>
      <c r="FE5" s="185">
        <v>161</v>
      </c>
      <c r="FF5" s="185">
        <v>162</v>
      </c>
      <c r="FG5" s="185">
        <v>163</v>
      </c>
      <c r="FH5" s="185">
        <v>164</v>
      </c>
      <c r="FI5" s="185">
        <v>165</v>
      </c>
      <c r="FJ5" s="185">
        <v>166</v>
      </c>
      <c r="FK5" s="185">
        <v>167</v>
      </c>
      <c r="FL5" s="185">
        <v>168</v>
      </c>
      <c r="FM5" s="185">
        <v>169</v>
      </c>
      <c r="FN5" s="185">
        <v>170</v>
      </c>
      <c r="FO5" s="185">
        <v>171</v>
      </c>
      <c r="FP5" s="185">
        <v>172</v>
      </c>
      <c r="FQ5" s="185">
        <v>173</v>
      </c>
      <c r="FR5" s="176"/>
      <c r="FS5" s="176"/>
      <c r="FT5" s="176"/>
      <c r="FU5" s="176"/>
      <c r="FV5" s="176"/>
    </row>
    <row r="6" spans="1:178" ht="35.25" customHeight="1" x14ac:dyDescent="0.2">
      <c r="A6" s="186" t="s">
        <v>2960</v>
      </c>
      <c r="B6" s="186" t="s">
        <v>3854</v>
      </c>
      <c r="C6" s="187" t="s">
        <v>3855</v>
      </c>
      <c r="D6" s="187" t="s">
        <v>3856</v>
      </c>
      <c r="E6" s="187" t="s">
        <v>625</v>
      </c>
      <c r="F6" s="187"/>
      <c r="G6" s="188">
        <v>0</v>
      </c>
      <c r="H6" s="188">
        <v>1</v>
      </c>
      <c r="I6" s="188">
        <v>0</v>
      </c>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c r="DC6" s="188"/>
      <c r="DD6" s="188"/>
      <c r="DE6" s="188"/>
      <c r="DF6" s="188"/>
      <c r="DG6" s="188"/>
      <c r="DH6" s="188"/>
      <c r="DI6" s="188"/>
      <c r="DJ6" s="188"/>
      <c r="DK6" s="188"/>
      <c r="DL6" s="188"/>
      <c r="DM6" s="188"/>
      <c r="DN6" s="188"/>
      <c r="DO6" s="188"/>
      <c r="DP6" s="188"/>
      <c r="DQ6" s="188"/>
      <c r="DR6" s="188"/>
      <c r="DS6" s="188"/>
      <c r="DT6" s="188"/>
      <c r="DU6" s="188"/>
      <c r="DV6" s="188"/>
      <c r="DW6" s="188"/>
      <c r="DX6" s="188"/>
      <c r="DY6" s="188"/>
      <c r="DZ6" s="188"/>
      <c r="EA6" s="188"/>
      <c r="EB6" s="188"/>
      <c r="EC6" s="188"/>
      <c r="ED6" s="188"/>
      <c r="EE6" s="188"/>
      <c r="EF6" s="188"/>
      <c r="EG6" s="188"/>
      <c r="EH6" s="188"/>
      <c r="EI6" s="188"/>
      <c r="EJ6" s="188"/>
      <c r="EK6" s="188"/>
      <c r="EL6" s="188"/>
      <c r="EM6" s="188"/>
      <c r="EN6" s="188"/>
      <c r="EO6" s="188"/>
      <c r="EP6" s="188"/>
      <c r="EQ6" s="188"/>
      <c r="ER6" s="188"/>
      <c r="ES6" s="188"/>
      <c r="ET6" s="188"/>
      <c r="EU6" s="188"/>
      <c r="EV6" s="188"/>
      <c r="EW6" s="188"/>
      <c r="EX6" s="188"/>
      <c r="EY6" s="188"/>
      <c r="EZ6" s="188"/>
      <c r="FA6" s="188"/>
      <c r="FB6" s="188"/>
      <c r="FC6" s="188"/>
      <c r="FD6" s="188"/>
      <c r="FE6" s="188"/>
      <c r="FF6" s="188"/>
      <c r="FG6" s="188"/>
      <c r="FH6" s="188"/>
      <c r="FI6" s="188"/>
      <c r="FJ6" s="188"/>
      <c r="FK6" s="188"/>
      <c r="FL6" s="188"/>
      <c r="FM6" s="188"/>
      <c r="FN6" s="188"/>
      <c r="FO6" s="188"/>
      <c r="FP6" s="188"/>
      <c r="FQ6" s="188"/>
    </row>
    <row r="7" spans="1:178" ht="35.25" customHeight="1" x14ac:dyDescent="0.2">
      <c r="A7" s="186" t="s">
        <v>3857</v>
      </c>
      <c r="B7" s="186" t="s">
        <v>2966</v>
      </c>
      <c r="C7" s="187" t="s">
        <v>3858</v>
      </c>
      <c r="D7" s="187" t="s">
        <v>3859</v>
      </c>
      <c r="E7" s="187" t="s">
        <v>26</v>
      </c>
      <c r="F7" s="187"/>
      <c r="G7" s="188"/>
      <c r="H7" s="188"/>
      <c r="I7" s="188"/>
      <c r="J7" s="188"/>
      <c r="K7" s="188"/>
      <c r="L7" s="188"/>
      <c r="M7" s="188">
        <v>0.06</v>
      </c>
      <c r="N7" s="188"/>
      <c r="O7" s="188"/>
      <c r="P7" s="188"/>
      <c r="Q7" s="188"/>
      <c r="R7" s="188"/>
      <c r="S7" s="188">
        <v>4.0000000000000001E-3</v>
      </c>
      <c r="T7" s="188"/>
      <c r="U7" s="188"/>
      <c r="V7" s="188"/>
      <c r="W7" s="188"/>
      <c r="X7" s="188"/>
      <c r="Y7" s="188"/>
      <c r="Z7" s="188"/>
      <c r="AA7" s="188"/>
      <c r="AB7" s="188"/>
      <c r="AC7" s="188"/>
      <c r="AD7" s="188"/>
      <c r="AE7" s="188"/>
      <c r="AF7" s="188"/>
      <c r="AG7" s="188"/>
      <c r="AH7" s="188"/>
      <c r="AI7" s="188"/>
      <c r="AJ7" s="188"/>
      <c r="AK7" s="188"/>
      <c r="AL7" s="188"/>
      <c r="AM7" s="188"/>
      <c r="AN7" s="188"/>
      <c r="AO7" s="188"/>
      <c r="AP7" s="188"/>
      <c r="AQ7" s="188"/>
      <c r="AR7" s="188"/>
      <c r="AS7" s="188"/>
      <c r="AT7" s="188"/>
      <c r="AU7" s="188"/>
      <c r="AV7" s="188"/>
      <c r="AW7" s="188"/>
      <c r="AX7" s="188"/>
      <c r="AY7" s="188"/>
      <c r="AZ7" s="188"/>
      <c r="BA7" s="188">
        <v>1.4999999999999999E-2</v>
      </c>
      <c r="BB7" s="188"/>
      <c r="BC7" s="188"/>
      <c r="BD7" s="188"/>
      <c r="BE7" s="188"/>
      <c r="BF7" s="188"/>
      <c r="BG7" s="188"/>
      <c r="BH7" s="188"/>
      <c r="BI7" s="188"/>
      <c r="BJ7" s="188"/>
      <c r="BK7" s="188"/>
      <c r="BL7" s="188"/>
      <c r="BM7" s="188"/>
      <c r="BN7" s="188"/>
      <c r="BO7" s="188"/>
      <c r="BP7" s="188"/>
      <c r="BQ7" s="188"/>
      <c r="BR7" s="188"/>
      <c r="BS7" s="188"/>
      <c r="BT7" s="188"/>
      <c r="BU7" s="188"/>
      <c r="BV7" s="188"/>
      <c r="BW7" s="188"/>
      <c r="BX7" s="188"/>
      <c r="BY7" s="188"/>
      <c r="BZ7" s="188"/>
      <c r="CA7" s="188"/>
      <c r="CB7" s="188"/>
      <c r="CC7" s="188"/>
      <c r="CD7" s="188"/>
      <c r="CE7" s="188"/>
      <c r="CF7" s="188"/>
      <c r="CG7" s="188"/>
      <c r="CH7" s="188"/>
      <c r="CI7" s="188"/>
      <c r="CJ7" s="188"/>
      <c r="CK7" s="188"/>
      <c r="CL7" s="188"/>
      <c r="CM7" s="188"/>
      <c r="CN7" s="188"/>
      <c r="CO7" s="188"/>
      <c r="CP7" s="188"/>
      <c r="CQ7" s="188"/>
      <c r="CR7" s="188"/>
      <c r="CS7" s="188"/>
      <c r="CT7" s="188"/>
      <c r="CU7" s="188"/>
      <c r="CV7" s="188"/>
      <c r="CW7" s="188"/>
      <c r="CX7" s="188"/>
      <c r="CY7" s="188"/>
      <c r="CZ7" s="188"/>
      <c r="DA7" s="188"/>
      <c r="DB7" s="188"/>
      <c r="DC7" s="188"/>
      <c r="DD7" s="188"/>
      <c r="DE7" s="188"/>
      <c r="DF7" s="188"/>
      <c r="DG7" s="188"/>
      <c r="DH7" s="188"/>
      <c r="DI7" s="188"/>
      <c r="DJ7" s="188"/>
      <c r="DK7" s="188"/>
      <c r="DL7" s="188"/>
      <c r="DM7" s="188"/>
      <c r="DN7" s="188"/>
      <c r="DO7" s="188"/>
      <c r="DP7" s="188"/>
      <c r="DQ7" s="188"/>
      <c r="DR7" s="188"/>
      <c r="DS7" s="188"/>
      <c r="DT7" s="188"/>
      <c r="DU7" s="188"/>
      <c r="DV7" s="188"/>
      <c r="DW7" s="188"/>
      <c r="DX7" s="188"/>
      <c r="DY7" s="188"/>
      <c r="DZ7" s="188"/>
      <c r="EA7" s="188"/>
      <c r="EB7" s="188"/>
      <c r="EC7" s="188"/>
      <c r="ED7" s="188"/>
      <c r="EE7" s="188"/>
      <c r="EF7" s="188"/>
      <c r="EG7" s="188"/>
      <c r="EH7" s="188"/>
      <c r="EI7" s="188"/>
      <c r="EJ7" s="188"/>
      <c r="EK7" s="188"/>
      <c r="EL7" s="188"/>
      <c r="EM7" s="188"/>
      <c r="EN7" s="188"/>
      <c r="EO7" s="188"/>
      <c r="EP7" s="188"/>
      <c r="EQ7" s="188"/>
      <c r="ER7" s="188"/>
      <c r="ES7" s="188"/>
      <c r="ET7" s="188"/>
      <c r="EU7" s="188"/>
      <c r="EV7" s="188"/>
      <c r="EW7" s="189">
        <v>3.4000000000000002E-2</v>
      </c>
      <c r="EX7" s="188"/>
      <c r="EY7" s="188">
        <v>4.0000000000000001E-3</v>
      </c>
      <c r="EZ7" s="188"/>
      <c r="FA7" s="188"/>
      <c r="FB7" s="188"/>
      <c r="FC7" s="188"/>
      <c r="FD7" s="188"/>
      <c r="FE7" s="188"/>
      <c r="FF7" s="188"/>
      <c r="FG7" s="188"/>
      <c r="FH7" s="188"/>
      <c r="FI7" s="188"/>
      <c r="FJ7" s="188"/>
      <c r="FK7" s="188"/>
      <c r="FL7" s="188"/>
      <c r="FM7" s="188"/>
      <c r="FN7" s="188"/>
      <c r="FO7" s="188"/>
      <c r="FP7" s="188"/>
      <c r="FQ7" s="188"/>
    </row>
    <row r="8" spans="1:178" ht="33" customHeight="1" x14ac:dyDescent="0.2">
      <c r="A8" s="190" t="s">
        <v>2969</v>
      </c>
      <c r="B8" s="190" t="s">
        <v>2970</v>
      </c>
      <c r="C8" s="191" t="s">
        <v>3860</v>
      </c>
      <c r="D8" s="191" t="s">
        <v>3861</v>
      </c>
      <c r="E8" s="191" t="s">
        <v>625</v>
      </c>
      <c r="F8" s="191"/>
      <c r="G8" s="192"/>
      <c r="H8" s="192"/>
      <c r="I8" s="192"/>
      <c r="J8" s="192"/>
      <c r="K8" s="192"/>
      <c r="L8" s="192"/>
      <c r="M8" s="192"/>
      <c r="N8" s="192"/>
      <c r="O8" s="192"/>
      <c r="P8" s="192"/>
      <c r="Q8" s="192"/>
      <c r="R8" s="192"/>
      <c r="S8" s="192">
        <v>2</v>
      </c>
      <c r="T8" s="192"/>
      <c r="U8" s="192"/>
      <c r="V8" s="192"/>
      <c r="W8" s="192"/>
      <c r="X8" s="192"/>
      <c r="Y8" s="192"/>
      <c r="Z8" s="192"/>
      <c r="AA8" s="192"/>
      <c r="AB8" s="192"/>
      <c r="AC8" s="192"/>
      <c r="AD8" s="192">
        <v>10</v>
      </c>
      <c r="AE8" s="192">
        <v>4</v>
      </c>
      <c r="AF8" s="192"/>
      <c r="AG8" s="192"/>
      <c r="AH8" s="192"/>
      <c r="AI8" s="192"/>
      <c r="AJ8" s="192"/>
      <c r="AK8" s="192"/>
      <c r="AL8" s="192"/>
      <c r="AM8" s="192"/>
      <c r="AN8" s="192"/>
      <c r="AO8" s="192"/>
      <c r="AP8" s="192"/>
      <c r="AQ8" s="192"/>
      <c r="AR8" s="192"/>
      <c r="AS8" s="192"/>
      <c r="AT8" s="192"/>
      <c r="AU8" s="192"/>
      <c r="AV8" s="192"/>
      <c r="AW8" s="192">
        <v>0.01</v>
      </c>
      <c r="AX8" s="192"/>
      <c r="AY8" s="192"/>
      <c r="AZ8" s="192"/>
      <c r="BA8" s="192">
        <v>1</v>
      </c>
      <c r="BB8" s="192"/>
      <c r="BC8" s="192"/>
      <c r="BD8" s="192"/>
      <c r="BE8" s="192"/>
      <c r="BF8" s="192"/>
      <c r="BG8" s="192"/>
      <c r="BH8" s="192"/>
      <c r="BI8" s="192"/>
      <c r="BJ8" s="192"/>
      <c r="BK8" s="192"/>
      <c r="BL8" s="192"/>
      <c r="BM8" s="192"/>
      <c r="BN8" s="192"/>
      <c r="BO8" s="192"/>
      <c r="BP8" s="192"/>
      <c r="BQ8" s="192"/>
      <c r="BR8" s="192"/>
      <c r="BS8" s="192"/>
      <c r="BT8" s="192">
        <v>4</v>
      </c>
      <c r="BU8" s="192"/>
      <c r="BV8" s="192"/>
      <c r="BW8" s="192"/>
      <c r="BX8" s="192"/>
      <c r="BY8" s="192"/>
      <c r="BZ8" s="192"/>
      <c r="CA8" s="192"/>
      <c r="CB8" s="192"/>
      <c r="CC8" s="192"/>
      <c r="CD8" s="192"/>
      <c r="CE8" s="192"/>
      <c r="CF8" s="192"/>
      <c r="CG8" s="192"/>
      <c r="CH8" s="192"/>
      <c r="CI8" s="192"/>
      <c r="CJ8" s="192"/>
      <c r="CK8" s="192"/>
      <c r="CL8" s="192"/>
      <c r="CM8" s="192"/>
      <c r="CN8" s="192"/>
      <c r="CO8" s="192"/>
      <c r="CP8" s="192"/>
      <c r="CQ8" s="192"/>
      <c r="CR8" s="192"/>
      <c r="CS8" s="192"/>
      <c r="CT8" s="192"/>
      <c r="CU8" s="192"/>
      <c r="CV8" s="192"/>
      <c r="CW8" s="192"/>
      <c r="CX8" s="192"/>
      <c r="CY8" s="192"/>
      <c r="CZ8" s="192"/>
      <c r="DA8" s="192"/>
      <c r="DB8" s="192"/>
      <c r="DC8" s="192"/>
      <c r="DD8" s="192"/>
      <c r="DE8" s="192"/>
      <c r="DF8" s="192"/>
      <c r="DG8" s="192"/>
      <c r="DH8" s="192"/>
      <c r="DI8" s="192"/>
      <c r="DJ8" s="192"/>
      <c r="DK8" s="192"/>
      <c r="DL8" s="192"/>
      <c r="DM8" s="192"/>
      <c r="DN8" s="192"/>
      <c r="DO8" s="192"/>
      <c r="DP8" s="192"/>
      <c r="DQ8" s="192"/>
      <c r="DR8" s="192"/>
      <c r="DS8" s="192"/>
      <c r="DT8" s="192"/>
      <c r="DU8" s="192"/>
      <c r="DV8" s="192"/>
      <c r="DW8" s="192"/>
      <c r="DX8" s="192"/>
      <c r="DY8" s="192"/>
      <c r="DZ8" s="192"/>
      <c r="EA8" s="192"/>
      <c r="EB8" s="192"/>
      <c r="EC8" s="192"/>
      <c r="ED8" s="192"/>
      <c r="EE8" s="192"/>
      <c r="EF8" s="192"/>
      <c r="EG8" s="192"/>
      <c r="EH8" s="192"/>
      <c r="EI8" s="192"/>
      <c r="EJ8" s="192"/>
      <c r="EK8" s="192"/>
      <c r="EL8" s="192"/>
      <c r="EM8" s="192"/>
      <c r="EN8" s="192"/>
      <c r="EO8" s="192"/>
      <c r="EP8" s="192"/>
      <c r="EQ8" s="192"/>
      <c r="ER8" s="192"/>
      <c r="ES8" s="192"/>
      <c r="ET8" s="192"/>
      <c r="EU8" s="192"/>
      <c r="EV8" s="192"/>
      <c r="EW8" s="192">
        <v>5</v>
      </c>
      <c r="EX8" s="192"/>
      <c r="EY8" s="192"/>
      <c r="EZ8" s="192"/>
      <c r="FA8" s="192"/>
      <c r="FB8" s="192"/>
      <c r="FC8" s="192"/>
      <c r="FD8" s="192"/>
      <c r="FE8" s="192"/>
      <c r="FF8" s="192"/>
      <c r="FG8" s="192"/>
      <c r="FH8" s="192"/>
      <c r="FI8" s="192">
        <v>0.1</v>
      </c>
      <c r="FJ8" s="192"/>
      <c r="FK8" s="192"/>
      <c r="FL8" s="192"/>
      <c r="FM8" s="192">
        <v>1</v>
      </c>
      <c r="FN8" s="192"/>
      <c r="FO8" s="192"/>
      <c r="FP8" s="192"/>
      <c r="FQ8" s="192"/>
      <c r="FR8" s="60"/>
      <c r="FS8" s="60"/>
      <c r="FT8" s="60"/>
      <c r="FU8" s="60"/>
      <c r="FV8" s="60"/>
    </row>
    <row r="9" spans="1:178" ht="31.5" customHeight="1" x14ac:dyDescent="0.2">
      <c r="A9" s="186" t="s">
        <v>2973</v>
      </c>
      <c r="B9" s="186" t="s">
        <v>2974</v>
      </c>
      <c r="C9" s="187" t="s">
        <v>3862</v>
      </c>
      <c r="D9" s="187" t="s">
        <v>3863</v>
      </c>
      <c r="E9" s="187" t="s">
        <v>625</v>
      </c>
      <c r="F9" s="187"/>
      <c r="G9" s="188"/>
      <c r="H9" s="188"/>
      <c r="I9" s="188"/>
      <c r="J9" s="188"/>
      <c r="K9" s="188"/>
      <c r="L9" s="188"/>
      <c r="M9" s="188"/>
      <c r="N9" s="188"/>
      <c r="O9" s="188"/>
      <c r="P9" s="188"/>
      <c r="Q9" s="188"/>
      <c r="R9" s="188"/>
      <c r="S9" s="188"/>
      <c r="T9" s="188"/>
      <c r="U9" s="188"/>
      <c r="V9" s="188"/>
      <c r="W9" s="188"/>
      <c r="X9" s="188"/>
      <c r="Y9" s="188"/>
      <c r="Z9" s="188"/>
      <c r="AA9" s="188"/>
      <c r="AB9" s="188"/>
      <c r="AC9" s="188"/>
      <c r="AD9" s="188"/>
      <c r="AE9" s="188"/>
      <c r="AF9" s="188"/>
      <c r="AG9" s="188"/>
      <c r="AH9" s="188"/>
      <c r="AI9" s="188"/>
      <c r="AJ9" s="188"/>
      <c r="AK9" s="188"/>
      <c r="AL9" s="188"/>
      <c r="AM9" s="188"/>
      <c r="AN9" s="188"/>
      <c r="AO9" s="188"/>
      <c r="AP9" s="188"/>
      <c r="AQ9" s="188"/>
      <c r="AR9" s="188"/>
      <c r="AS9" s="188"/>
      <c r="AT9" s="188"/>
      <c r="AU9" s="188"/>
      <c r="AV9" s="188"/>
      <c r="AW9" s="188"/>
      <c r="AX9" s="188"/>
      <c r="AY9" s="188"/>
      <c r="AZ9" s="188"/>
      <c r="BA9" s="188"/>
      <c r="BB9" s="188"/>
      <c r="BC9" s="188"/>
      <c r="BD9" s="188"/>
      <c r="BE9" s="188"/>
      <c r="BF9" s="188"/>
      <c r="BG9" s="188"/>
      <c r="BH9" s="188"/>
      <c r="BI9" s="188"/>
      <c r="BJ9" s="188"/>
      <c r="BK9" s="188"/>
      <c r="BL9" s="188"/>
      <c r="BM9" s="188"/>
      <c r="BN9" s="188"/>
      <c r="BO9" s="188"/>
      <c r="BP9" s="188"/>
      <c r="BQ9" s="188"/>
      <c r="BR9" s="188"/>
      <c r="BS9" s="188"/>
      <c r="BT9" s="188"/>
      <c r="BU9" s="188"/>
      <c r="BV9" s="188"/>
      <c r="BW9" s="188"/>
      <c r="BX9" s="188"/>
      <c r="BY9" s="188"/>
      <c r="BZ9" s="188"/>
      <c r="CA9" s="188"/>
      <c r="CB9" s="188"/>
      <c r="CC9" s="188"/>
      <c r="CD9" s="188"/>
      <c r="CE9" s="188"/>
      <c r="CF9" s="188"/>
      <c r="CG9" s="188"/>
      <c r="CH9" s="188"/>
      <c r="CI9" s="188"/>
      <c r="CJ9" s="188"/>
      <c r="CK9" s="188"/>
      <c r="CL9" s="188"/>
      <c r="CM9" s="188"/>
      <c r="CN9" s="188"/>
      <c r="CO9" s="188"/>
      <c r="CP9" s="188"/>
      <c r="CQ9" s="188"/>
      <c r="CR9" s="188"/>
      <c r="CS9" s="188"/>
      <c r="CT9" s="188"/>
      <c r="CU9" s="188"/>
      <c r="CV9" s="188"/>
      <c r="CW9" s="188"/>
      <c r="CX9" s="188"/>
      <c r="CY9" s="188"/>
      <c r="CZ9" s="188"/>
      <c r="DA9" s="188"/>
      <c r="DB9" s="188"/>
      <c r="DC9" s="188"/>
      <c r="DD9" s="188"/>
      <c r="DE9" s="188"/>
      <c r="DF9" s="188"/>
      <c r="DG9" s="188"/>
      <c r="DH9" s="188"/>
      <c r="DI9" s="188"/>
      <c r="DJ9" s="188"/>
      <c r="DK9" s="188"/>
      <c r="DL9" s="188"/>
      <c r="DM9" s="188"/>
      <c r="DN9" s="188"/>
      <c r="DO9" s="188"/>
      <c r="DP9" s="188"/>
      <c r="DQ9" s="188"/>
      <c r="DR9" s="188"/>
      <c r="DS9" s="188"/>
      <c r="DT9" s="188"/>
      <c r="DU9" s="188"/>
      <c r="DV9" s="188"/>
      <c r="DW9" s="188"/>
      <c r="DX9" s="188"/>
      <c r="DY9" s="188"/>
      <c r="DZ9" s="188"/>
      <c r="EA9" s="188"/>
      <c r="EB9" s="188"/>
      <c r="EC9" s="188"/>
      <c r="ED9" s="188"/>
      <c r="EE9" s="188"/>
      <c r="EF9" s="188"/>
      <c r="EG9" s="188"/>
      <c r="EH9" s="188"/>
      <c r="EI9" s="188"/>
      <c r="EJ9" s="188"/>
      <c r="EK9" s="188"/>
      <c r="EL9" s="188"/>
      <c r="EM9" s="188"/>
      <c r="EN9" s="188"/>
      <c r="EO9" s="188"/>
      <c r="EP9" s="188"/>
      <c r="EQ9" s="188"/>
      <c r="ER9" s="188"/>
      <c r="ES9" s="188"/>
      <c r="ET9" s="188"/>
      <c r="EU9" s="188"/>
      <c r="EV9" s="188"/>
      <c r="EW9" s="188"/>
      <c r="EX9" s="188"/>
      <c r="EY9" s="188"/>
      <c r="EZ9" s="188"/>
      <c r="FA9" s="188"/>
      <c r="FB9" s="188"/>
      <c r="FC9" s="188"/>
      <c r="FD9" s="188"/>
      <c r="FE9" s="188"/>
      <c r="FF9" s="188"/>
      <c r="FG9" s="188"/>
      <c r="FH9" s="188"/>
      <c r="FI9" s="188"/>
      <c r="FJ9" s="188"/>
      <c r="FK9" s="188"/>
      <c r="FL9" s="188"/>
      <c r="FM9" s="188"/>
      <c r="FN9" s="188"/>
      <c r="FO9" s="188"/>
      <c r="FP9" s="188"/>
      <c r="FQ9" s="188"/>
    </row>
    <row r="10" spans="1:178" ht="33" customHeight="1" x14ac:dyDescent="0.2">
      <c r="A10" s="193" t="s">
        <v>2975</v>
      </c>
      <c r="B10" s="193" t="s">
        <v>2976</v>
      </c>
      <c r="C10" s="194" t="s">
        <v>3864</v>
      </c>
      <c r="D10" s="194" t="s">
        <v>3865</v>
      </c>
      <c r="E10" s="194" t="s">
        <v>625</v>
      </c>
      <c r="F10" s="194"/>
      <c r="G10" s="195"/>
      <c r="H10" s="195"/>
      <c r="I10" s="195">
        <v>0.7</v>
      </c>
      <c r="J10" s="195"/>
      <c r="K10" s="195"/>
      <c r="L10" s="195"/>
      <c r="M10" s="195"/>
      <c r="N10" s="195"/>
      <c r="O10" s="195">
        <v>0.05</v>
      </c>
      <c r="P10" s="195"/>
      <c r="Q10" s="195"/>
      <c r="R10" s="195"/>
      <c r="S10" s="195">
        <v>3.5</v>
      </c>
      <c r="T10" s="195"/>
      <c r="U10" s="195"/>
      <c r="V10" s="195"/>
      <c r="W10" s="195"/>
      <c r="X10" s="195"/>
      <c r="Y10" s="195"/>
      <c r="Z10" s="195"/>
      <c r="AA10" s="195"/>
      <c r="AB10" s="195"/>
      <c r="AC10" s="195"/>
      <c r="AD10" s="195">
        <v>0.1</v>
      </c>
      <c r="AE10" s="195"/>
      <c r="AF10" s="195"/>
      <c r="AG10" s="195"/>
      <c r="AH10" s="195"/>
      <c r="AI10" s="195"/>
      <c r="AJ10" s="195"/>
      <c r="AK10" s="195"/>
      <c r="AL10" s="195"/>
      <c r="AM10" s="195"/>
      <c r="AN10" s="195"/>
      <c r="AO10" s="195"/>
      <c r="AP10" s="195"/>
      <c r="AQ10" s="195"/>
      <c r="AR10" s="195"/>
      <c r="AS10" s="195"/>
      <c r="AT10" s="195"/>
      <c r="AU10" s="195"/>
      <c r="AV10" s="195"/>
      <c r="AW10" s="195"/>
      <c r="AX10" s="195"/>
      <c r="AY10" s="195"/>
      <c r="AZ10" s="195"/>
      <c r="BA10" s="195">
        <v>1.5</v>
      </c>
      <c r="BB10" s="195">
        <v>0.01</v>
      </c>
      <c r="BC10" s="195"/>
      <c r="BD10" s="195"/>
      <c r="BE10" s="195"/>
      <c r="BF10" s="195"/>
      <c r="BG10" s="195"/>
      <c r="BH10" s="195"/>
      <c r="BI10" s="195"/>
      <c r="BJ10" s="195"/>
      <c r="BK10" s="195"/>
      <c r="BL10" s="195"/>
      <c r="BM10" s="195">
        <v>0.01</v>
      </c>
      <c r="BN10" s="195"/>
      <c r="BO10" s="195"/>
      <c r="BP10" s="195"/>
      <c r="BQ10" s="195"/>
      <c r="BR10" s="195"/>
      <c r="BS10" s="195"/>
      <c r="BT10" s="195">
        <v>7</v>
      </c>
      <c r="BU10" s="195"/>
      <c r="BV10" s="195"/>
      <c r="BW10" s="195"/>
      <c r="BX10" s="195"/>
      <c r="BY10" s="195"/>
      <c r="BZ10" s="195"/>
      <c r="CA10" s="195"/>
      <c r="CB10" s="195"/>
      <c r="CC10" s="195"/>
      <c r="CD10" s="195"/>
      <c r="CE10" s="195"/>
      <c r="CF10" s="195"/>
      <c r="CG10" s="195"/>
      <c r="CH10" s="195"/>
      <c r="CI10" s="195"/>
      <c r="CJ10" s="195"/>
      <c r="CK10" s="195"/>
      <c r="CL10" s="195"/>
      <c r="CM10" s="195"/>
      <c r="CN10" s="195"/>
      <c r="CO10" s="195"/>
      <c r="CP10" s="195"/>
      <c r="CQ10" s="195"/>
      <c r="CR10" s="195"/>
      <c r="CS10" s="195"/>
      <c r="CT10" s="195"/>
      <c r="CU10" s="195"/>
      <c r="CV10" s="195"/>
      <c r="CW10" s="195"/>
      <c r="CX10" s="195"/>
      <c r="CY10" s="195"/>
      <c r="CZ10" s="195"/>
      <c r="DA10" s="195"/>
      <c r="DB10" s="195"/>
      <c r="DC10" s="195"/>
      <c r="DD10" s="195"/>
      <c r="DE10" s="195"/>
      <c r="DF10" s="195"/>
      <c r="DG10" s="195"/>
      <c r="DH10" s="195"/>
      <c r="DI10" s="195"/>
      <c r="DJ10" s="195"/>
      <c r="DK10" s="195"/>
      <c r="DL10" s="195"/>
      <c r="DM10" s="195"/>
      <c r="DN10" s="195"/>
      <c r="DO10" s="195"/>
      <c r="DP10" s="195"/>
      <c r="DQ10" s="195"/>
      <c r="DR10" s="195"/>
      <c r="DS10" s="195"/>
      <c r="DT10" s="195"/>
      <c r="DU10" s="195"/>
      <c r="DV10" s="195"/>
      <c r="DW10" s="195"/>
      <c r="DX10" s="195"/>
      <c r="DY10" s="195"/>
      <c r="DZ10" s="195"/>
      <c r="EA10" s="195"/>
      <c r="EB10" s="195"/>
      <c r="EC10" s="195"/>
      <c r="ED10" s="195"/>
      <c r="EE10" s="195"/>
      <c r="EF10" s="195"/>
      <c r="EG10" s="195"/>
      <c r="EH10" s="195"/>
      <c r="EI10" s="195"/>
      <c r="EJ10" s="195"/>
      <c r="EK10" s="195"/>
      <c r="EL10" s="195"/>
      <c r="EM10" s="195"/>
      <c r="EN10" s="195"/>
      <c r="EO10" s="195"/>
      <c r="EP10" s="195"/>
      <c r="EQ10" s="195"/>
      <c r="ER10" s="195"/>
      <c r="ES10" s="195"/>
      <c r="ET10" s="195"/>
      <c r="EU10" s="195"/>
      <c r="EV10" s="195"/>
      <c r="EW10" s="195">
        <v>2.2999999999999998</v>
      </c>
      <c r="EX10" s="195"/>
      <c r="EY10" s="195"/>
      <c r="EZ10" s="195"/>
      <c r="FA10" s="195"/>
      <c r="FB10" s="195"/>
      <c r="FC10" s="195"/>
      <c r="FD10" s="195"/>
      <c r="FE10" s="195"/>
      <c r="FF10" s="195">
        <v>0.1</v>
      </c>
      <c r="FG10" s="195"/>
      <c r="FH10" s="195"/>
      <c r="FI10" s="195">
        <v>4.5</v>
      </c>
      <c r="FJ10" s="195"/>
      <c r="FK10" s="195"/>
      <c r="FL10" s="195">
        <v>0.01</v>
      </c>
      <c r="FM10" s="195">
        <v>30</v>
      </c>
      <c r="FN10" s="195"/>
      <c r="FO10" s="195"/>
      <c r="FP10" s="195"/>
      <c r="FQ10" s="195"/>
      <c r="FR10" s="6"/>
      <c r="FS10" s="6"/>
      <c r="FT10" s="6"/>
      <c r="FU10" s="6"/>
      <c r="FV10" s="6"/>
    </row>
    <row r="11" spans="1:178" ht="30.75" customHeight="1" x14ac:dyDescent="0.2">
      <c r="A11" s="186" t="s">
        <v>2978</v>
      </c>
      <c r="B11" s="186" t="s">
        <v>2979</v>
      </c>
      <c r="C11" s="187" t="s">
        <v>3866</v>
      </c>
      <c r="D11" s="187" t="s">
        <v>3867</v>
      </c>
      <c r="E11" s="187" t="s">
        <v>625</v>
      </c>
      <c r="F11" s="187"/>
      <c r="G11" s="188"/>
      <c r="H11" s="188"/>
      <c r="I11" s="188"/>
      <c r="J11" s="188"/>
      <c r="K11" s="188"/>
      <c r="L11" s="188"/>
      <c r="M11" s="188"/>
      <c r="N11" s="188"/>
      <c r="O11" s="188"/>
      <c r="P11" s="188"/>
      <c r="Q11" s="188"/>
      <c r="R11" s="188"/>
      <c r="S11" s="188"/>
      <c r="T11" s="188"/>
      <c r="U11" s="188"/>
      <c r="V11" s="188"/>
      <c r="W11" s="188"/>
      <c r="X11" s="188"/>
      <c r="Y11" s="188"/>
      <c r="Z11" s="188"/>
      <c r="AA11" s="188"/>
      <c r="AB11" s="188"/>
      <c r="AC11" s="188"/>
      <c r="AD11" s="188"/>
      <c r="AE11" s="188"/>
      <c r="AF11" s="188"/>
      <c r="AG11" s="188"/>
      <c r="AH11" s="188"/>
      <c r="AI11" s="188"/>
      <c r="AJ11" s="188"/>
      <c r="AK11" s="188"/>
      <c r="AL11" s="188"/>
      <c r="AM11" s="188"/>
      <c r="AN11" s="188"/>
      <c r="AO11" s="188"/>
      <c r="AP11" s="188"/>
      <c r="AQ11" s="188"/>
      <c r="AR11" s="188"/>
      <c r="AS11" s="188"/>
      <c r="AT11" s="188"/>
      <c r="AU11" s="188"/>
      <c r="AV11" s="188"/>
      <c r="AW11" s="188"/>
      <c r="AX11" s="188"/>
      <c r="AY11" s="188"/>
      <c r="AZ11" s="188"/>
      <c r="BA11" s="188"/>
      <c r="BB11" s="188"/>
      <c r="BC11" s="188"/>
      <c r="BD11" s="188"/>
      <c r="BE11" s="188"/>
      <c r="BF11" s="188"/>
      <c r="BG11" s="188"/>
      <c r="BH11" s="188"/>
      <c r="BI11" s="188"/>
      <c r="BJ11" s="188"/>
      <c r="BK11" s="188"/>
      <c r="BL11" s="188"/>
      <c r="BM11" s="188"/>
      <c r="BN11" s="188"/>
      <c r="BO11" s="188"/>
      <c r="BP11" s="188"/>
      <c r="BQ11" s="188"/>
      <c r="BR11" s="188"/>
      <c r="BS11" s="188"/>
      <c r="BT11" s="188"/>
      <c r="BU11" s="188"/>
      <c r="BV11" s="188"/>
      <c r="BW11" s="188"/>
      <c r="BX11" s="188"/>
      <c r="BY11" s="188"/>
      <c r="BZ11" s="188"/>
      <c r="CA11" s="188"/>
      <c r="CB11" s="188"/>
      <c r="CC11" s="188"/>
      <c r="CD11" s="188"/>
      <c r="CE11" s="188"/>
      <c r="CF11" s="188"/>
      <c r="CG11" s="188"/>
      <c r="CH11" s="188"/>
      <c r="CI11" s="188"/>
      <c r="CJ11" s="188"/>
      <c r="CK11" s="188"/>
      <c r="CL11" s="188"/>
      <c r="CM11" s="188"/>
      <c r="CN11" s="188"/>
      <c r="CO11" s="188"/>
      <c r="CP11" s="188"/>
      <c r="CQ11" s="188"/>
      <c r="CR11" s="188"/>
      <c r="CS11" s="188"/>
      <c r="CT11" s="188"/>
      <c r="CU11" s="188"/>
      <c r="CV11" s="188"/>
      <c r="CW11" s="188"/>
      <c r="CX11" s="188"/>
      <c r="CY11" s="188"/>
      <c r="CZ11" s="188"/>
      <c r="DA11" s="188"/>
      <c r="DB11" s="188"/>
      <c r="DC11" s="188"/>
      <c r="DD11" s="188"/>
      <c r="DE11" s="188"/>
      <c r="DF11" s="188"/>
      <c r="DG11" s="188"/>
      <c r="DH11" s="188"/>
      <c r="DI11" s="188"/>
      <c r="DJ11" s="188"/>
      <c r="DK11" s="188"/>
      <c r="DL11" s="188"/>
      <c r="DM11" s="188"/>
      <c r="DN11" s="188"/>
      <c r="DO11" s="188"/>
      <c r="DP11" s="188"/>
      <c r="DQ11" s="188"/>
      <c r="DR11" s="188"/>
      <c r="DS11" s="188"/>
      <c r="DT11" s="188"/>
      <c r="DU11" s="188"/>
      <c r="DV11" s="188"/>
      <c r="DW11" s="188"/>
      <c r="DX11" s="188"/>
      <c r="DY11" s="188"/>
      <c r="DZ11" s="188"/>
      <c r="EA11" s="188"/>
      <c r="EB11" s="188"/>
      <c r="EC11" s="188"/>
      <c r="ED11" s="188"/>
      <c r="EE11" s="188"/>
      <c r="EF11" s="188"/>
      <c r="EG11" s="188"/>
      <c r="EH11" s="188"/>
      <c r="EI11" s="188"/>
      <c r="EJ11" s="188"/>
      <c r="EK11" s="188"/>
      <c r="EL11" s="188"/>
      <c r="EM11" s="188"/>
      <c r="EN11" s="188"/>
      <c r="EO11" s="188"/>
      <c r="EP11" s="188"/>
      <c r="EQ11" s="188"/>
      <c r="ER11" s="188"/>
      <c r="ES11" s="188"/>
      <c r="ET11" s="188"/>
      <c r="EU11" s="188"/>
      <c r="EV11" s="188"/>
      <c r="EW11" s="188"/>
      <c r="EX11" s="188"/>
      <c r="EY11" s="188"/>
      <c r="EZ11" s="188"/>
      <c r="FA11" s="188"/>
      <c r="FB11" s="188"/>
      <c r="FC11" s="188"/>
      <c r="FD11" s="188"/>
      <c r="FE11" s="188"/>
      <c r="FF11" s="188"/>
      <c r="FG11" s="188"/>
      <c r="FH11" s="188"/>
      <c r="FI11" s="188"/>
      <c r="FJ11" s="188"/>
      <c r="FK11" s="188"/>
      <c r="FL11" s="188"/>
      <c r="FM11" s="188"/>
      <c r="FN11" s="188"/>
      <c r="FO11" s="188"/>
      <c r="FP11" s="188"/>
      <c r="FQ11" s="188"/>
    </row>
    <row r="12" spans="1:178" ht="27.75" customHeight="1" x14ac:dyDescent="0.2">
      <c r="A12" s="186" t="s">
        <v>2980</v>
      </c>
      <c r="B12" s="186" t="s">
        <v>3868</v>
      </c>
      <c r="C12" s="187" t="s">
        <v>3869</v>
      </c>
      <c r="D12" s="187" t="s">
        <v>3870</v>
      </c>
      <c r="E12" s="187" t="s">
        <v>625</v>
      </c>
      <c r="F12" s="187"/>
      <c r="G12" s="188"/>
      <c r="H12" s="188"/>
      <c r="I12" s="188">
        <v>0.15</v>
      </c>
      <c r="J12" s="188"/>
      <c r="K12" s="188"/>
      <c r="L12" s="188"/>
      <c r="M12" s="188"/>
      <c r="N12" s="188"/>
      <c r="O12" s="188"/>
      <c r="P12" s="188"/>
      <c r="Q12" s="188"/>
      <c r="R12" s="188"/>
      <c r="S12" s="188">
        <v>96</v>
      </c>
      <c r="T12" s="188"/>
      <c r="U12" s="188"/>
      <c r="V12" s="188"/>
      <c r="W12" s="188"/>
      <c r="X12" s="188"/>
      <c r="Y12" s="188"/>
      <c r="Z12" s="188"/>
      <c r="AA12" s="188"/>
      <c r="AB12" s="188"/>
      <c r="AC12" s="188"/>
      <c r="AD12" s="188"/>
      <c r="AE12" s="188"/>
      <c r="AF12" s="188"/>
      <c r="AG12" s="188"/>
      <c r="AH12" s="188"/>
      <c r="AI12" s="188"/>
      <c r="AJ12" s="188"/>
      <c r="AK12" s="188"/>
      <c r="AL12" s="188"/>
      <c r="AM12" s="188"/>
      <c r="AN12" s="188"/>
      <c r="AO12" s="188"/>
      <c r="AP12" s="188"/>
      <c r="AQ12" s="188"/>
      <c r="AR12" s="188"/>
      <c r="AS12" s="188"/>
      <c r="AT12" s="188"/>
      <c r="AU12" s="188"/>
      <c r="AV12" s="188"/>
      <c r="AW12" s="188"/>
      <c r="AX12" s="188"/>
      <c r="AY12" s="188"/>
      <c r="AZ12" s="188"/>
      <c r="BA12" s="188"/>
      <c r="BB12" s="188"/>
      <c r="BC12" s="188"/>
      <c r="BD12" s="188"/>
      <c r="BE12" s="188"/>
      <c r="BF12" s="188"/>
      <c r="BG12" s="188"/>
      <c r="BH12" s="188"/>
      <c r="BI12" s="188"/>
      <c r="BJ12" s="188"/>
      <c r="BK12" s="188"/>
      <c r="BL12" s="188"/>
      <c r="BM12" s="188"/>
      <c r="BN12" s="188"/>
      <c r="BO12" s="188"/>
      <c r="BP12" s="188"/>
      <c r="BQ12" s="188"/>
      <c r="BR12" s="188"/>
      <c r="BS12" s="188"/>
      <c r="BT12" s="188">
        <v>0.05</v>
      </c>
      <c r="BU12" s="188"/>
      <c r="BV12" s="188"/>
      <c r="BW12" s="188"/>
      <c r="BX12" s="188"/>
      <c r="BY12" s="188"/>
      <c r="BZ12" s="188"/>
      <c r="CA12" s="188"/>
      <c r="CB12" s="188"/>
      <c r="CC12" s="188"/>
      <c r="CD12" s="188"/>
      <c r="CE12" s="188"/>
      <c r="CF12" s="188"/>
      <c r="CG12" s="188"/>
      <c r="CH12" s="188"/>
      <c r="CI12" s="188"/>
      <c r="CJ12" s="188"/>
      <c r="CK12" s="188"/>
      <c r="CL12" s="188"/>
      <c r="CM12" s="188"/>
      <c r="CN12" s="188"/>
      <c r="CO12" s="188"/>
      <c r="CP12" s="188"/>
      <c r="CQ12" s="188"/>
      <c r="CR12" s="188"/>
      <c r="CS12" s="188">
        <v>100</v>
      </c>
      <c r="CT12" s="188"/>
      <c r="CU12" s="188"/>
      <c r="CV12" s="188"/>
      <c r="CW12" s="188"/>
      <c r="CX12" s="188"/>
      <c r="CY12" s="188"/>
      <c r="CZ12" s="188"/>
      <c r="DA12" s="188"/>
      <c r="DB12" s="188"/>
      <c r="DC12" s="188"/>
      <c r="DD12" s="188"/>
      <c r="DE12" s="188"/>
      <c r="DF12" s="188"/>
      <c r="DG12" s="188"/>
      <c r="DH12" s="188"/>
      <c r="DI12" s="188"/>
      <c r="DJ12" s="188"/>
      <c r="DK12" s="188"/>
      <c r="DL12" s="188"/>
      <c r="DM12" s="188"/>
      <c r="DN12" s="188"/>
      <c r="DO12" s="188"/>
      <c r="DP12" s="188"/>
      <c r="DQ12" s="188"/>
      <c r="DR12" s="188"/>
      <c r="DS12" s="188"/>
      <c r="DT12" s="188"/>
      <c r="DU12" s="188"/>
      <c r="DV12" s="188"/>
      <c r="DW12" s="188"/>
      <c r="DX12" s="188"/>
      <c r="DY12" s="188"/>
      <c r="DZ12" s="188"/>
      <c r="EA12" s="188"/>
      <c r="EB12" s="188"/>
      <c r="EC12" s="188"/>
      <c r="ED12" s="188"/>
      <c r="EE12" s="188"/>
      <c r="EF12" s="188"/>
      <c r="EG12" s="188"/>
      <c r="EH12" s="188"/>
      <c r="EI12" s="188"/>
      <c r="EJ12" s="188"/>
      <c r="EK12" s="188"/>
      <c r="EL12" s="188"/>
      <c r="EM12" s="188"/>
      <c r="EN12" s="188"/>
      <c r="EO12" s="188"/>
      <c r="EP12" s="188"/>
      <c r="EQ12" s="188"/>
      <c r="ER12" s="188"/>
      <c r="ES12" s="188"/>
      <c r="ET12" s="188"/>
      <c r="EU12" s="188"/>
      <c r="EV12" s="188"/>
      <c r="EW12" s="188">
        <v>0.75</v>
      </c>
      <c r="EX12" s="188"/>
      <c r="EY12" s="188"/>
      <c r="EZ12" s="188"/>
      <c r="FA12" s="188"/>
      <c r="FB12" s="188"/>
      <c r="FC12" s="188"/>
      <c r="FD12" s="188"/>
      <c r="FE12" s="188"/>
      <c r="FF12" s="188"/>
      <c r="FG12" s="188"/>
      <c r="FH12" s="188"/>
      <c r="FI12" s="188"/>
      <c r="FJ12" s="188"/>
      <c r="FK12" s="188"/>
      <c r="FL12" s="188"/>
      <c r="FM12" s="188">
        <v>0.2</v>
      </c>
      <c r="FN12" s="188"/>
      <c r="FO12" s="188"/>
      <c r="FP12" s="188"/>
      <c r="FQ12" s="188"/>
    </row>
    <row r="13" spans="1:178" ht="32.25" customHeight="1" x14ac:dyDescent="0.2">
      <c r="A13" s="196" t="s">
        <v>2984</v>
      </c>
      <c r="B13" s="196" t="s">
        <v>2985</v>
      </c>
      <c r="C13" s="197" t="s">
        <v>3871</v>
      </c>
      <c r="D13" s="197" t="s">
        <v>3872</v>
      </c>
      <c r="E13" s="197" t="s">
        <v>625</v>
      </c>
      <c r="F13" s="197"/>
      <c r="G13" s="198"/>
      <c r="H13" s="198"/>
      <c r="I13" s="198"/>
      <c r="J13" s="198"/>
      <c r="K13" s="198"/>
      <c r="L13" s="198"/>
      <c r="M13" s="198"/>
      <c r="N13" s="198"/>
      <c r="O13" s="198"/>
      <c r="P13" s="198"/>
      <c r="Q13" s="198"/>
      <c r="R13" s="198"/>
      <c r="S13" s="198">
        <v>0.5</v>
      </c>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98"/>
      <c r="AU13" s="198"/>
      <c r="AV13" s="198"/>
      <c r="AW13" s="198">
        <v>0.5</v>
      </c>
      <c r="AX13" s="198"/>
      <c r="AY13" s="198"/>
      <c r="AZ13" s="198"/>
      <c r="BA13" s="198">
        <v>5.7</v>
      </c>
      <c r="BB13" s="198"/>
      <c r="BC13" s="198"/>
      <c r="BD13" s="198"/>
      <c r="BE13" s="198"/>
      <c r="BF13" s="198"/>
      <c r="BG13" s="198"/>
      <c r="BH13" s="198">
        <v>45</v>
      </c>
      <c r="BI13" s="198"/>
      <c r="BJ13" s="198"/>
      <c r="BK13" s="198"/>
      <c r="BL13" s="198"/>
      <c r="BM13" s="198"/>
      <c r="BN13" s="198"/>
      <c r="BO13" s="198"/>
      <c r="BP13" s="198"/>
      <c r="BQ13" s="198"/>
      <c r="BR13" s="198"/>
      <c r="BS13" s="198"/>
      <c r="BT13" s="198">
        <v>2</v>
      </c>
      <c r="BU13" s="198"/>
      <c r="BV13" s="198"/>
      <c r="BW13" s="198"/>
      <c r="BX13" s="198"/>
      <c r="BY13" s="198"/>
      <c r="BZ13" s="198"/>
      <c r="CA13" s="198"/>
      <c r="CB13" s="198"/>
      <c r="CC13" s="198"/>
      <c r="CD13" s="198"/>
      <c r="CE13" s="198"/>
      <c r="CF13" s="198"/>
      <c r="CG13" s="198"/>
      <c r="CH13" s="198"/>
      <c r="CI13" s="198"/>
      <c r="CJ13" s="198"/>
      <c r="CK13" s="198"/>
      <c r="CL13" s="198"/>
      <c r="CM13" s="198"/>
      <c r="CN13" s="198"/>
      <c r="CO13" s="198"/>
      <c r="CP13" s="198"/>
      <c r="CQ13" s="198"/>
      <c r="CR13" s="198"/>
      <c r="CS13" s="198"/>
      <c r="CT13" s="198"/>
      <c r="CU13" s="198"/>
      <c r="CV13" s="198"/>
      <c r="CW13" s="198"/>
      <c r="CX13" s="198"/>
      <c r="CY13" s="198"/>
      <c r="CZ13" s="198"/>
      <c r="DA13" s="198"/>
      <c r="DB13" s="198"/>
      <c r="DC13" s="198"/>
      <c r="DD13" s="198"/>
      <c r="DE13" s="198"/>
      <c r="DF13" s="198"/>
      <c r="DG13" s="198"/>
      <c r="DH13" s="198"/>
      <c r="DI13" s="198"/>
      <c r="DJ13" s="198"/>
      <c r="DK13" s="198"/>
      <c r="DL13" s="198"/>
      <c r="DM13" s="198"/>
      <c r="DN13" s="198"/>
      <c r="DO13" s="198"/>
      <c r="DP13" s="198"/>
      <c r="DQ13" s="198"/>
      <c r="DR13" s="198"/>
      <c r="DS13" s="198"/>
      <c r="DT13" s="198"/>
      <c r="DU13" s="198"/>
      <c r="DV13" s="198"/>
      <c r="DW13" s="198">
        <v>100</v>
      </c>
      <c r="DX13" s="198"/>
      <c r="DY13" s="198"/>
      <c r="DZ13" s="198"/>
      <c r="EA13" s="198"/>
      <c r="EB13" s="198"/>
      <c r="EC13" s="198"/>
      <c r="ED13" s="198"/>
      <c r="EE13" s="198"/>
      <c r="EF13" s="198"/>
      <c r="EG13" s="198"/>
      <c r="EH13" s="198"/>
      <c r="EI13" s="198"/>
      <c r="EJ13" s="198"/>
      <c r="EK13" s="198"/>
      <c r="EL13" s="198"/>
      <c r="EM13" s="198"/>
      <c r="EN13" s="198"/>
      <c r="EO13" s="198"/>
      <c r="EP13" s="198"/>
      <c r="EQ13" s="198"/>
      <c r="ER13" s="198"/>
      <c r="ES13" s="198"/>
      <c r="ET13" s="198"/>
      <c r="EU13" s="198">
        <v>0.8</v>
      </c>
      <c r="EV13" s="198"/>
      <c r="EW13" s="198">
        <v>0.8</v>
      </c>
      <c r="EX13" s="198"/>
      <c r="EY13" s="198"/>
      <c r="EZ13" s="198"/>
      <c r="FA13" s="198"/>
      <c r="FB13" s="198"/>
      <c r="FC13" s="198"/>
      <c r="FD13" s="198"/>
      <c r="FE13" s="198"/>
      <c r="FF13" s="198"/>
      <c r="FG13" s="198"/>
      <c r="FH13" s="198">
        <v>0.2</v>
      </c>
      <c r="FI13" s="198">
        <v>2</v>
      </c>
      <c r="FJ13" s="198"/>
      <c r="FK13" s="198"/>
      <c r="FL13" s="198"/>
      <c r="FM13" s="198">
        <v>40</v>
      </c>
      <c r="FN13" s="198"/>
      <c r="FO13" s="198"/>
      <c r="FP13" s="198"/>
      <c r="FQ13" s="198"/>
      <c r="FR13" s="199"/>
      <c r="FS13" s="199"/>
      <c r="FT13" s="199"/>
      <c r="FU13" s="199"/>
      <c r="FV13" s="199"/>
    </row>
    <row r="14" spans="1:178" ht="32.25" customHeight="1" x14ac:dyDescent="0.2">
      <c r="A14" s="200" t="s">
        <v>2988</v>
      </c>
      <c r="B14" s="200" t="s">
        <v>2989</v>
      </c>
      <c r="C14" s="201" t="s">
        <v>3873</v>
      </c>
      <c r="D14" s="201" t="s">
        <v>3874</v>
      </c>
      <c r="E14" s="201" t="s">
        <v>625</v>
      </c>
      <c r="F14" s="201"/>
      <c r="G14" s="202">
        <v>7.4999999999999997E-3</v>
      </c>
      <c r="H14" s="202"/>
      <c r="I14" s="202">
        <v>2</v>
      </c>
      <c r="J14" s="202"/>
      <c r="K14" s="202"/>
      <c r="L14" s="202"/>
      <c r="M14" s="202"/>
      <c r="N14" s="202"/>
      <c r="O14" s="202">
        <v>39</v>
      </c>
      <c r="P14" s="202"/>
      <c r="Q14" s="202"/>
      <c r="R14" s="202"/>
      <c r="S14" s="202">
        <v>0.25</v>
      </c>
      <c r="T14" s="202"/>
      <c r="U14" s="202"/>
      <c r="V14" s="202"/>
      <c r="W14" s="202"/>
      <c r="X14" s="202"/>
      <c r="Y14" s="202"/>
      <c r="Z14" s="202"/>
      <c r="AA14" s="202"/>
      <c r="AB14" s="202"/>
      <c r="AC14" s="202"/>
      <c r="AD14" s="202">
        <v>0.99</v>
      </c>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202"/>
      <c r="BG14" s="202"/>
      <c r="BH14" s="202"/>
      <c r="BI14" s="202"/>
      <c r="BJ14" s="202"/>
      <c r="BK14" s="202"/>
      <c r="BL14" s="202"/>
      <c r="BM14" s="202"/>
      <c r="BN14" s="202"/>
      <c r="BO14" s="202"/>
      <c r="BP14" s="202"/>
      <c r="BQ14" s="202"/>
      <c r="BR14" s="202"/>
      <c r="BS14" s="202"/>
      <c r="BT14" s="202"/>
      <c r="BU14" s="202"/>
      <c r="BV14" s="202"/>
      <c r="BW14" s="202"/>
      <c r="BX14" s="202"/>
      <c r="BY14" s="202"/>
      <c r="BZ14" s="202"/>
      <c r="CA14" s="202"/>
      <c r="CB14" s="202"/>
      <c r="CC14" s="202"/>
      <c r="CD14" s="202"/>
      <c r="CE14" s="202"/>
      <c r="CF14" s="202"/>
      <c r="CG14" s="202"/>
      <c r="CH14" s="202"/>
      <c r="CI14" s="202"/>
      <c r="CJ14" s="202"/>
      <c r="CK14" s="202"/>
      <c r="CL14" s="202"/>
      <c r="CM14" s="202"/>
      <c r="CN14" s="202"/>
      <c r="CO14" s="202"/>
      <c r="CP14" s="202"/>
      <c r="CQ14" s="202"/>
      <c r="CR14" s="202"/>
      <c r="CS14" s="202"/>
      <c r="CT14" s="202"/>
      <c r="CU14" s="202"/>
      <c r="CV14" s="202"/>
      <c r="CW14" s="202"/>
      <c r="CX14" s="202"/>
      <c r="CY14" s="202"/>
      <c r="CZ14" s="202"/>
      <c r="DA14" s="202"/>
      <c r="DB14" s="202"/>
      <c r="DC14" s="202"/>
      <c r="DD14" s="202"/>
      <c r="DE14" s="202"/>
      <c r="DF14" s="202"/>
      <c r="DG14" s="202"/>
      <c r="DH14" s="202"/>
      <c r="DI14" s="202"/>
      <c r="DJ14" s="202"/>
      <c r="DK14" s="202"/>
      <c r="DL14" s="202"/>
      <c r="DM14" s="202"/>
      <c r="DN14" s="202"/>
      <c r="DO14" s="202"/>
      <c r="DP14" s="202"/>
      <c r="DQ14" s="202"/>
      <c r="DR14" s="202"/>
      <c r="DS14" s="202"/>
      <c r="DT14" s="202"/>
      <c r="DU14" s="202"/>
      <c r="DV14" s="202"/>
      <c r="DW14" s="202"/>
      <c r="DX14" s="202"/>
      <c r="DY14" s="202"/>
      <c r="DZ14" s="202"/>
      <c r="EA14" s="202"/>
      <c r="EB14" s="202"/>
      <c r="EC14" s="202"/>
      <c r="ED14" s="202"/>
      <c r="EE14" s="202"/>
      <c r="EF14" s="202"/>
      <c r="EG14" s="202"/>
      <c r="EH14" s="202">
        <v>100</v>
      </c>
      <c r="EI14" s="202"/>
      <c r="EJ14" s="202"/>
      <c r="EK14" s="202"/>
      <c r="EL14" s="202"/>
      <c r="EM14" s="202"/>
      <c r="EN14" s="202"/>
      <c r="EO14" s="202"/>
      <c r="EP14" s="202"/>
      <c r="EQ14" s="202"/>
      <c r="ER14" s="202"/>
      <c r="ES14" s="202"/>
      <c r="ET14" s="202"/>
      <c r="EU14" s="202"/>
      <c r="EV14" s="202"/>
      <c r="EW14" s="202"/>
      <c r="EX14" s="202"/>
      <c r="EY14" s="202"/>
      <c r="EZ14" s="202"/>
      <c r="FA14" s="202"/>
      <c r="FB14" s="202"/>
      <c r="FC14" s="202"/>
      <c r="FD14" s="202"/>
      <c r="FE14" s="202"/>
      <c r="FF14" s="202">
        <v>6.4999999999999997E-3</v>
      </c>
      <c r="FG14" s="202"/>
      <c r="FH14" s="202"/>
      <c r="FI14" s="202">
        <v>20</v>
      </c>
      <c r="FJ14" s="202"/>
      <c r="FK14" s="202"/>
      <c r="FL14" s="202"/>
      <c r="FM14" s="202">
        <v>8</v>
      </c>
      <c r="FN14" s="202">
        <v>7.4999999999999997E-3</v>
      </c>
      <c r="FO14" s="202"/>
      <c r="FP14" s="202"/>
      <c r="FQ14" s="202"/>
      <c r="FR14" s="203"/>
      <c r="FS14" s="203"/>
      <c r="FT14" s="203"/>
      <c r="FU14" s="203"/>
      <c r="FV14" s="203"/>
    </row>
    <row r="15" spans="1:178" ht="34.5" customHeight="1" x14ac:dyDescent="0.2">
      <c r="A15" s="204" t="s">
        <v>2992</v>
      </c>
      <c r="B15" s="204" t="s">
        <v>2993</v>
      </c>
      <c r="C15" s="205" t="s">
        <v>3875</v>
      </c>
      <c r="D15" s="205" t="s">
        <v>3876</v>
      </c>
      <c r="E15" s="205" t="s">
        <v>625</v>
      </c>
      <c r="F15" s="205"/>
      <c r="G15" s="206"/>
      <c r="H15" s="206"/>
      <c r="I15" s="206"/>
      <c r="J15" s="206"/>
      <c r="K15" s="206"/>
      <c r="L15" s="206"/>
      <c r="M15" s="206"/>
      <c r="N15" s="206"/>
      <c r="O15" s="206"/>
      <c r="P15" s="206"/>
      <c r="Q15" s="206"/>
      <c r="R15" s="206"/>
      <c r="S15" s="206">
        <v>70</v>
      </c>
      <c r="T15" s="206"/>
      <c r="U15" s="206"/>
      <c r="V15" s="206"/>
      <c r="W15" s="206"/>
      <c r="X15" s="206"/>
      <c r="Y15" s="206"/>
      <c r="Z15" s="206"/>
      <c r="AA15" s="206"/>
      <c r="AB15" s="206"/>
      <c r="AC15" s="206"/>
      <c r="AD15" s="206">
        <v>0.2</v>
      </c>
      <c r="AE15" s="206">
        <v>0.3</v>
      </c>
      <c r="AF15" s="206"/>
      <c r="AG15" s="206"/>
      <c r="AH15" s="206"/>
      <c r="AI15" s="206"/>
      <c r="AJ15" s="206"/>
      <c r="AK15" s="206"/>
      <c r="AL15" s="206"/>
      <c r="AM15" s="206"/>
      <c r="AN15" s="206"/>
      <c r="AO15" s="206"/>
      <c r="AP15" s="206"/>
      <c r="AQ15" s="206"/>
      <c r="AR15" s="206"/>
      <c r="AS15" s="206"/>
      <c r="AT15" s="206"/>
      <c r="AU15" s="206"/>
      <c r="AV15" s="206"/>
      <c r="AW15" s="206"/>
      <c r="AX15" s="206"/>
      <c r="AY15" s="206"/>
      <c r="AZ15" s="206"/>
      <c r="BA15" s="206">
        <v>0.3</v>
      </c>
      <c r="BB15" s="206"/>
      <c r="BC15" s="206"/>
      <c r="BD15" s="206"/>
      <c r="BE15" s="206"/>
      <c r="BF15" s="206"/>
      <c r="BG15" s="206"/>
      <c r="BH15" s="206"/>
      <c r="BI15" s="206"/>
      <c r="BJ15" s="206"/>
      <c r="BK15" s="206"/>
      <c r="BL15" s="206"/>
      <c r="BM15" s="206"/>
      <c r="BN15" s="206"/>
      <c r="BO15" s="206"/>
      <c r="BP15" s="206"/>
      <c r="BQ15" s="206"/>
      <c r="BR15" s="206"/>
      <c r="BS15" s="206"/>
      <c r="BT15" s="206">
        <v>0.2</v>
      </c>
      <c r="BU15" s="206"/>
      <c r="BV15" s="206"/>
      <c r="BW15" s="206"/>
      <c r="BX15" s="206"/>
      <c r="BY15" s="206"/>
      <c r="BZ15" s="206"/>
      <c r="CA15" s="206"/>
      <c r="CB15" s="206"/>
      <c r="CC15" s="206"/>
      <c r="CD15" s="206"/>
      <c r="CE15" s="206"/>
      <c r="CF15" s="206"/>
      <c r="CG15" s="206"/>
      <c r="CH15" s="206"/>
      <c r="CI15" s="206"/>
      <c r="CJ15" s="206"/>
      <c r="CK15" s="206"/>
      <c r="CL15" s="206"/>
      <c r="CM15" s="206"/>
      <c r="CN15" s="206"/>
      <c r="CO15" s="206"/>
      <c r="CP15" s="206"/>
      <c r="CQ15" s="206"/>
      <c r="CR15" s="206"/>
      <c r="CS15" s="206"/>
      <c r="CT15" s="206"/>
      <c r="CU15" s="206"/>
      <c r="CV15" s="206"/>
      <c r="CW15" s="206"/>
      <c r="CX15" s="206"/>
      <c r="CY15" s="206">
        <v>100</v>
      </c>
      <c r="CZ15" s="206"/>
      <c r="DA15" s="206"/>
      <c r="DB15" s="206"/>
      <c r="DC15" s="206"/>
      <c r="DD15" s="206"/>
      <c r="DE15" s="206"/>
      <c r="DF15" s="206"/>
      <c r="DG15" s="206"/>
      <c r="DH15" s="206"/>
      <c r="DI15" s="206"/>
      <c r="DJ15" s="206"/>
      <c r="DK15" s="206"/>
      <c r="DL15" s="206"/>
      <c r="DM15" s="206"/>
      <c r="DN15" s="206"/>
      <c r="DO15" s="206"/>
      <c r="DP15" s="206"/>
      <c r="DQ15" s="206"/>
      <c r="DR15" s="206"/>
      <c r="DS15" s="206"/>
      <c r="DT15" s="206"/>
      <c r="DU15" s="206"/>
      <c r="DV15" s="206"/>
      <c r="DW15" s="206"/>
      <c r="DX15" s="206"/>
      <c r="DY15" s="206"/>
      <c r="DZ15" s="206"/>
      <c r="EA15" s="206"/>
      <c r="EB15" s="206"/>
      <c r="EC15" s="206"/>
      <c r="ED15" s="206"/>
      <c r="EE15" s="206"/>
      <c r="EF15" s="206"/>
      <c r="EG15" s="206"/>
      <c r="EH15" s="206"/>
      <c r="EI15" s="206"/>
      <c r="EJ15" s="206"/>
      <c r="EK15" s="206"/>
      <c r="EL15" s="206"/>
      <c r="EM15" s="206"/>
      <c r="EN15" s="206"/>
      <c r="EO15" s="206"/>
      <c r="EP15" s="206"/>
      <c r="EQ15" s="206"/>
      <c r="ER15" s="206"/>
      <c r="ES15" s="206"/>
      <c r="ET15" s="206"/>
      <c r="EU15" s="206">
        <v>0.2</v>
      </c>
      <c r="EV15" s="206"/>
      <c r="EW15" s="206">
        <v>16</v>
      </c>
      <c r="EX15" s="206"/>
      <c r="EY15" s="206"/>
      <c r="EZ15" s="206"/>
      <c r="FA15" s="206"/>
      <c r="FB15" s="206"/>
      <c r="FC15" s="206"/>
      <c r="FD15" s="206"/>
      <c r="FE15" s="206"/>
      <c r="FF15" s="206"/>
      <c r="FG15" s="206"/>
      <c r="FH15" s="206"/>
      <c r="FI15" s="206">
        <v>0.04</v>
      </c>
      <c r="FJ15" s="206"/>
      <c r="FK15" s="206"/>
      <c r="FL15" s="206"/>
      <c r="FM15" s="206">
        <v>0.2</v>
      </c>
      <c r="FN15" s="206"/>
      <c r="FO15" s="206"/>
      <c r="FP15" s="206"/>
      <c r="FQ15" s="206"/>
      <c r="FR15" s="207"/>
      <c r="FS15" s="207"/>
      <c r="FT15" s="207"/>
      <c r="FU15" s="207"/>
      <c r="FV15" s="207"/>
    </row>
    <row r="16" spans="1:178" ht="39.75" customHeight="1" x14ac:dyDescent="0.2">
      <c r="A16" s="186" t="s">
        <v>2995</v>
      </c>
      <c r="B16" s="186" t="s">
        <v>3877</v>
      </c>
      <c r="C16" s="187" t="s">
        <v>3878</v>
      </c>
      <c r="D16" s="187" t="s">
        <v>3879</v>
      </c>
      <c r="E16" s="187" t="s">
        <v>625</v>
      </c>
      <c r="F16" s="187"/>
      <c r="G16" s="188"/>
      <c r="H16" s="188"/>
      <c r="I16" s="188">
        <v>0.6</v>
      </c>
      <c r="J16" s="188"/>
      <c r="K16" s="188"/>
      <c r="L16" s="188"/>
      <c r="M16" s="188"/>
      <c r="N16" s="188"/>
      <c r="O16" s="188"/>
      <c r="P16" s="188"/>
      <c r="Q16" s="188"/>
      <c r="R16" s="188"/>
      <c r="S16" s="188">
        <v>45</v>
      </c>
      <c r="T16" s="188"/>
      <c r="U16" s="188"/>
      <c r="V16" s="188"/>
      <c r="W16" s="188"/>
      <c r="X16" s="188"/>
      <c r="Y16" s="188"/>
      <c r="Z16" s="188"/>
      <c r="AA16" s="188"/>
      <c r="AB16" s="188"/>
      <c r="AC16" s="188"/>
      <c r="AD16" s="188">
        <v>0.2</v>
      </c>
      <c r="AE16" s="188">
        <v>0.35</v>
      </c>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v>0.3</v>
      </c>
      <c r="BB16" s="188"/>
      <c r="BC16" s="188"/>
      <c r="BD16" s="188"/>
      <c r="BE16" s="188"/>
      <c r="BF16" s="188"/>
      <c r="BG16" s="188"/>
      <c r="BH16" s="188"/>
      <c r="BI16" s="188"/>
      <c r="BJ16" s="188"/>
      <c r="BK16" s="188"/>
      <c r="BL16" s="188"/>
      <c r="BM16" s="188"/>
      <c r="BN16" s="188"/>
      <c r="BO16" s="188"/>
      <c r="BP16" s="188"/>
      <c r="BQ16" s="188"/>
      <c r="BR16" s="188"/>
      <c r="BS16" s="188"/>
      <c r="BT16" s="188">
        <v>0.2</v>
      </c>
      <c r="BU16" s="188"/>
      <c r="BV16" s="188"/>
      <c r="BW16" s="188"/>
      <c r="BX16" s="188"/>
      <c r="BY16" s="188"/>
      <c r="BZ16" s="188"/>
      <c r="CA16" s="188"/>
      <c r="CB16" s="188"/>
      <c r="CC16" s="188"/>
      <c r="CD16" s="188"/>
      <c r="CE16" s="188"/>
      <c r="CF16" s="188"/>
      <c r="CG16" s="188"/>
      <c r="CH16" s="188"/>
      <c r="CI16" s="188"/>
      <c r="CJ16" s="188"/>
      <c r="CK16" s="188"/>
      <c r="CL16" s="188"/>
      <c r="CM16" s="188"/>
      <c r="CN16" s="188"/>
      <c r="CO16" s="188"/>
      <c r="CP16" s="188"/>
      <c r="CQ16" s="188"/>
      <c r="CR16" s="188"/>
      <c r="CS16" s="188"/>
      <c r="CT16" s="188">
        <v>100</v>
      </c>
      <c r="CU16" s="188"/>
      <c r="CV16" s="188"/>
      <c r="CW16" s="188"/>
      <c r="CX16" s="188"/>
      <c r="CY16" s="188"/>
      <c r="CZ16" s="188"/>
      <c r="DA16" s="188"/>
      <c r="DB16" s="188"/>
      <c r="DC16" s="188"/>
      <c r="DD16" s="188"/>
      <c r="DE16" s="188"/>
      <c r="DF16" s="188"/>
      <c r="DG16" s="188"/>
      <c r="DH16" s="188"/>
      <c r="DI16" s="188"/>
      <c r="DJ16" s="188"/>
      <c r="DK16" s="188"/>
      <c r="DL16" s="188"/>
      <c r="DM16" s="188"/>
      <c r="DN16" s="188"/>
      <c r="DO16" s="188"/>
      <c r="DP16" s="188"/>
      <c r="DQ16" s="188"/>
      <c r="DR16" s="188"/>
      <c r="DS16" s="188"/>
      <c r="DT16" s="188"/>
      <c r="DU16" s="188"/>
      <c r="DV16" s="188"/>
      <c r="DW16" s="188"/>
      <c r="DX16" s="188"/>
      <c r="DY16" s="188"/>
      <c r="DZ16" s="188"/>
      <c r="EA16" s="188"/>
      <c r="EB16" s="188"/>
      <c r="EC16" s="188"/>
      <c r="ED16" s="188"/>
      <c r="EE16" s="188"/>
      <c r="EF16" s="188"/>
      <c r="EG16" s="188"/>
      <c r="EH16" s="188"/>
      <c r="EI16" s="188"/>
      <c r="EJ16" s="188"/>
      <c r="EK16" s="188"/>
      <c r="EL16" s="188"/>
      <c r="EM16" s="188"/>
      <c r="EN16" s="188"/>
      <c r="EO16" s="188"/>
      <c r="EP16" s="188"/>
      <c r="EQ16" s="188"/>
      <c r="ER16" s="188"/>
      <c r="ES16" s="188"/>
      <c r="ET16" s="188"/>
      <c r="EU16" s="188">
        <v>0.35</v>
      </c>
      <c r="EV16" s="188"/>
      <c r="EW16" s="188">
        <v>11</v>
      </c>
      <c r="EX16" s="188"/>
      <c r="EY16" s="188"/>
      <c r="EZ16" s="188"/>
      <c r="FA16" s="188"/>
      <c r="FB16" s="188"/>
      <c r="FC16" s="188"/>
      <c r="FD16" s="188"/>
      <c r="FE16" s="188"/>
      <c r="FF16" s="188"/>
      <c r="FG16" s="188"/>
      <c r="FH16" s="188"/>
      <c r="FI16" s="188">
        <v>0.04</v>
      </c>
      <c r="FJ16" s="188"/>
      <c r="FK16" s="188"/>
      <c r="FL16" s="188"/>
      <c r="FM16" s="188">
        <v>15</v>
      </c>
      <c r="FN16" s="188"/>
      <c r="FO16" s="188"/>
      <c r="FP16" s="188"/>
      <c r="FQ16" s="188"/>
    </row>
    <row r="17" spans="1:178" ht="38.25" customHeight="1" x14ac:dyDescent="0.2">
      <c r="A17" s="186" t="s">
        <v>2999</v>
      </c>
      <c r="B17" s="186" t="s">
        <v>3000</v>
      </c>
      <c r="C17" s="187" t="s">
        <v>3880</v>
      </c>
      <c r="D17" s="187" t="s">
        <v>3881</v>
      </c>
      <c r="E17" s="187" t="s">
        <v>625</v>
      </c>
      <c r="F17" s="187"/>
      <c r="G17" s="188"/>
      <c r="H17" s="188"/>
      <c r="I17" s="188"/>
      <c r="J17" s="188"/>
      <c r="K17" s="188"/>
      <c r="L17" s="188"/>
      <c r="M17" s="188"/>
      <c r="N17" s="188"/>
      <c r="O17" s="188"/>
      <c r="P17" s="188"/>
      <c r="Q17" s="188"/>
      <c r="R17" s="188"/>
      <c r="S17" s="188"/>
      <c r="T17" s="188"/>
      <c r="U17" s="188"/>
      <c r="V17" s="188"/>
      <c r="W17" s="188"/>
      <c r="X17" s="188"/>
      <c r="Y17" s="188"/>
      <c r="Z17" s="188"/>
      <c r="AA17" s="188"/>
      <c r="AB17" s="188"/>
      <c r="AC17" s="188"/>
      <c r="AD17" s="188"/>
      <c r="AE17" s="188"/>
      <c r="AF17" s="188"/>
      <c r="AG17" s="188"/>
      <c r="AH17" s="188"/>
      <c r="AI17" s="188"/>
      <c r="AJ17" s="188"/>
      <c r="AK17" s="188"/>
      <c r="AL17" s="188"/>
      <c r="AM17" s="188"/>
      <c r="AN17" s="188"/>
      <c r="AO17" s="188"/>
      <c r="AP17" s="188"/>
      <c r="AQ17" s="188"/>
      <c r="AR17" s="188"/>
      <c r="AS17" s="188"/>
      <c r="AT17" s="188"/>
      <c r="AU17" s="188"/>
      <c r="AV17" s="188"/>
      <c r="AW17" s="188"/>
      <c r="AX17" s="188"/>
      <c r="AY17" s="188"/>
      <c r="AZ17" s="188"/>
      <c r="BA17" s="188"/>
      <c r="BB17" s="188"/>
      <c r="BC17" s="188"/>
      <c r="BD17" s="188"/>
      <c r="BE17" s="188"/>
      <c r="BF17" s="188"/>
      <c r="BG17" s="188"/>
      <c r="BH17" s="188"/>
      <c r="BI17" s="188"/>
      <c r="BJ17" s="188"/>
      <c r="BK17" s="188"/>
      <c r="BL17" s="188"/>
      <c r="BM17" s="188"/>
      <c r="BN17" s="188"/>
      <c r="BO17" s="188"/>
      <c r="BP17" s="188"/>
      <c r="BQ17" s="188"/>
      <c r="BR17" s="188"/>
      <c r="BS17" s="188"/>
      <c r="BT17" s="188"/>
      <c r="BU17" s="188"/>
      <c r="BV17" s="188"/>
      <c r="BW17" s="188"/>
      <c r="BX17" s="188"/>
      <c r="BY17" s="188"/>
      <c r="BZ17" s="188"/>
      <c r="CA17" s="188"/>
      <c r="CB17" s="188"/>
      <c r="CC17" s="188"/>
      <c r="CD17" s="188"/>
      <c r="CE17" s="188"/>
      <c r="CF17" s="188"/>
      <c r="CG17" s="188"/>
      <c r="CH17" s="188"/>
      <c r="CI17" s="188"/>
      <c r="CJ17" s="188"/>
      <c r="CK17" s="188"/>
      <c r="CL17" s="188"/>
      <c r="CM17" s="188"/>
      <c r="CN17" s="188"/>
      <c r="CO17" s="188"/>
      <c r="CP17" s="188"/>
      <c r="CQ17" s="188"/>
      <c r="CR17" s="188"/>
      <c r="CS17" s="188"/>
      <c r="CT17" s="188"/>
      <c r="CU17" s="188"/>
      <c r="CV17" s="188"/>
      <c r="CW17" s="188"/>
      <c r="CX17" s="188"/>
      <c r="CY17" s="188"/>
      <c r="CZ17" s="188"/>
      <c r="DA17" s="188"/>
      <c r="DB17" s="188"/>
      <c r="DC17" s="188"/>
      <c r="DD17" s="188"/>
      <c r="DE17" s="188"/>
      <c r="DF17" s="188"/>
      <c r="DG17" s="188"/>
      <c r="DH17" s="188"/>
      <c r="DI17" s="188"/>
      <c r="DJ17" s="188"/>
      <c r="DK17" s="188"/>
      <c r="DL17" s="188"/>
      <c r="DM17" s="188"/>
      <c r="DN17" s="188"/>
      <c r="DO17" s="188"/>
      <c r="DP17" s="188"/>
      <c r="DQ17" s="188"/>
      <c r="DR17" s="188"/>
      <c r="DS17" s="188"/>
      <c r="DT17" s="188"/>
      <c r="DU17" s="188"/>
      <c r="DV17" s="188"/>
      <c r="DW17" s="188"/>
      <c r="DX17" s="188"/>
      <c r="DY17" s="188"/>
      <c r="DZ17" s="188"/>
      <c r="EA17" s="188"/>
      <c r="EB17" s="188"/>
      <c r="EC17" s="188"/>
      <c r="ED17" s="188"/>
      <c r="EE17" s="188"/>
      <c r="EF17" s="188"/>
      <c r="EG17" s="188"/>
      <c r="EH17" s="188"/>
      <c r="EI17" s="188"/>
      <c r="EJ17" s="188"/>
      <c r="EK17" s="188"/>
      <c r="EL17" s="188"/>
      <c r="EM17" s="188"/>
      <c r="EN17" s="188"/>
      <c r="EO17" s="188"/>
      <c r="EP17" s="188"/>
      <c r="EQ17" s="188"/>
      <c r="ER17" s="188"/>
      <c r="ES17" s="188"/>
      <c r="ET17" s="188"/>
      <c r="EU17" s="188"/>
      <c r="EV17" s="188"/>
      <c r="EW17" s="188"/>
      <c r="EX17" s="188"/>
      <c r="EY17" s="188"/>
      <c r="EZ17" s="188"/>
      <c r="FA17" s="188"/>
      <c r="FB17" s="188"/>
      <c r="FC17" s="188"/>
      <c r="FD17" s="188"/>
      <c r="FE17" s="188"/>
      <c r="FF17" s="188"/>
      <c r="FG17" s="188"/>
      <c r="FH17" s="188"/>
      <c r="FI17" s="188"/>
      <c r="FJ17" s="188"/>
      <c r="FK17" s="188"/>
      <c r="FL17" s="188"/>
      <c r="FM17" s="188"/>
      <c r="FN17" s="188"/>
      <c r="FO17" s="188"/>
      <c r="FP17" s="188"/>
      <c r="FQ17" s="188"/>
    </row>
    <row r="18" spans="1:178" ht="36" customHeight="1" x14ac:dyDescent="0.2">
      <c r="A18" s="190" t="s">
        <v>3001</v>
      </c>
      <c r="B18" s="190" t="s">
        <v>3002</v>
      </c>
      <c r="C18" s="191" t="s">
        <v>3882</v>
      </c>
      <c r="D18" s="191" t="s">
        <v>3883</v>
      </c>
      <c r="E18" s="191" t="s">
        <v>625</v>
      </c>
      <c r="F18" s="191"/>
      <c r="G18" s="192"/>
      <c r="H18" s="192"/>
      <c r="I18" s="192"/>
      <c r="J18" s="192"/>
      <c r="K18" s="192"/>
      <c r="L18" s="192"/>
      <c r="M18" s="192"/>
      <c r="N18" s="192"/>
      <c r="O18" s="192"/>
      <c r="P18" s="192"/>
      <c r="Q18" s="192"/>
      <c r="R18" s="192"/>
      <c r="S18" s="192">
        <v>5</v>
      </c>
      <c r="T18" s="192"/>
      <c r="U18" s="192"/>
      <c r="V18" s="192"/>
      <c r="W18" s="192"/>
      <c r="X18" s="192"/>
      <c r="Y18" s="192"/>
      <c r="Z18" s="192"/>
      <c r="AA18" s="192"/>
      <c r="AB18" s="192"/>
      <c r="AC18" s="192"/>
      <c r="AD18" s="192">
        <v>0.4</v>
      </c>
      <c r="AE18" s="192"/>
      <c r="AF18" s="192"/>
      <c r="AG18" s="192"/>
      <c r="AH18" s="192"/>
      <c r="AI18" s="192"/>
      <c r="AJ18" s="192"/>
      <c r="AK18" s="192"/>
      <c r="AL18" s="192"/>
      <c r="AM18" s="192"/>
      <c r="AN18" s="192"/>
      <c r="AO18" s="192"/>
      <c r="AP18" s="192"/>
      <c r="AQ18" s="192"/>
      <c r="AR18" s="192"/>
      <c r="AS18" s="192"/>
      <c r="AT18" s="192"/>
      <c r="AU18" s="192"/>
      <c r="AV18" s="192"/>
      <c r="AW18" s="192">
        <v>10</v>
      </c>
      <c r="AX18" s="192"/>
      <c r="AY18" s="192"/>
      <c r="AZ18" s="192"/>
      <c r="BA18" s="192">
        <v>3</v>
      </c>
      <c r="BB18" s="192"/>
      <c r="BC18" s="192"/>
      <c r="BD18" s="192"/>
      <c r="BE18" s="192"/>
      <c r="BF18" s="192"/>
      <c r="BG18" s="192"/>
      <c r="BH18" s="192"/>
      <c r="BI18" s="192"/>
      <c r="BJ18" s="192"/>
      <c r="BK18" s="192"/>
      <c r="BL18" s="192"/>
      <c r="BM18" s="192"/>
      <c r="BN18" s="192"/>
      <c r="BO18" s="192"/>
      <c r="BP18" s="192"/>
      <c r="BQ18" s="192"/>
      <c r="BR18" s="192"/>
      <c r="BS18" s="192"/>
      <c r="BT18" s="192">
        <v>2</v>
      </c>
      <c r="BU18" s="192"/>
      <c r="BV18" s="192"/>
      <c r="BW18" s="192"/>
      <c r="BX18" s="192"/>
      <c r="BY18" s="192"/>
      <c r="BZ18" s="192"/>
      <c r="CA18" s="192"/>
      <c r="CB18" s="192"/>
      <c r="CC18" s="192"/>
      <c r="CD18" s="192"/>
      <c r="CE18" s="192"/>
      <c r="CF18" s="192"/>
      <c r="CG18" s="192"/>
      <c r="CH18" s="192"/>
      <c r="CI18" s="192"/>
      <c r="CJ18" s="192"/>
      <c r="CK18" s="192"/>
      <c r="CL18" s="192"/>
      <c r="CM18" s="192"/>
      <c r="CN18" s="192"/>
      <c r="CO18" s="192"/>
      <c r="CP18" s="192"/>
      <c r="CQ18" s="192"/>
      <c r="CR18" s="192"/>
      <c r="CS18" s="192"/>
      <c r="CT18" s="192"/>
      <c r="CU18" s="192"/>
      <c r="CV18" s="192"/>
      <c r="CW18" s="192"/>
      <c r="CX18" s="192"/>
      <c r="CY18" s="192"/>
      <c r="CZ18" s="192"/>
      <c r="DA18" s="192"/>
      <c r="DB18" s="192"/>
      <c r="DC18" s="192"/>
      <c r="DD18" s="192"/>
      <c r="DE18" s="192"/>
      <c r="DF18" s="192"/>
      <c r="DG18" s="192"/>
      <c r="DH18" s="192"/>
      <c r="DI18" s="192"/>
      <c r="DJ18" s="192"/>
      <c r="DK18" s="192"/>
      <c r="DL18" s="192"/>
      <c r="DM18" s="192"/>
      <c r="DN18" s="192"/>
      <c r="DO18" s="192"/>
      <c r="DP18" s="192"/>
      <c r="DQ18" s="192"/>
      <c r="DR18" s="192"/>
      <c r="DS18" s="192"/>
      <c r="DT18" s="192"/>
      <c r="DU18" s="192"/>
      <c r="DV18" s="192"/>
      <c r="DW18" s="192"/>
      <c r="DX18" s="192"/>
      <c r="DY18" s="192"/>
      <c r="DZ18" s="192"/>
      <c r="EA18" s="192"/>
      <c r="EB18" s="192"/>
      <c r="EC18" s="192"/>
      <c r="ED18" s="192"/>
      <c r="EE18" s="192"/>
      <c r="EF18" s="192"/>
      <c r="EG18" s="192"/>
      <c r="EH18" s="192"/>
      <c r="EI18" s="192"/>
      <c r="EJ18" s="192"/>
      <c r="EK18" s="192"/>
      <c r="EL18" s="192"/>
      <c r="EM18" s="192"/>
      <c r="EN18" s="192"/>
      <c r="EO18" s="192"/>
      <c r="EP18" s="192"/>
      <c r="EQ18" s="192"/>
      <c r="ER18" s="192"/>
      <c r="ES18" s="192"/>
      <c r="ET18" s="192"/>
      <c r="EU18" s="192"/>
      <c r="EV18" s="192"/>
      <c r="EW18" s="192">
        <v>24</v>
      </c>
      <c r="EX18" s="192"/>
      <c r="EY18" s="192"/>
      <c r="EZ18" s="192"/>
      <c r="FA18" s="192"/>
      <c r="FB18" s="192"/>
      <c r="FC18" s="192"/>
      <c r="FD18" s="192"/>
      <c r="FE18" s="192"/>
      <c r="FF18" s="192"/>
      <c r="FG18" s="192"/>
      <c r="FH18" s="192"/>
      <c r="FI18" s="192"/>
      <c r="FJ18" s="192"/>
      <c r="FK18" s="192"/>
      <c r="FL18" s="192"/>
      <c r="FM18" s="192">
        <v>0.75</v>
      </c>
      <c r="FN18" s="192"/>
      <c r="FO18" s="192"/>
      <c r="FP18" s="192"/>
      <c r="FQ18" s="192"/>
      <c r="FR18" s="60"/>
      <c r="FS18" s="60"/>
      <c r="FT18" s="60"/>
      <c r="FU18" s="60"/>
      <c r="FV18" s="60"/>
    </row>
    <row r="19" spans="1:178" ht="25.5" customHeight="1" x14ac:dyDescent="0.2">
      <c r="A19" s="186" t="s">
        <v>3005</v>
      </c>
      <c r="B19" s="186" t="s">
        <v>3006</v>
      </c>
      <c r="C19" s="187" t="s">
        <v>3884</v>
      </c>
      <c r="D19" s="187" t="s">
        <v>3885</v>
      </c>
      <c r="E19" s="187" t="s">
        <v>625</v>
      </c>
      <c r="F19" s="187"/>
      <c r="G19" s="188"/>
      <c r="H19" s="188"/>
      <c r="I19" s="188"/>
      <c r="J19" s="188"/>
      <c r="K19" s="188"/>
      <c r="L19" s="188"/>
      <c r="M19" s="188"/>
      <c r="N19" s="188"/>
      <c r="O19" s="188"/>
      <c r="P19" s="188"/>
      <c r="Q19" s="188"/>
      <c r="R19" s="188"/>
      <c r="S19" s="188"/>
      <c r="T19" s="188"/>
      <c r="U19" s="188"/>
      <c r="V19" s="188"/>
      <c r="W19" s="188"/>
      <c r="X19" s="188"/>
      <c r="Y19" s="188"/>
      <c r="Z19" s="188"/>
      <c r="AA19" s="188"/>
      <c r="AB19" s="188"/>
      <c r="AC19" s="188"/>
      <c r="AD19" s="188"/>
      <c r="AE19" s="188"/>
      <c r="AF19" s="188"/>
      <c r="AG19" s="188"/>
      <c r="AH19" s="188"/>
      <c r="AI19" s="188"/>
      <c r="AJ19" s="188"/>
      <c r="AK19" s="188"/>
      <c r="AL19" s="188"/>
      <c r="AM19" s="188"/>
      <c r="AN19" s="188"/>
      <c r="AO19" s="188"/>
      <c r="AP19" s="188"/>
      <c r="AQ19" s="188"/>
      <c r="AR19" s="188"/>
      <c r="AS19" s="188"/>
      <c r="AT19" s="188"/>
      <c r="AU19" s="188"/>
      <c r="AV19" s="188"/>
      <c r="AW19" s="188"/>
      <c r="AX19" s="188"/>
      <c r="AY19" s="188"/>
      <c r="AZ19" s="188"/>
      <c r="BA19" s="188"/>
      <c r="BB19" s="188"/>
      <c r="BC19" s="188"/>
      <c r="BD19" s="188"/>
      <c r="BE19" s="188"/>
      <c r="BF19" s="188"/>
      <c r="BG19" s="188"/>
      <c r="BH19" s="188"/>
      <c r="BI19" s="188"/>
      <c r="BJ19" s="188"/>
      <c r="BK19" s="188"/>
      <c r="BL19" s="188"/>
      <c r="BM19" s="188"/>
      <c r="BN19" s="188"/>
      <c r="BO19" s="188"/>
      <c r="BP19" s="188"/>
      <c r="BQ19" s="188"/>
      <c r="BR19" s="188"/>
      <c r="BS19" s="188"/>
      <c r="BT19" s="188"/>
      <c r="BU19" s="188"/>
      <c r="BV19" s="188"/>
      <c r="BW19" s="188"/>
      <c r="BX19" s="188"/>
      <c r="BY19" s="188"/>
      <c r="BZ19" s="188"/>
      <c r="CA19" s="188"/>
      <c r="CB19" s="188"/>
      <c r="CC19" s="188"/>
      <c r="CD19" s="188"/>
      <c r="CE19" s="188"/>
      <c r="CF19" s="188"/>
      <c r="CG19" s="188"/>
      <c r="CH19" s="188"/>
      <c r="CI19" s="188"/>
      <c r="CJ19" s="188"/>
      <c r="CK19" s="188"/>
      <c r="CL19" s="188"/>
      <c r="CM19" s="188"/>
      <c r="CN19" s="188"/>
      <c r="CO19" s="188"/>
      <c r="CP19" s="188"/>
      <c r="CQ19" s="188"/>
      <c r="CR19" s="188"/>
      <c r="CS19" s="188"/>
      <c r="CT19" s="188"/>
      <c r="CU19" s="188"/>
      <c r="CV19" s="188"/>
      <c r="CW19" s="188"/>
      <c r="CX19" s="188"/>
      <c r="CY19" s="188"/>
      <c r="CZ19" s="188"/>
      <c r="DA19" s="188"/>
      <c r="DB19" s="188"/>
      <c r="DC19" s="188"/>
      <c r="DD19" s="188"/>
      <c r="DE19" s="188"/>
      <c r="DF19" s="188"/>
      <c r="DG19" s="188"/>
      <c r="DH19" s="188"/>
      <c r="DI19" s="188"/>
      <c r="DJ19" s="188"/>
      <c r="DK19" s="188"/>
      <c r="DL19" s="188"/>
      <c r="DM19" s="188"/>
      <c r="DN19" s="188"/>
      <c r="DO19" s="188"/>
      <c r="DP19" s="188"/>
      <c r="DQ19" s="188"/>
      <c r="DR19" s="188"/>
      <c r="DS19" s="188"/>
      <c r="DT19" s="188"/>
      <c r="DU19" s="188"/>
      <c r="DV19" s="188"/>
      <c r="DW19" s="188"/>
      <c r="DX19" s="188"/>
      <c r="DY19" s="188"/>
      <c r="DZ19" s="188"/>
      <c r="EA19" s="188"/>
      <c r="EB19" s="188"/>
      <c r="EC19" s="188"/>
      <c r="ED19" s="188"/>
      <c r="EE19" s="188"/>
      <c r="EF19" s="188"/>
      <c r="EG19" s="188"/>
      <c r="EH19" s="188"/>
      <c r="EI19" s="188"/>
      <c r="EJ19" s="188"/>
      <c r="EK19" s="188"/>
      <c r="EL19" s="188"/>
      <c r="EM19" s="188"/>
      <c r="EN19" s="188"/>
      <c r="EO19" s="188"/>
      <c r="EP19" s="188"/>
      <c r="EQ19" s="188"/>
      <c r="ER19" s="188"/>
      <c r="ES19" s="188"/>
      <c r="ET19" s="188"/>
      <c r="EU19" s="188"/>
      <c r="EV19" s="188"/>
      <c r="EW19" s="188"/>
      <c r="EX19" s="188"/>
      <c r="EY19" s="188"/>
      <c r="EZ19" s="188"/>
      <c r="FA19" s="188"/>
      <c r="FB19" s="188"/>
      <c r="FC19" s="188"/>
      <c r="FD19" s="188"/>
      <c r="FE19" s="188"/>
      <c r="FF19" s="188"/>
      <c r="FG19" s="188"/>
      <c r="FH19" s="188"/>
      <c r="FI19" s="188"/>
      <c r="FJ19" s="188"/>
      <c r="FK19" s="188"/>
      <c r="FL19" s="188"/>
      <c r="FM19" s="188"/>
      <c r="FN19" s="188"/>
      <c r="FO19" s="188"/>
      <c r="FP19" s="188"/>
      <c r="FQ19" s="188"/>
    </row>
    <row r="20" spans="1:178" ht="31.5" customHeight="1" x14ac:dyDescent="0.2">
      <c r="A20" s="186" t="s">
        <v>3886</v>
      </c>
      <c r="B20" s="186" t="s">
        <v>3008</v>
      </c>
      <c r="C20" s="187" t="s">
        <v>3887</v>
      </c>
      <c r="D20" s="187" t="s">
        <v>3888</v>
      </c>
      <c r="E20" s="187" t="s">
        <v>625</v>
      </c>
      <c r="F20" s="187"/>
      <c r="G20" s="188"/>
      <c r="H20" s="188"/>
      <c r="I20" s="188"/>
      <c r="J20" s="188"/>
      <c r="K20" s="188"/>
      <c r="L20" s="188"/>
      <c r="M20" s="188"/>
      <c r="N20" s="188"/>
      <c r="O20" s="188"/>
      <c r="P20" s="188"/>
      <c r="Q20" s="188"/>
      <c r="R20" s="188"/>
      <c r="S20" s="188"/>
      <c r="T20" s="188"/>
      <c r="U20" s="188"/>
      <c r="V20" s="188"/>
      <c r="W20" s="188"/>
      <c r="X20" s="188"/>
      <c r="Y20" s="188"/>
      <c r="Z20" s="188"/>
      <c r="AA20" s="188"/>
      <c r="AB20" s="188"/>
      <c r="AC20" s="188"/>
      <c r="AD20" s="188"/>
      <c r="AE20" s="188"/>
      <c r="AF20" s="188"/>
      <c r="AG20" s="188"/>
      <c r="AH20" s="188"/>
      <c r="AI20" s="188"/>
      <c r="AJ20" s="188"/>
      <c r="AK20" s="188"/>
      <c r="AL20" s="188"/>
      <c r="AM20" s="188"/>
      <c r="AN20" s="188"/>
      <c r="AO20" s="188"/>
      <c r="AP20" s="188"/>
      <c r="AQ20" s="188"/>
      <c r="AR20" s="188"/>
      <c r="AS20" s="188"/>
      <c r="AT20" s="188"/>
      <c r="AU20" s="188"/>
      <c r="AV20" s="188"/>
      <c r="AW20" s="188"/>
      <c r="AX20" s="188"/>
      <c r="AY20" s="188"/>
      <c r="AZ20" s="188"/>
      <c r="BA20" s="188"/>
      <c r="BB20" s="188"/>
      <c r="BC20" s="188"/>
      <c r="BD20" s="188"/>
      <c r="BE20" s="188"/>
      <c r="BF20" s="188"/>
      <c r="BG20" s="188"/>
      <c r="BH20" s="188"/>
      <c r="BI20" s="188"/>
      <c r="BJ20" s="188"/>
      <c r="BK20" s="188"/>
      <c r="BL20" s="188"/>
      <c r="BM20" s="188"/>
      <c r="BN20" s="188"/>
      <c r="BO20" s="188"/>
      <c r="BP20" s="188"/>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H20" s="188"/>
      <c r="DI20" s="188"/>
      <c r="DJ20" s="188"/>
      <c r="DK20" s="188"/>
      <c r="DL20" s="188"/>
      <c r="DM20" s="188"/>
      <c r="DN20" s="188"/>
      <c r="DO20" s="188"/>
      <c r="DP20" s="188"/>
      <c r="DQ20" s="188"/>
      <c r="DR20" s="188"/>
      <c r="DS20" s="188"/>
      <c r="DT20" s="188"/>
      <c r="DU20" s="188"/>
      <c r="DV20" s="188"/>
      <c r="DW20" s="188"/>
      <c r="DX20" s="188"/>
      <c r="DY20" s="188"/>
      <c r="DZ20" s="188"/>
      <c r="EA20" s="188"/>
      <c r="EB20" s="188"/>
      <c r="EC20" s="188"/>
      <c r="ED20" s="188"/>
      <c r="EE20" s="188"/>
      <c r="EF20" s="188"/>
      <c r="EG20" s="188"/>
      <c r="EH20" s="188"/>
      <c r="EI20" s="188"/>
      <c r="EJ20" s="188"/>
      <c r="EK20" s="188"/>
      <c r="EL20" s="188"/>
      <c r="EM20" s="188"/>
      <c r="EN20" s="188"/>
      <c r="EO20" s="188"/>
      <c r="EP20" s="188"/>
      <c r="EQ20" s="188"/>
      <c r="ER20" s="188"/>
      <c r="ES20" s="188"/>
      <c r="ET20" s="188"/>
      <c r="EU20" s="188"/>
      <c r="EV20" s="188"/>
      <c r="EW20" s="188"/>
      <c r="EX20" s="188"/>
      <c r="EY20" s="188"/>
      <c r="EZ20" s="188"/>
      <c r="FA20" s="188"/>
      <c r="FB20" s="188"/>
      <c r="FC20" s="188"/>
      <c r="FD20" s="188"/>
      <c r="FE20" s="188"/>
      <c r="FF20" s="188"/>
      <c r="FG20" s="188"/>
      <c r="FH20" s="188"/>
      <c r="FI20" s="188"/>
      <c r="FJ20" s="188"/>
      <c r="FK20" s="188"/>
      <c r="FL20" s="188"/>
      <c r="FM20" s="188"/>
      <c r="FN20" s="188"/>
      <c r="FO20" s="188"/>
      <c r="FP20" s="188"/>
      <c r="FQ20" s="188"/>
    </row>
    <row r="21" spans="1:178" ht="31.5" customHeight="1" x14ac:dyDescent="0.2">
      <c r="A21" s="186" t="s">
        <v>3009</v>
      </c>
      <c r="B21" s="186" t="s">
        <v>3010</v>
      </c>
      <c r="C21" s="187" t="s">
        <v>3889</v>
      </c>
      <c r="D21" s="187" t="s">
        <v>3890</v>
      </c>
      <c r="E21" s="187" t="s">
        <v>625</v>
      </c>
      <c r="F21" s="187"/>
      <c r="G21" s="188">
        <v>1</v>
      </c>
      <c r="H21" s="188"/>
      <c r="I21" s="188"/>
      <c r="J21" s="188"/>
      <c r="K21" s="188"/>
      <c r="L21" s="188"/>
      <c r="M21" s="188"/>
      <c r="N21" s="188"/>
      <c r="O21" s="188"/>
      <c r="P21" s="188"/>
      <c r="Q21" s="188"/>
      <c r="R21" s="188"/>
      <c r="S21" s="188"/>
      <c r="T21" s="188"/>
      <c r="U21" s="188"/>
      <c r="V21" s="188"/>
      <c r="W21" s="188"/>
      <c r="X21" s="188"/>
      <c r="Y21" s="188"/>
      <c r="Z21" s="188"/>
      <c r="AA21" s="188"/>
      <c r="AB21" s="188"/>
      <c r="AC21" s="188"/>
      <c r="AD21" s="188"/>
      <c r="AE21" s="188"/>
      <c r="AF21" s="188"/>
      <c r="AG21" s="188"/>
      <c r="AH21" s="188"/>
      <c r="AI21" s="188"/>
      <c r="AJ21" s="188"/>
      <c r="AK21" s="188"/>
      <c r="AL21" s="188"/>
      <c r="AM21" s="188"/>
      <c r="AN21" s="188"/>
      <c r="AO21" s="188"/>
      <c r="AP21" s="188"/>
      <c r="AQ21" s="188"/>
      <c r="AR21" s="188"/>
      <c r="AS21" s="188"/>
      <c r="AT21" s="188"/>
      <c r="AU21" s="188"/>
      <c r="AV21" s="188">
        <v>99</v>
      </c>
      <c r="AW21" s="188"/>
      <c r="AX21" s="188"/>
      <c r="AY21" s="188"/>
      <c r="AZ21" s="188"/>
      <c r="BA21" s="188"/>
      <c r="BB21" s="188"/>
      <c r="BC21" s="188"/>
      <c r="BD21" s="188"/>
      <c r="BE21" s="188"/>
      <c r="BF21" s="188"/>
      <c r="BG21" s="188"/>
      <c r="BH21" s="188"/>
      <c r="BI21" s="188"/>
      <c r="BJ21" s="188"/>
      <c r="BK21" s="188"/>
      <c r="BL21" s="188"/>
      <c r="BM21" s="188"/>
      <c r="BN21" s="188"/>
      <c r="BO21" s="188"/>
      <c r="BP21" s="188"/>
      <c r="BQ21" s="188"/>
      <c r="BR21" s="188"/>
      <c r="BS21" s="188"/>
      <c r="BT21" s="188"/>
      <c r="BU21" s="188"/>
      <c r="BV21" s="188"/>
      <c r="BW21" s="188"/>
      <c r="BX21" s="188"/>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c r="CU21" s="188"/>
      <c r="CV21" s="188"/>
      <c r="CW21" s="188"/>
      <c r="CX21" s="188"/>
      <c r="CY21" s="188"/>
      <c r="CZ21" s="188"/>
      <c r="DA21" s="188"/>
      <c r="DB21" s="188"/>
      <c r="DC21" s="188"/>
      <c r="DD21" s="188"/>
      <c r="DE21" s="188"/>
      <c r="DF21" s="188"/>
      <c r="DG21" s="188"/>
      <c r="DH21" s="188"/>
      <c r="DI21" s="188"/>
      <c r="DJ21" s="188"/>
      <c r="DK21" s="188"/>
      <c r="DL21" s="188"/>
      <c r="DM21" s="188"/>
      <c r="DN21" s="188"/>
      <c r="DO21" s="188"/>
      <c r="DP21" s="188"/>
      <c r="DQ21" s="188"/>
      <c r="DR21" s="188"/>
      <c r="DS21" s="188"/>
      <c r="DT21" s="188"/>
      <c r="DU21" s="188"/>
      <c r="DV21" s="188"/>
      <c r="DW21" s="188"/>
      <c r="DX21" s="188"/>
      <c r="DY21" s="188"/>
      <c r="DZ21" s="188"/>
      <c r="EA21" s="188"/>
      <c r="EB21" s="188"/>
      <c r="EC21" s="188"/>
      <c r="ED21" s="188"/>
      <c r="EE21" s="188"/>
      <c r="EF21" s="188"/>
      <c r="EG21" s="188"/>
      <c r="EH21" s="188"/>
      <c r="EI21" s="188"/>
      <c r="EJ21" s="188"/>
      <c r="EK21" s="188"/>
      <c r="EL21" s="188"/>
      <c r="EM21" s="188"/>
      <c r="EN21" s="188"/>
      <c r="EO21" s="188"/>
      <c r="EP21" s="188"/>
      <c r="EQ21" s="188"/>
      <c r="ER21" s="188"/>
      <c r="ES21" s="188"/>
      <c r="ET21" s="188"/>
      <c r="EU21" s="188"/>
      <c r="EV21" s="188"/>
      <c r="EW21" s="188"/>
      <c r="EX21" s="188"/>
      <c r="EY21" s="188"/>
      <c r="EZ21" s="188"/>
      <c r="FA21" s="188"/>
      <c r="FB21" s="188"/>
      <c r="FC21" s="188"/>
      <c r="FD21" s="188"/>
      <c r="FE21" s="188"/>
      <c r="FF21" s="188"/>
      <c r="FG21" s="188"/>
      <c r="FH21" s="188"/>
      <c r="FI21" s="188"/>
      <c r="FJ21" s="188"/>
      <c r="FK21" s="188"/>
      <c r="FL21" s="188"/>
      <c r="FM21" s="188"/>
      <c r="FN21" s="188"/>
      <c r="FO21" s="188"/>
      <c r="FP21" s="188"/>
      <c r="FQ21" s="188"/>
    </row>
    <row r="22" spans="1:178" ht="32.25" customHeight="1" x14ac:dyDescent="0.2">
      <c r="A22" s="186" t="s">
        <v>3025</v>
      </c>
      <c r="B22" s="186" t="s">
        <v>3026</v>
      </c>
      <c r="C22" s="187" t="s">
        <v>2030</v>
      </c>
      <c r="D22" s="187" t="s">
        <v>3891</v>
      </c>
      <c r="E22" s="187" t="s">
        <v>625</v>
      </c>
      <c r="F22" s="187"/>
      <c r="G22" s="188">
        <v>0.04</v>
      </c>
      <c r="H22" s="188"/>
      <c r="I22" s="188">
        <v>2.5</v>
      </c>
      <c r="J22" s="188"/>
      <c r="K22" s="188"/>
      <c r="L22" s="188"/>
      <c r="M22" s="188"/>
      <c r="N22" s="188"/>
      <c r="O22" s="188">
        <v>43</v>
      </c>
      <c r="P22" s="188"/>
      <c r="Q22" s="188"/>
      <c r="R22" s="188"/>
      <c r="S22" s="188">
        <v>0.1</v>
      </c>
      <c r="T22" s="188"/>
      <c r="U22" s="188"/>
      <c r="V22" s="188"/>
      <c r="W22" s="188"/>
      <c r="X22" s="188"/>
      <c r="Y22" s="188"/>
      <c r="Z22" s="188"/>
      <c r="AA22" s="188"/>
      <c r="AB22" s="188"/>
      <c r="AC22" s="188"/>
      <c r="AD22" s="188">
        <v>0.05</v>
      </c>
      <c r="AE22" s="188"/>
      <c r="AF22" s="188"/>
      <c r="AG22" s="188">
        <v>0.1</v>
      </c>
      <c r="AH22" s="188"/>
      <c r="AI22" s="188"/>
      <c r="AJ22" s="188"/>
      <c r="AK22" s="188"/>
      <c r="AL22" s="188"/>
      <c r="AM22" s="188"/>
      <c r="AN22" s="188"/>
      <c r="AO22" s="188"/>
      <c r="AP22" s="188"/>
      <c r="AQ22" s="188"/>
      <c r="AR22" s="188"/>
      <c r="AS22" s="188"/>
      <c r="AT22" s="188"/>
      <c r="AU22" s="188"/>
      <c r="AV22" s="188">
        <v>0.12</v>
      </c>
      <c r="AW22" s="188"/>
      <c r="AX22" s="188"/>
      <c r="AY22" s="188"/>
      <c r="AZ22" s="188"/>
      <c r="BA22" s="188">
        <v>0.5</v>
      </c>
      <c r="BB22" s="188"/>
      <c r="BC22" s="188"/>
      <c r="BD22" s="188"/>
      <c r="BE22" s="188"/>
      <c r="BF22" s="188"/>
      <c r="BG22" s="188"/>
      <c r="BH22" s="188"/>
      <c r="BI22" s="188"/>
      <c r="BJ22" s="188"/>
      <c r="BK22" s="188"/>
      <c r="BL22" s="188"/>
      <c r="BM22" s="188">
        <v>0.05</v>
      </c>
      <c r="BN22" s="188"/>
      <c r="BO22" s="188"/>
      <c r="BP22" s="188"/>
      <c r="BQ22" s="188"/>
      <c r="BR22" s="188"/>
      <c r="BS22" s="188"/>
      <c r="BT22" s="188"/>
      <c r="BU22" s="188"/>
      <c r="BV22" s="188"/>
      <c r="BW22" s="188"/>
      <c r="BX22" s="188"/>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88"/>
      <c r="DG22" s="188"/>
      <c r="DH22" s="188"/>
      <c r="DI22" s="188"/>
      <c r="DJ22" s="188"/>
      <c r="DK22" s="188"/>
      <c r="DL22" s="188"/>
      <c r="DM22" s="188"/>
      <c r="DN22" s="188"/>
      <c r="DO22" s="188"/>
      <c r="DP22" s="188"/>
      <c r="DQ22" s="188"/>
      <c r="DR22" s="188"/>
      <c r="DS22" s="188"/>
      <c r="DT22" s="188"/>
      <c r="DU22" s="188"/>
      <c r="DV22" s="188"/>
      <c r="DW22" s="188"/>
      <c r="DX22" s="188"/>
      <c r="DY22" s="188"/>
      <c r="DZ22" s="188"/>
      <c r="EA22" s="188"/>
      <c r="EB22" s="188"/>
      <c r="EC22" s="188"/>
      <c r="ED22" s="188"/>
      <c r="EE22" s="188"/>
      <c r="EF22" s="188"/>
      <c r="EG22" s="188"/>
      <c r="EH22" s="188"/>
      <c r="EI22" s="188"/>
      <c r="EJ22" s="188"/>
      <c r="EK22" s="188"/>
      <c r="EL22" s="188"/>
      <c r="EM22" s="188"/>
      <c r="EN22" s="188"/>
      <c r="EO22" s="188"/>
      <c r="EP22" s="188"/>
      <c r="EQ22" s="188"/>
      <c r="ER22" s="188"/>
      <c r="ES22" s="188"/>
      <c r="ET22" s="188"/>
      <c r="EU22" s="188">
        <v>3</v>
      </c>
      <c r="EV22" s="188"/>
      <c r="EW22" s="188">
        <v>5.5</v>
      </c>
      <c r="EX22" s="188"/>
      <c r="EY22" s="188"/>
      <c r="EZ22" s="188"/>
      <c r="FA22" s="188"/>
      <c r="FB22" s="188">
        <v>0.3</v>
      </c>
      <c r="FC22" s="188"/>
      <c r="FD22" s="188"/>
      <c r="FE22" s="188"/>
      <c r="FF22" s="188">
        <v>0.01</v>
      </c>
      <c r="FG22" s="188"/>
      <c r="FH22" s="188"/>
      <c r="FI22" s="188">
        <v>25</v>
      </c>
      <c r="FJ22" s="188"/>
      <c r="FK22" s="188"/>
      <c r="FL22" s="188">
        <v>2.4</v>
      </c>
      <c r="FM22" s="188">
        <v>2</v>
      </c>
      <c r="FN22" s="188">
        <v>0.15</v>
      </c>
      <c r="FO22" s="188"/>
      <c r="FP22" s="188"/>
      <c r="FQ22" s="188"/>
    </row>
    <row r="23" spans="1:178" ht="35.25" customHeight="1" x14ac:dyDescent="0.2">
      <c r="A23" s="186" t="s">
        <v>3049</v>
      </c>
      <c r="B23" s="186" t="s">
        <v>3050</v>
      </c>
      <c r="C23" s="187" t="s">
        <v>3019</v>
      </c>
      <c r="D23" s="187" t="s">
        <v>3892</v>
      </c>
      <c r="E23" s="187" t="s">
        <v>656</v>
      </c>
      <c r="F23" s="187"/>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88"/>
      <c r="DG23" s="188"/>
      <c r="DH23" s="188"/>
      <c r="DI23" s="188"/>
      <c r="DJ23" s="188"/>
      <c r="DK23" s="188"/>
      <c r="DL23" s="188"/>
      <c r="DM23" s="188"/>
      <c r="DN23" s="188"/>
      <c r="DO23" s="188"/>
      <c r="DP23" s="188"/>
      <c r="DQ23" s="188"/>
      <c r="DR23" s="188"/>
      <c r="DS23" s="188"/>
      <c r="DT23" s="188"/>
      <c r="DU23" s="188"/>
      <c r="DV23" s="188"/>
      <c r="DW23" s="188"/>
      <c r="DX23" s="188"/>
      <c r="DY23" s="188"/>
      <c r="DZ23" s="188"/>
      <c r="EA23" s="188"/>
      <c r="EB23" s="188"/>
      <c r="EC23" s="188"/>
      <c r="ED23" s="188"/>
      <c r="EE23" s="188"/>
      <c r="EF23" s="188"/>
      <c r="EG23" s="188"/>
      <c r="EH23" s="188"/>
      <c r="EI23" s="188"/>
      <c r="EJ23" s="188"/>
      <c r="EK23" s="188"/>
      <c r="EL23" s="188"/>
      <c r="EM23" s="188"/>
      <c r="EN23" s="188"/>
      <c r="EO23" s="188"/>
      <c r="EP23" s="188"/>
      <c r="EQ23" s="188"/>
      <c r="ER23" s="188"/>
      <c r="ES23" s="188"/>
      <c r="ET23" s="188"/>
      <c r="EU23" s="188"/>
      <c r="EV23" s="188"/>
      <c r="EW23" s="188"/>
      <c r="EX23" s="188"/>
      <c r="EY23" s="188"/>
      <c r="EZ23" s="188"/>
      <c r="FA23" s="188"/>
      <c r="FB23" s="188"/>
      <c r="FC23" s="188"/>
      <c r="FD23" s="188"/>
      <c r="FE23" s="188"/>
      <c r="FF23" s="188"/>
      <c r="FG23" s="188"/>
      <c r="FH23" s="188"/>
      <c r="FI23" s="188"/>
      <c r="FJ23" s="188"/>
      <c r="FK23" s="188"/>
      <c r="FL23" s="188"/>
      <c r="FM23" s="188"/>
      <c r="FN23" s="188"/>
      <c r="FO23" s="188"/>
      <c r="FP23" s="188"/>
      <c r="FQ23" s="188"/>
    </row>
    <row r="24" spans="1:178" ht="36.75" customHeight="1" x14ac:dyDescent="0.2">
      <c r="A24" s="208" t="s">
        <v>3051</v>
      </c>
      <c r="B24" s="208" t="s">
        <v>3052</v>
      </c>
      <c r="C24" s="209" t="s">
        <v>3019</v>
      </c>
      <c r="D24" s="209" t="s">
        <v>3893</v>
      </c>
      <c r="E24" s="209" t="s">
        <v>656</v>
      </c>
      <c r="F24" s="209"/>
      <c r="G24" s="210">
        <v>3.8999999999999998E-3</v>
      </c>
      <c r="H24" s="210"/>
      <c r="I24" s="210">
        <v>0.1326</v>
      </c>
      <c r="J24" s="210"/>
      <c r="K24" s="210"/>
      <c r="L24" s="210"/>
      <c r="M24" s="210"/>
      <c r="N24" s="210"/>
      <c r="O24" s="210">
        <v>7.1999999999999998E-3</v>
      </c>
      <c r="P24" s="210"/>
      <c r="Q24" s="210"/>
      <c r="R24" s="210"/>
      <c r="S24" s="210">
        <v>14.732799999999999</v>
      </c>
      <c r="T24" s="210"/>
      <c r="U24" s="210"/>
      <c r="V24" s="210"/>
      <c r="W24" s="210"/>
      <c r="X24" s="210"/>
      <c r="Y24" s="210"/>
      <c r="Z24" s="210"/>
      <c r="AA24" s="210"/>
      <c r="AB24" s="210"/>
      <c r="AC24" s="210"/>
      <c r="AD24" s="210">
        <v>1.34E-2</v>
      </c>
      <c r="AE24" s="210">
        <v>1.9900000000000001E-2</v>
      </c>
      <c r="AF24" s="210"/>
      <c r="AG24" s="210"/>
      <c r="AH24" s="210"/>
      <c r="AI24" s="210"/>
      <c r="AJ24" s="210"/>
      <c r="AK24" s="210"/>
      <c r="AL24" s="210"/>
      <c r="AM24" s="210"/>
      <c r="AN24" s="210"/>
      <c r="AO24" s="210"/>
      <c r="AP24" s="210"/>
      <c r="AQ24" s="210"/>
      <c r="AR24" s="210"/>
      <c r="AS24" s="210"/>
      <c r="AT24" s="210"/>
      <c r="AU24" s="210"/>
      <c r="AV24" s="210">
        <v>0.50060000000000004</v>
      </c>
      <c r="AW24" s="210"/>
      <c r="AX24" s="210"/>
      <c r="AY24" s="210"/>
      <c r="AZ24" s="210"/>
      <c r="BA24" s="210">
        <v>1.2200000000000001E-2</v>
      </c>
      <c r="BB24" s="210">
        <v>1.03E-2</v>
      </c>
      <c r="BC24" s="210"/>
      <c r="BD24" s="210"/>
      <c r="BE24" s="210"/>
      <c r="BF24" s="210"/>
      <c r="BG24" s="210"/>
      <c r="BH24" s="210"/>
      <c r="BI24" s="210"/>
      <c r="BJ24" s="210"/>
      <c r="BK24" s="210"/>
      <c r="BL24" s="210"/>
      <c r="BM24" s="210"/>
      <c r="BN24" s="210"/>
      <c r="BO24" s="210"/>
      <c r="BP24" s="210"/>
      <c r="BQ24" s="210"/>
      <c r="BR24" s="210"/>
      <c r="BS24" s="210"/>
      <c r="BT24" s="210"/>
      <c r="BU24" s="210"/>
      <c r="BV24" s="210">
        <v>3.9E-2</v>
      </c>
      <c r="BW24" s="210"/>
      <c r="BX24" s="210"/>
      <c r="BY24" s="210"/>
      <c r="BZ24" s="210"/>
      <c r="CA24" s="210"/>
      <c r="CB24" s="210"/>
      <c r="CC24" s="210"/>
      <c r="CD24" s="210"/>
      <c r="CE24" s="210"/>
      <c r="CF24" s="210"/>
      <c r="CG24" s="210"/>
      <c r="CH24" s="210"/>
      <c r="CI24" s="210"/>
      <c r="CJ24" s="210"/>
      <c r="CK24" s="210"/>
      <c r="CL24" s="210"/>
      <c r="CM24" s="210"/>
      <c r="CN24" s="210"/>
      <c r="CO24" s="210">
        <v>12.332000000000001</v>
      </c>
      <c r="CP24" s="210"/>
      <c r="CQ24" s="210"/>
      <c r="CR24" s="210"/>
      <c r="CS24" s="210"/>
      <c r="CT24" s="210"/>
      <c r="CU24" s="210"/>
      <c r="CV24" s="210"/>
      <c r="CW24" s="210"/>
      <c r="CX24" s="210"/>
      <c r="CY24" s="211">
        <v>3.2</v>
      </c>
      <c r="CZ24" s="210"/>
      <c r="DA24" s="210"/>
      <c r="DB24" s="210"/>
      <c r="DC24" s="210"/>
      <c r="DD24" s="210"/>
      <c r="DE24" s="210"/>
      <c r="DF24" s="210"/>
      <c r="DG24" s="210"/>
      <c r="DH24" s="210"/>
      <c r="DI24" s="210"/>
      <c r="DJ24" s="210"/>
      <c r="DK24" s="210"/>
      <c r="DL24" s="210"/>
      <c r="DM24" s="210"/>
      <c r="DN24" s="210"/>
      <c r="DO24" s="210"/>
      <c r="DP24" s="210"/>
      <c r="DQ24" s="210"/>
      <c r="DR24" s="210"/>
      <c r="DS24" s="210"/>
      <c r="DT24" s="210"/>
      <c r="DU24" s="210"/>
      <c r="DV24" s="210"/>
      <c r="DW24" s="210"/>
      <c r="DX24" s="210"/>
      <c r="DY24" s="210"/>
      <c r="DZ24" s="210"/>
      <c r="EA24" s="210"/>
      <c r="EB24" s="210"/>
      <c r="EC24" s="210"/>
      <c r="ED24" s="210"/>
      <c r="EE24" s="210"/>
      <c r="EF24" s="210"/>
      <c r="EG24" s="210"/>
      <c r="EH24" s="210"/>
      <c r="EI24" s="210"/>
      <c r="EJ24" s="210"/>
      <c r="EK24" s="210"/>
      <c r="EL24" s="210"/>
      <c r="EM24" s="210"/>
      <c r="EN24" s="210"/>
      <c r="EO24" s="210"/>
      <c r="EP24" s="210"/>
      <c r="EQ24" s="210"/>
      <c r="ER24" s="210"/>
      <c r="ES24" s="210"/>
      <c r="ET24" s="210"/>
      <c r="EU24" s="210">
        <v>2.41E-2</v>
      </c>
      <c r="EV24" s="210"/>
      <c r="EW24" s="210">
        <v>0.82869999999999999</v>
      </c>
      <c r="EX24" s="210"/>
      <c r="EY24" s="210"/>
      <c r="EZ24" s="210"/>
      <c r="FA24" s="210"/>
      <c r="FB24" s="210">
        <v>1.5E-3</v>
      </c>
      <c r="FC24" s="210"/>
      <c r="FD24" s="210"/>
      <c r="FE24" s="210"/>
      <c r="FF24" s="210"/>
      <c r="FG24" s="211">
        <v>0.5</v>
      </c>
      <c r="FH24" s="210"/>
      <c r="FI24" s="210">
        <v>2.2200000000000001E-2</v>
      </c>
      <c r="FJ24" s="210"/>
      <c r="FK24" s="210"/>
      <c r="FL24" s="210">
        <v>1.2999999999999999E-3</v>
      </c>
      <c r="FM24" s="210">
        <v>9.5100000000000004E-2</v>
      </c>
      <c r="FN24" s="210"/>
      <c r="FO24" s="210"/>
      <c r="FP24" s="210"/>
      <c r="FQ24" s="210"/>
      <c r="FR24" s="212"/>
      <c r="FS24" s="212"/>
      <c r="FT24" s="212"/>
      <c r="FU24" s="212"/>
      <c r="FV24" s="212"/>
    </row>
    <row r="25" spans="1:178" ht="36.75" customHeight="1" x14ac:dyDescent="0.2">
      <c r="A25" s="196" t="s">
        <v>3053</v>
      </c>
      <c r="B25" s="196" t="s">
        <v>3054</v>
      </c>
      <c r="C25" s="197" t="s">
        <v>3019</v>
      </c>
      <c r="D25" s="197" t="s">
        <v>3894</v>
      </c>
      <c r="E25" s="197" t="s">
        <v>3895</v>
      </c>
      <c r="F25" s="197"/>
      <c r="G25" s="198">
        <v>1.5E-3</v>
      </c>
      <c r="H25" s="198"/>
      <c r="I25" s="198">
        <v>1.6E-2</v>
      </c>
      <c r="J25" s="198"/>
      <c r="K25" s="198"/>
      <c r="L25" s="198">
        <v>6.0000000000000001E-3</v>
      </c>
      <c r="M25" s="198"/>
      <c r="N25" s="198"/>
      <c r="O25" s="198"/>
      <c r="P25" s="198"/>
      <c r="Q25" s="198"/>
      <c r="R25" s="198"/>
      <c r="S25" s="198">
        <v>1.2390000000000001</v>
      </c>
      <c r="T25" s="198"/>
      <c r="U25" s="198"/>
      <c r="V25" s="198"/>
      <c r="W25" s="198"/>
      <c r="X25" s="198"/>
      <c r="Y25" s="198"/>
      <c r="Z25" s="198"/>
      <c r="AA25" s="198"/>
      <c r="AB25" s="198"/>
      <c r="AC25" s="198"/>
      <c r="AD25" s="198">
        <v>2.5000000000000001E-3</v>
      </c>
      <c r="AE25" s="198">
        <v>1.09E-2</v>
      </c>
      <c r="AF25" s="198"/>
      <c r="AG25" s="198"/>
      <c r="AH25" s="198"/>
      <c r="AI25" s="198"/>
      <c r="AJ25" s="198"/>
      <c r="AK25" s="198"/>
      <c r="AL25" s="198"/>
      <c r="AM25" s="198"/>
      <c r="AN25" s="198"/>
      <c r="AO25" s="198"/>
      <c r="AP25" s="198"/>
      <c r="AQ25" s="198"/>
      <c r="AR25" s="198"/>
      <c r="AS25" s="198"/>
      <c r="AT25" s="198"/>
      <c r="AU25" s="198">
        <v>4.4999999999999997E-3</v>
      </c>
      <c r="AV25" s="198">
        <v>1.5E-3</v>
      </c>
      <c r="AW25" s="198"/>
      <c r="AX25" s="198"/>
      <c r="AY25" s="198"/>
      <c r="AZ25" s="198"/>
      <c r="BA25" s="198">
        <v>0.2344</v>
      </c>
      <c r="BB25" s="198"/>
      <c r="BC25" s="198"/>
      <c r="BD25" s="198"/>
      <c r="BE25" s="198"/>
      <c r="BF25" s="198"/>
      <c r="BG25" s="198"/>
      <c r="BH25" s="198">
        <v>1.95</v>
      </c>
      <c r="BI25" s="198"/>
      <c r="BJ25" s="198"/>
      <c r="BK25" s="198"/>
      <c r="BL25" s="198"/>
      <c r="BM25" s="198">
        <v>4.4999999999999997E-3</v>
      </c>
      <c r="BN25" s="198"/>
      <c r="BO25" s="198"/>
      <c r="BP25" s="198"/>
      <c r="BQ25" s="198"/>
      <c r="BR25" s="198"/>
      <c r="BS25" s="198"/>
      <c r="BT25" s="198"/>
      <c r="BU25" s="198">
        <v>0.187</v>
      </c>
      <c r="BV25" s="198"/>
      <c r="BW25" s="198"/>
      <c r="BX25" s="198"/>
      <c r="BY25" s="198"/>
      <c r="BZ25" s="198"/>
      <c r="CA25" s="198"/>
      <c r="CB25" s="198"/>
      <c r="CC25" s="198">
        <v>2.0000000000000001E-4</v>
      </c>
      <c r="CD25" s="198"/>
      <c r="CE25" s="198">
        <v>1.5</v>
      </c>
      <c r="CF25" s="198"/>
      <c r="CG25" s="198"/>
      <c r="CH25" s="198"/>
      <c r="CI25" s="198"/>
      <c r="CJ25" s="198"/>
      <c r="CK25" s="198"/>
      <c r="CL25" s="198"/>
      <c r="CM25" s="198"/>
      <c r="CN25" s="198"/>
      <c r="CO25" s="198"/>
      <c r="CP25" s="198"/>
      <c r="CQ25" s="198"/>
      <c r="CR25" s="198"/>
      <c r="CS25" s="198">
        <v>1</v>
      </c>
      <c r="CT25" s="198">
        <v>0.5</v>
      </c>
      <c r="CU25" s="198"/>
      <c r="CV25" s="198"/>
      <c r="CW25" s="198"/>
      <c r="CX25" s="198"/>
      <c r="CY25" s="198"/>
      <c r="CZ25" s="198"/>
      <c r="DA25" s="198"/>
      <c r="DB25" s="198"/>
      <c r="DC25" s="198"/>
      <c r="DD25" s="198"/>
      <c r="DE25" s="198"/>
      <c r="DF25" s="198"/>
      <c r="DG25" s="198"/>
      <c r="DH25" s="198"/>
      <c r="DI25" s="198"/>
      <c r="DJ25" s="198"/>
      <c r="DK25" s="198"/>
      <c r="DL25" s="198"/>
      <c r="DM25" s="198"/>
      <c r="DN25" s="198"/>
      <c r="DO25" s="198"/>
      <c r="DP25" s="198"/>
      <c r="DQ25" s="198"/>
      <c r="DR25" s="198"/>
      <c r="DS25" s="198"/>
      <c r="DT25" s="198"/>
      <c r="DU25" s="198"/>
      <c r="DV25" s="198"/>
      <c r="DW25" s="198"/>
      <c r="DX25" s="198"/>
      <c r="DY25" s="198"/>
      <c r="DZ25" s="198"/>
      <c r="EA25" s="198"/>
      <c r="EB25" s="198"/>
      <c r="EC25" s="198"/>
      <c r="ED25" s="198"/>
      <c r="EE25" s="198"/>
      <c r="EF25" s="198"/>
      <c r="EG25" s="198"/>
      <c r="EH25" s="198"/>
      <c r="EI25" s="198"/>
      <c r="EJ25" s="198"/>
      <c r="EK25" s="198"/>
      <c r="EL25" s="198"/>
      <c r="EM25" s="198"/>
      <c r="EN25" s="198"/>
      <c r="EO25" s="198"/>
      <c r="EP25" s="198"/>
      <c r="EQ25" s="198"/>
      <c r="ER25" s="198"/>
      <c r="ES25" s="198"/>
      <c r="ET25" s="198"/>
      <c r="EU25" s="198">
        <v>1.325</v>
      </c>
      <c r="EV25" s="198"/>
      <c r="EW25" s="198">
        <v>0.1037</v>
      </c>
      <c r="EX25" s="198"/>
      <c r="EY25" s="198"/>
      <c r="EZ25" s="198"/>
      <c r="FA25" s="198">
        <v>1.5E-3</v>
      </c>
      <c r="FB25" s="198">
        <v>1.0315000000000001</v>
      </c>
      <c r="FC25" s="198"/>
      <c r="FD25" s="198"/>
      <c r="FE25" s="198"/>
      <c r="FF25" s="198">
        <v>0.06</v>
      </c>
      <c r="FG25" s="198">
        <v>2.0000000000000001E-4</v>
      </c>
      <c r="FH25" s="198"/>
      <c r="FI25" s="198">
        <v>5.19</v>
      </c>
      <c r="FJ25" s="198"/>
      <c r="FK25" s="198">
        <v>2.0000000000000001E-4</v>
      </c>
      <c r="FL25" s="198">
        <v>4.2000000000000003E-2</v>
      </c>
      <c r="FM25" s="198">
        <v>18.760000000000002</v>
      </c>
      <c r="FN25" s="198">
        <v>0.15</v>
      </c>
      <c r="FO25" s="198"/>
      <c r="FP25" s="198"/>
      <c r="FQ25" s="198"/>
      <c r="FR25" s="199"/>
      <c r="FS25" s="199"/>
      <c r="FT25" s="199"/>
      <c r="FU25" s="199"/>
      <c r="FV25" s="199"/>
    </row>
    <row r="26" spans="1:178" ht="31.5" customHeight="1" x14ac:dyDescent="0.2">
      <c r="A26" s="186" t="s">
        <v>3055</v>
      </c>
      <c r="B26" s="186" t="s">
        <v>3056</v>
      </c>
      <c r="C26" s="187" t="s">
        <v>3019</v>
      </c>
      <c r="D26" s="187" t="s">
        <v>3896</v>
      </c>
      <c r="E26" s="187" t="s">
        <v>1903</v>
      </c>
      <c r="F26" s="187"/>
      <c r="G26" s="188"/>
      <c r="H26" s="188"/>
      <c r="I26" s="188"/>
      <c r="J26" s="188"/>
      <c r="K26" s="188"/>
      <c r="L26" s="188"/>
      <c r="M26" s="188"/>
      <c r="N26" s="188"/>
      <c r="O26" s="188"/>
      <c r="P26" s="188"/>
      <c r="Q26" s="188"/>
      <c r="R26" s="188"/>
      <c r="S26" s="188"/>
      <c r="T26" s="188"/>
      <c r="U26" s="188"/>
      <c r="V26" s="188"/>
      <c r="W26" s="188"/>
      <c r="X26" s="188"/>
      <c r="Y26" s="188"/>
      <c r="Z26" s="188"/>
      <c r="AA26" s="188"/>
      <c r="AB26" s="188"/>
      <c r="AC26" s="188"/>
      <c r="AD26" s="188"/>
      <c r="AE26" s="188"/>
      <c r="AF26" s="188"/>
      <c r="AG26" s="188"/>
      <c r="AH26" s="188"/>
      <c r="AI26" s="188"/>
      <c r="AJ26" s="188"/>
      <c r="AK26" s="188"/>
      <c r="AL26" s="188"/>
      <c r="AM26" s="188"/>
      <c r="AN26" s="188"/>
      <c r="AO26" s="188"/>
      <c r="AP26" s="188"/>
      <c r="AQ26" s="188"/>
      <c r="AR26" s="188"/>
      <c r="AS26" s="188"/>
      <c r="AT26" s="188"/>
      <c r="AU26" s="188"/>
      <c r="AV26" s="188"/>
      <c r="AW26" s="188"/>
      <c r="AX26" s="188"/>
      <c r="AY26" s="188"/>
      <c r="AZ26" s="188"/>
      <c r="BA26" s="188"/>
      <c r="BB26" s="188"/>
      <c r="BC26" s="188"/>
      <c r="BD26" s="188"/>
      <c r="BE26" s="188"/>
      <c r="BF26" s="188"/>
      <c r="BG26" s="188"/>
      <c r="BH26" s="188"/>
      <c r="BI26" s="188"/>
      <c r="BJ26" s="188"/>
      <c r="BK26" s="188"/>
      <c r="BL26" s="188"/>
      <c r="BM26" s="188"/>
      <c r="BN26" s="188"/>
      <c r="BO26" s="188"/>
      <c r="BP26" s="188"/>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c r="DX26" s="188"/>
      <c r="DY26" s="188"/>
      <c r="DZ26" s="188"/>
      <c r="EA26" s="188"/>
      <c r="EB26" s="188"/>
      <c r="EC26" s="188"/>
      <c r="ED26" s="188"/>
      <c r="EE26" s="188"/>
      <c r="EF26" s="188"/>
      <c r="EG26" s="188"/>
      <c r="EH26" s="188"/>
      <c r="EI26" s="188"/>
      <c r="EJ26" s="188"/>
      <c r="EK26" s="188"/>
      <c r="EL26" s="188"/>
      <c r="EM26" s="188"/>
      <c r="EN26" s="188"/>
      <c r="EO26" s="188"/>
      <c r="EP26" s="188"/>
      <c r="EQ26" s="188"/>
      <c r="ER26" s="188"/>
      <c r="ES26" s="188"/>
      <c r="ET26" s="188"/>
      <c r="EU26" s="188"/>
      <c r="EV26" s="188"/>
      <c r="EW26" s="188"/>
      <c r="EX26" s="188"/>
      <c r="EY26" s="188"/>
      <c r="EZ26" s="188"/>
      <c r="FA26" s="188"/>
      <c r="FB26" s="188"/>
      <c r="FC26" s="188"/>
      <c r="FD26" s="188"/>
      <c r="FE26" s="188"/>
      <c r="FF26" s="188"/>
      <c r="FG26" s="188"/>
      <c r="FH26" s="188"/>
      <c r="FI26" s="188"/>
      <c r="FJ26" s="188"/>
      <c r="FK26" s="188"/>
      <c r="FL26" s="188"/>
      <c r="FM26" s="188"/>
      <c r="FN26" s="188"/>
      <c r="FO26" s="188"/>
      <c r="FP26" s="188"/>
      <c r="FQ26" s="188"/>
    </row>
    <row r="27" spans="1:178" ht="36" customHeight="1" x14ac:dyDescent="0.2">
      <c r="A27" s="186" t="s">
        <v>3034</v>
      </c>
      <c r="B27" s="186" t="s">
        <v>3897</v>
      </c>
      <c r="C27" s="187" t="s">
        <v>3036</v>
      </c>
      <c r="D27" s="187" t="s">
        <v>3897</v>
      </c>
      <c r="E27" s="187" t="s">
        <v>625</v>
      </c>
      <c r="F27" s="187"/>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88"/>
      <c r="AE27" s="188"/>
      <c r="AF27" s="188"/>
      <c r="AG27" s="188"/>
      <c r="AH27" s="188"/>
      <c r="AI27" s="188"/>
      <c r="AJ27" s="188"/>
      <c r="AK27" s="188"/>
      <c r="AL27" s="188"/>
      <c r="AM27" s="188"/>
      <c r="AN27" s="188"/>
      <c r="AO27" s="188"/>
      <c r="AP27" s="188"/>
      <c r="AQ27" s="188"/>
      <c r="AR27" s="188"/>
      <c r="AS27" s="188"/>
      <c r="AT27" s="188"/>
      <c r="AU27" s="188"/>
      <c r="AV27" s="188"/>
      <c r="AW27" s="188"/>
      <c r="AX27" s="188"/>
      <c r="AY27" s="188"/>
      <c r="AZ27" s="188"/>
      <c r="BA27" s="188"/>
      <c r="BB27" s="188"/>
      <c r="BC27" s="188"/>
      <c r="BD27" s="188"/>
      <c r="BE27" s="188"/>
      <c r="BF27" s="188"/>
      <c r="BG27" s="188"/>
      <c r="BH27" s="188"/>
      <c r="BI27" s="188"/>
      <c r="BJ27" s="188"/>
      <c r="BK27" s="188"/>
      <c r="BL27" s="188"/>
      <c r="BM27" s="188"/>
      <c r="BN27" s="188"/>
      <c r="BO27" s="188"/>
      <c r="BP27" s="188"/>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88"/>
      <c r="DG27" s="188"/>
      <c r="DH27" s="188"/>
      <c r="DI27" s="188"/>
      <c r="DJ27" s="188"/>
      <c r="DK27" s="188"/>
      <c r="DL27" s="188"/>
      <c r="DM27" s="188"/>
      <c r="DN27" s="188"/>
      <c r="DO27" s="188"/>
      <c r="DP27" s="188"/>
      <c r="DQ27" s="188"/>
      <c r="DR27" s="188"/>
      <c r="DS27" s="188"/>
      <c r="DT27" s="188"/>
      <c r="DU27" s="188"/>
      <c r="DV27" s="188"/>
      <c r="DW27" s="188"/>
      <c r="DX27" s="188"/>
      <c r="DY27" s="188"/>
      <c r="DZ27" s="188"/>
      <c r="EA27" s="188"/>
      <c r="EB27" s="188"/>
      <c r="EC27" s="188"/>
      <c r="ED27" s="188"/>
      <c r="EE27" s="188"/>
      <c r="EF27" s="188"/>
      <c r="EG27" s="188"/>
      <c r="EH27" s="188"/>
      <c r="EI27" s="188"/>
      <c r="EJ27" s="188"/>
      <c r="EK27" s="188"/>
      <c r="EL27" s="188"/>
      <c r="EM27" s="188"/>
      <c r="EN27" s="188"/>
      <c r="EO27" s="188"/>
      <c r="EP27" s="188"/>
      <c r="EQ27" s="188"/>
      <c r="ER27" s="188"/>
      <c r="ES27" s="188"/>
      <c r="ET27" s="188"/>
      <c r="EU27" s="188"/>
      <c r="EV27" s="188"/>
      <c r="EW27" s="188"/>
      <c r="EX27" s="188"/>
      <c r="EY27" s="188"/>
      <c r="EZ27" s="188"/>
      <c r="FA27" s="188"/>
      <c r="FB27" s="188"/>
      <c r="FC27" s="188"/>
      <c r="FD27" s="188"/>
      <c r="FE27" s="188"/>
      <c r="FF27" s="188"/>
      <c r="FG27" s="188"/>
      <c r="FH27" s="188"/>
      <c r="FI27" s="188"/>
      <c r="FJ27" s="188"/>
      <c r="FK27" s="188"/>
      <c r="FL27" s="188"/>
      <c r="FM27" s="188"/>
      <c r="FN27" s="188"/>
      <c r="FO27" s="188"/>
      <c r="FP27" s="188"/>
      <c r="FQ27" s="188"/>
    </row>
    <row r="28" spans="1:178" ht="15.75" customHeight="1" x14ac:dyDescent="0.2">
      <c r="A28" s="186" t="s">
        <v>2785</v>
      </c>
      <c r="B28" s="213" t="str">
        <f>VLOOKUP(A28,Liste!A1:O1128,2,0)</f>
        <v>Hydrolat Menthe Poivrée BIO</v>
      </c>
      <c r="C28" s="214" t="str">
        <f>VLOOKUP(A28,Liste!A1:O969,4,0)</f>
        <v>Mentha Piperita Leaf Water*</v>
      </c>
      <c r="D28" s="215" t="str">
        <f>VLOOKUP(A28,Liste!A1:O955,2,0)</f>
        <v>Hydrolat Menthe Poivrée BIO</v>
      </c>
      <c r="E28" s="216" t="str">
        <f>VLOOKUP(A28,Liste!A1:O953,3,0)</f>
        <v>Florihana</v>
      </c>
      <c r="F28" s="163"/>
      <c r="G28" s="188"/>
      <c r="H28" s="188"/>
      <c r="I28" s="188"/>
      <c r="J28" s="188"/>
      <c r="K28" s="188"/>
      <c r="L28" s="188"/>
      <c r="M28" s="188"/>
      <c r="N28" s="188"/>
      <c r="O28" s="188"/>
      <c r="P28" s="188"/>
      <c r="Q28" s="188"/>
      <c r="R28" s="188"/>
      <c r="S28" s="188"/>
      <c r="T28" s="188"/>
      <c r="U28" s="188">
        <v>5.0000000000000001E-3</v>
      </c>
      <c r="V28" s="188"/>
      <c r="W28" s="188"/>
      <c r="X28" s="188"/>
      <c r="Y28" s="188"/>
      <c r="Z28" s="188"/>
      <c r="AA28" s="188"/>
      <c r="AB28" s="188"/>
      <c r="AC28" s="188"/>
      <c r="AD28" s="188"/>
      <c r="AE28" s="188"/>
      <c r="AF28" s="188"/>
      <c r="AG28" s="188"/>
      <c r="AH28" s="188"/>
      <c r="AI28" s="188"/>
      <c r="AJ28" s="188"/>
      <c r="AK28" s="188"/>
      <c r="AL28" s="188"/>
      <c r="AM28" s="188"/>
      <c r="AN28" s="188"/>
      <c r="AO28" s="188"/>
      <c r="AP28" s="188"/>
      <c r="AQ28" s="188"/>
      <c r="AR28" s="188"/>
      <c r="AS28" s="188"/>
      <c r="AT28" s="188"/>
      <c r="AU28" s="188"/>
      <c r="AV28" s="188"/>
      <c r="AW28" s="188"/>
      <c r="AX28" s="188"/>
      <c r="AY28" s="188"/>
      <c r="AZ28" s="188"/>
      <c r="BA28" s="188"/>
      <c r="BB28" s="188"/>
      <c r="BC28" s="188"/>
      <c r="BD28" s="188"/>
      <c r="BE28" s="188"/>
      <c r="BF28" s="188"/>
      <c r="BG28" s="188"/>
      <c r="BH28" s="188"/>
      <c r="BI28" s="188">
        <v>2.81E-3</v>
      </c>
      <c r="BJ28" s="188"/>
      <c r="BK28" s="188"/>
      <c r="BL28" s="188"/>
      <c r="BM28" s="188"/>
      <c r="BN28" s="188"/>
      <c r="BO28" s="188"/>
      <c r="BP28" s="188"/>
      <c r="BQ28" s="188"/>
      <c r="BR28" s="188"/>
      <c r="BS28" s="188"/>
      <c r="BT28" s="188"/>
      <c r="BU28" s="188">
        <v>1E-3</v>
      </c>
      <c r="BV28" s="188"/>
      <c r="BW28" s="188"/>
      <c r="BX28" s="188"/>
      <c r="BY28" s="188"/>
      <c r="BZ28" s="188"/>
      <c r="CA28" s="188"/>
      <c r="CB28" s="188"/>
      <c r="CC28" s="188"/>
      <c r="CD28" s="188"/>
      <c r="CE28" s="188"/>
      <c r="CF28" s="188"/>
      <c r="CG28" s="188"/>
      <c r="CH28" s="188"/>
      <c r="CI28" s="188"/>
      <c r="CJ28" s="188"/>
      <c r="CK28" s="188"/>
      <c r="CL28" s="188"/>
      <c r="CM28" s="188"/>
      <c r="CN28" s="188"/>
      <c r="CO28" s="188"/>
      <c r="CP28" s="188"/>
      <c r="CQ28" s="188"/>
      <c r="CR28" s="188"/>
      <c r="CS28" s="188"/>
      <c r="CT28" s="188"/>
      <c r="CU28" s="188"/>
      <c r="CV28" s="188"/>
      <c r="CW28" s="188"/>
      <c r="CX28" s="188"/>
      <c r="CY28" s="188"/>
      <c r="CZ28" s="188"/>
      <c r="DA28" s="188"/>
      <c r="DB28" s="188"/>
      <c r="DC28" s="188"/>
      <c r="DD28" s="188"/>
      <c r="DE28" s="188"/>
      <c r="DF28" s="188"/>
      <c r="DG28" s="188"/>
      <c r="DH28" s="188"/>
      <c r="DI28" s="188"/>
      <c r="DJ28" s="188"/>
      <c r="DK28" s="188"/>
      <c r="DL28" s="188"/>
      <c r="DM28" s="188"/>
      <c r="DN28" s="188"/>
      <c r="DO28" s="188"/>
      <c r="DP28" s="188"/>
      <c r="DQ28" s="188"/>
      <c r="DR28" s="188"/>
      <c r="DS28" s="188"/>
      <c r="DT28" s="188"/>
      <c r="DU28" s="188"/>
      <c r="DV28" s="188"/>
      <c r="DW28" s="188"/>
      <c r="DX28" s="188"/>
      <c r="DY28" s="188"/>
      <c r="DZ28" s="188"/>
      <c r="EA28" s="188"/>
      <c r="EB28" s="188"/>
      <c r="EC28" s="188"/>
      <c r="ED28" s="188"/>
      <c r="EE28" s="188"/>
      <c r="EF28" s="188"/>
      <c r="EG28" s="188"/>
      <c r="EH28" s="188"/>
      <c r="EI28" s="188"/>
      <c r="EJ28" s="188"/>
      <c r="EK28" s="188"/>
      <c r="EL28" s="188"/>
      <c r="EM28" s="188"/>
      <c r="EN28" s="188"/>
      <c r="EO28" s="188"/>
      <c r="EP28" s="188"/>
      <c r="EQ28" s="188"/>
      <c r="ER28" s="188"/>
      <c r="ES28" s="188"/>
      <c r="ET28" s="188"/>
      <c r="EU28" s="188"/>
      <c r="EV28" s="188"/>
      <c r="EW28" s="188"/>
      <c r="EX28" s="188"/>
      <c r="EY28" s="188"/>
      <c r="EZ28" s="188"/>
      <c r="FA28" s="188"/>
      <c r="FB28" s="188"/>
      <c r="FC28" s="188"/>
      <c r="FD28" s="188"/>
      <c r="FE28" s="188"/>
      <c r="FF28" s="188"/>
      <c r="FG28" s="188"/>
      <c r="FH28" s="188"/>
      <c r="FI28" s="188"/>
      <c r="FJ28" s="188"/>
      <c r="FK28" s="188"/>
      <c r="FL28" s="188"/>
      <c r="FM28" s="188">
        <v>5.0000000000000001E-3</v>
      </c>
      <c r="FN28" s="188"/>
      <c r="FO28" s="188"/>
      <c r="FP28" s="188"/>
      <c r="FQ28" s="188"/>
      <c r="FR28" s="123"/>
      <c r="FS28" s="123"/>
      <c r="FT28" s="123"/>
      <c r="FU28" s="123"/>
      <c r="FV28" s="123"/>
    </row>
    <row r="29" spans="1:178" ht="15.75" customHeight="1" x14ac:dyDescent="0.2">
      <c r="A29" s="186" t="s">
        <v>2703</v>
      </c>
      <c r="B29" s="217" t="str">
        <f>VLOOKUP(A29,Liste!A2:O1129,2,0)</f>
        <v>Huile vierge de prune bio</v>
      </c>
      <c r="C29" s="214" t="str">
        <f>VLOOKUP(A29,Liste!A2:O970,4,0)</f>
        <v>Prunus Domestica Seed Oil</v>
      </c>
      <c r="D29" s="215" t="str">
        <f>VLOOKUP(A29,Liste!A2:O956,2,0)</f>
        <v>Huile vierge de prune bio</v>
      </c>
      <c r="E29" s="216" t="str">
        <f>VLOOKUP(A29,Liste!A2:O953,3,0)</f>
        <v>Perle de Gascogne</v>
      </c>
      <c r="F29" s="163"/>
      <c r="G29" s="188">
        <v>1.4999999999999999E-2</v>
      </c>
      <c r="H29" s="188"/>
      <c r="I29" s="188"/>
      <c r="J29" s="188"/>
      <c r="K29" s="188"/>
      <c r="L29" s="188"/>
      <c r="M29" s="188"/>
      <c r="N29" s="188"/>
      <c r="O29" s="188"/>
      <c r="P29" s="188"/>
      <c r="Q29" s="188"/>
      <c r="R29" s="188"/>
      <c r="S29" s="188"/>
      <c r="T29" s="188"/>
      <c r="U29" s="188"/>
      <c r="V29" s="188"/>
      <c r="W29" s="188"/>
      <c r="X29" s="188"/>
      <c r="Y29" s="188"/>
      <c r="Z29" s="188"/>
      <c r="AA29" s="188"/>
      <c r="AB29" s="188"/>
      <c r="AC29" s="188"/>
      <c r="AD29" s="188"/>
      <c r="AE29" s="188"/>
      <c r="AF29" s="188"/>
      <c r="AG29" s="188"/>
      <c r="AH29" s="188"/>
      <c r="AI29" s="188"/>
      <c r="AJ29" s="188"/>
      <c r="AK29" s="188"/>
      <c r="AL29" s="188"/>
      <c r="AM29" s="188"/>
      <c r="AN29" s="188"/>
      <c r="AO29" s="188"/>
      <c r="AP29" s="188"/>
      <c r="AQ29" s="188"/>
      <c r="AR29" s="188"/>
      <c r="AS29" s="188"/>
      <c r="AT29" s="188"/>
      <c r="AU29" s="188"/>
      <c r="AV29" s="188">
        <v>0.25</v>
      </c>
      <c r="AW29" s="188"/>
      <c r="AX29" s="188"/>
      <c r="AY29" s="188"/>
      <c r="AZ29" s="188"/>
      <c r="BA29" s="188"/>
      <c r="BB29" s="188"/>
      <c r="BC29" s="188"/>
      <c r="BD29" s="188"/>
      <c r="BE29" s="188"/>
      <c r="BF29" s="188"/>
      <c r="BG29" s="188"/>
      <c r="BH29" s="188"/>
      <c r="BI29" s="188"/>
      <c r="BJ29" s="188"/>
      <c r="BK29" s="188"/>
      <c r="BL29" s="188"/>
      <c r="BM29" s="188"/>
      <c r="BN29" s="188"/>
      <c r="BO29" s="188"/>
      <c r="BP29" s="188"/>
      <c r="BQ29" s="188"/>
      <c r="BR29" s="188"/>
      <c r="BS29" s="188"/>
      <c r="BT29" s="188"/>
      <c r="BU29" s="188"/>
      <c r="BV29" s="188"/>
      <c r="BW29" s="188"/>
      <c r="BX29" s="188"/>
      <c r="BY29" s="188"/>
      <c r="BZ29" s="188"/>
      <c r="CA29" s="188"/>
      <c r="CB29" s="188"/>
      <c r="CC29" s="188">
        <v>3.0000000000000001E-3</v>
      </c>
      <c r="CD29" s="188"/>
      <c r="CE29" s="188"/>
      <c r="CF29" s="188"/>
      <c r="CG29" s="188"/>
      <c r="CH29" s="188"/>
      <c r="CI29" s="188"/>
      <c r="CJ29" s="188"/>
      <c r="CK29" s="188"/>
      <c r="CL29" s="188"/>
      <c r="CM29" s="188"/>
      <c r="CN29" s="188"/>
      <c r="CO29" s="188"/>
      <c r="CP29" s="188"/>
      <c r="CQ29" s="188"/>
      <c r="CR29" s="188"/>
      <c r="CS29" s="188"/>
      <c r="CT29" s="188"/>
      <c r="CU29" s="188"/>
      <c r="CV29" s="188"/>
      <c r="CW29" s="188"/>
      <c r="CX29" s="188"/>
      <c r="CY29" s="188"/>
      <c r="CZ29" s="188"/>
      <c r="DA29" s="188"/>
      <c r="DB29" s="188"/>
      <c r="DC29" s="188"/>
      <c r="DD29" s="188"/>
      <c r="DE29" s="188"/>
      <c r="DF29" s="188"/>
      <c r="DG29" s="188"/>
      <c r="DH29" s="188"/>
      <c r="DI29" s="188"/>
      <c r="DJ29" s="188"/>
      <c r="DK29" s="188"/>
      <c r="DL29" s="188"/>
      <c r="DM29" s="188"/>
      <c r="DN29" s="188"/>
      <c r="DO29" s="188"/>
      <c r="DP29" s="188"/>
      <c r="DQ29" s="188"/>
      <c r="DR29" s="188"/>
      <c r="DS29" s="188"/>
      <c r="DT29" s="188"/>
      <c r="DU29" s="188"/>
      <c r="DV29" s="188"/>
      <c r="DW29" s="188"/>
      <c r="DX29" s="188"/>
      <c r="DY29" s="188"/>
      <c r="DZ29" s="188"/>
      <c r="EA29" s="188"/>
      <c r="EB29" s="188"/>
      <c r="EC29" s="188"/>
      <c r="ED29" s="188"/>
      <c r="EE29" s="188"/>
      <c r="EF29" s="188"/>
      <c r="EG29" s="188"/>
      <c r="EH29" s="188"/>
      <c r="EI29" s="188"/>
      <c r="EJ29" s="188"/>
      <c r="EK29" s="188"/>
      <c r="EL29" s="188"/>
      <c r="EM29" s="188"/>
      <c r="EN29" s="188"/>
      <c r="EO29" s="188"/>
      <c r="EP29" s="188"/>
      <c r="EQ29" s="188"/>
      <c r="ER29" s="188"/>
      <c r="ES29" s="188"/>
      <c r="ET29" s="188"/>
      <c r="EU29" s="188"/>
      <c r="EV29" s="188"/>
      <c r="EW29" s="188"/>
      <c r="EX29" s="188"/>
      <c r="EY29" s="188"/>
      <c r="EZ29" s="188"/>
      <c r="FA29" s="188"/>
      <c r="FB29" s="188"/>
      <c r="FC29" s="188"/>
      <c r="FD29" s="188"/>
      <c r="FE29" s="188"/>
      <c r="FF29" s="188"/>
      <c r="FG29" s="188"/>
      <c r="FH29" s="188"/>
      <c r="FI29" s="188"/>
      <c r="FJ29" s="188"/>
      <c r="FK29" s="188"/>
      <c r="FL29" s="188"/>
      <c r="FM29" s="188"/>
      <c r="FN29" s="188"/>
      <c r="FO29" s="188"/>
      <c r="FP29" s="188"/>
      <c r="FQ29" s="188"/>
      <c r="FR29" s="123"/>
      <c r="FS29" s="123"/>
      <c r="FT29" s="123"/>
      <c r="FU29" s="123"/>
      <c r="FV29" s="123"/>
    </row>
    <row r="30" spans="1:178" ht="48" customHeight="1" x14ac:dyDescent="0.2">
      <c r="A30" s="186" t="s">
        <v>2799</v>
      </c>
      <c r="B30" s="217" t="str">
        <f>VLOOKUP(A30,Liste!A3:O1130,2,0)</f>
        <v>Hydrolat de lavande fine sauvage BIO</v>
      </c>
      <c r="C30" s="215" t="str">
        <f>VLOOKUP(A30,Liste!A3:O971,4,0)</f>
        <v>Lavandula Angustifolia Flower Water*</v>
      </c>
      <c r="D30" s="215" t="str">
        <f>VLOOKUP(A30,Liste!A3:O957,2,0)</f>
        <v>Hydrolat de lavande fine sauvage BIO</v>
      </c>
      <c r="E30" s="216" t="str">
        <f>VLOOKUP(A30,Liste!A3:O955,3,0)</f>
        <v>Florihana</v>
      </c>
      <c r="F30" s="163"/>
      <c r="G30" s="188"/>
      <c r="H30" s="188"/>
      <c r="I30" s="188"/>
      <c r="J30" s="188"/>
      <c r="K30" s="188"/>
      <c r="L30" s="188"/>
      <c r="M30" s="188"/>
      <c r="N30" s="188"/>
      <c r="O30" s="188"/>
      <c r="P30" s="188"/>
      <c r="Q30" s="188"/>
      <c r="R30" s="188"/>
      <c r="S30" s="188"/>
      <c r="T30" s="188"/>
      <c r="U30" s="188">
        <v>1E-3</v>
      </c>
      <c r="V30" s="188"/>
      <c r="W30" s="188"/>
      <c r="X30" s="188"/>
      <c r="Y30" s="188"/>
      <c r="Z30" s="188"/>
      <c r="AA30" s="188"/>
      <c r="AB30" s="188"/>
      <c r="AC30" s="188"/>
      <c r="AD30" s="188"/>
      <c r="AE30" s="188"/>
      <c r="AF30" s="188"/>
      <c r="AG30" s="188"/>
      <c r="AH30" s="188"/>
      <c r="AI30" s="188"/>
      <c r="AJ30" s="188"/>
      <c r="AK30" s="188"/>
      <c r="AL30" s="188"/>
      <c r="AM30" s="188"/>
      <c r="AN30" s="188"/>
      <c r="AO30" s="188"/>
      <c r="AP30" s="188"/>
      <c r="AQ30" s="188"/>
      <c r="AR30" s="188"/>
      <c r="AS30" s="188"/>
      <c r="AT30" s="188"/>
      <c r="AU30" s="188"/>
      <c r="AV30" s="188"/>
      <c r="AW30" s="188"/>
      <c r="AX30" s="188"/>
      <c r="AY30" s="188"/>
      <c r="AZ30" s="188"/>
      <c r="BA30" s="188"/>
      <c r="BB30" s="188"/>
      <c r="BC30" s="188"/>
      <c r="BD30" s="188"/>
      <c r="BE30" s="188"/>
      <c r="BF30" s="188"/>
      <c r="BG30" s="188"/>
      <c r="BH30" s="188"/>
      <c r="BI30" s="188"/>
      <c r="BJ30" s="188"/>
      <c r="BK30" s="188"/>
      <c r="BL30" s="188"/>
      <c r="BM30" s="188"/>
      <c r="BN30" s="188"/>
      <c r="BO30" s="188"/>
      <c r="BP30" s="188"/>
      <c r="BQ30" s="188"/>
      <c r="BR30" s="188"/>
      <c r="BS30" s="188"/>
      <c r="BT30" s="188"/>
      <c r="BU30" s="188"/>
      <c r="BV30" s="188"/>
      <c r="BW30" s="188"/>
      <c r="BX30" s="188"/>
      <c r="BY30" s="188"/>
      <c r="BZ30" s="188"/>
      <c r="CA30" s="188"/>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88"/>
      <c r="CX30" s="188"/>
      <c r="CY30" s="188"/>
      <c r="CZ30" s="188"/>
      <c r="DA30" s="188"/>
      <c r="DB30" s="188"/>
      <c r="DC30" s="188"/>
      <c r="DD30" s="188"/>
      <c r="DE30" s="188"/>
      <c r="DF30" s="188"/>
      <c r="DG30" s="188"/>
      <c r="DH30" s="188"/>
      <c r="DI30" s="188"/>
      <c r="DJ30" s="188"/>
      <c r="DK30" s="188"/>
      <c r="DL30" s="188"/>
      <c r="DM30" s="188"/>
      <c r="DN30" s="188"/>
      <c r="DO30" s="188"/>
      <c r="DP30" s="188"/>
      <c r="DQ30" s="188"/>
      <c r="DR30" s="188"/>
      <c r="DS30" s="188"/>
      <c r="DT30" s="188"/>
      <c r="DU30" s="188"/>
      <c r="DV30" s="188"/>
      <c r="DW30" s="188"/>
      <c r="DX30" s="188"/>
      <c r="DY30" s="188"/>
      <c r="DZ30" s="188"/>
      <c r="EA30" s="188"/>
      <c r="EB30" s="188"/>
      <c r="EC30" s="188"/>
      <c r="ED30" s="188"/>
      <c r="EE30" s="188"/>
      <c r="EF30" s="188"/>
      <c r="EG30" s="188"/>
      <c r="EH30" s="188"/>
      <c r="EI30" s="188"/>
      <c r="EJ30" s="188"/>
      <c r="EK30" s="188"/>
      <c r="EL30" s="188"/>
      <c r="EM30" s="188"/>
      <c r="EN30" s="188"/>
      <c r="EO30" s="188"/>
      <c r="EP30" s="188"/>
      <c r="EQ30" s="188"/>
      <c r="ER30" s="188"/>
      <c r="ES30" s="188"/>
      <c r="ET30" s="188"/>
      <c r="EU30" s="188"/>
      <c r="EV30" s="188"/>
      <c r="EW30" s="188"/>
      <c r="EX30" s="188"/>
      <c r="EY30" s="188"/>
      <c r="EZ30" s="188"/>
      <c r="FA30" s="188"/>
      <c r="FB30" s="188"/>
      <c r="FC30" s="188"/>
      <c r="FD30" s="188"/>
      <c r="FE30" s="188"/>
      <c r="FF30" s="188"/>
      <c r="FG30" s="188"/>
      <c r="FH30" s="188">
        <v>1E-3</v>
      </c>
      <c r="FI30" s="188">
        <v>1E-3</v>
      </c>
      <c r="FJ30" s="188"/>
      <c r="FK30" s="188"/>
      <c r="FL30" s="188"/>
      <c r="FM30" s="188">
        <v>2.5000000000000001E-2</v>
      </c>
      <c r="FN30" s="188"/>
      <c r="FO30" s="188"/>
      <c r="FP30" s="188"/>
      <c r="FQ30" s="188"/>
      <c r="FR30" s="123"/>
      <c r="FS30" s="123"/>
      <c r="FT30" s="123"/>
      <c r="FU30" s="123"/>
      <c r="FV30" s="123"/>
    </row>
    <row r="31" spans="1:178" ht="49.5" customHeight="1" x14ac:dyDescent="0.2">
      <c r="A31" s="218" t="s">
        <v>2795</v>
      </c>
      <c r="B31" s="219" t="str">
        <f>VLOOKUP(A31,Liste!A4:O1131,2,0)</f>
        <v>Hydrolat de fleur d'oranger (Néroli) BIO non conservé</v>
      </c>
      <c r="C31" s="220" t="str">
        <f>VLOOKUP(A31,Liste!A4:O972,4,0)</f>
        <v>Citrus Aurantium Amara Flower Water*</v>
      </c>
      <c r="D31" s="220" t="str">
        <f>VLOOKUP(A31,Liste!A4:O958,2,0)</f>
        <v>Hydrolat de fleur d'oranger (Néroli) BIO non conservé</v>
      </c>
      <c r="E31" s="221" t="str">
        <f>VLOOKUP(A31,Liste!A4:O956,3,0)</f>
        <v>Florihana</v>
      </c>
      <c r="F31" s="222"/>
      <c r="G31" s="223">
        <v>1E-3</v>
      </c>
      <c r="H31" s="223"/>
      <c r="I31" s="223">
        <v>1E-3</v>
      </c>
      <c r="J31" s="223"/>
      <c r="K31" s="223"/>
      <c r="L31" s="223"/>
      <c r="M31" s="223"/>
      <c r="N31" s="223"/>
      <c r="O31" s="223">
        <v>1E-3</v>
      </c>
      <c r="P31" s="223"/>
      <c r="Q31" s="223"/>
      <c r="R31" s="223"/>
      <c r="S31" s="223"/>
      <c r="T31" s="223"/>
      <c r="U31" s="223">
        <v>1E-3</v>
      </c>
      <c r="V31" s="223"/>
      <c r="W31" s="223"/>
      <c r="X31" s="223"/>
      <c r="Y31" s="223"/>
      <c r="Z31" s="223"/>
      <c r="AA31" s="223"/>
      <c r="AB31" s="223"/>
      <c r="AC31" s="223"/>
      <c r="AD31" s="223"/>
      <c r="AE31" s="223"/>
      <c r="AF31" s="223"/>
      <c r="AG31" s="223"/>
      <c r="AH31" s="223"/>
      <c r="AI31" s="223"/>
      <c r="AJ31" s="223"/>
      <c r="AK31" s="223"/>
      <c r="AL31" s="223"/>
      <c r="AM31" s="223"/>
      <c r="AN31" s="223"/>
      <c r="AO31" s="223"/>
      <c r="AP31" s="223"/>
      <c r="AQ31" s="223"/>
      <c r="AR31" s="223"/>
      <c r="AS31" s="223"/>
      <c r="AT31" s="223"/>
      <c r="AU31" s="223"/>
      <c r="AV31" s="223"/>
      <c r="AW31" s="223"/>
      <c r="AX31" s="223"/>
      <c r="AY31" s="223"/>
      <c r="AZ31" s="223"/>
      <c r="BA31" s="223"/>
      <c r="BB31" s="223"/>
      <c r="BC31" s="223"/>
      <c r="BD31" s="223"/>
      <c r="BE31" s="223"/>
      <c r="BF31" s="223"/>
      <c r="BG31" s="223"/>
      <c r="BH31" s="223"/>
      <c r="BI31" s="223"/>
      <c r="BJ31" s="223"/>
      <c r="BK31" s="223"/>
      <c r="BL31" s="223"/>
      <c r="BM31" s="223"/>
      <c r="BN31" s="223"/>
      <c r="BO31" s="223"/>
      <c r="BP31" s="223"/>
      <c r="BQ31" s="223"/>
      <c r="BR31" s="223"/>
      <c r="BS31" s="223"/>
      <c r="BT31" s="223"/>
      <c r="BU31" s="223"/>
      <c r="BV31" s="223"/>
      <c r="BW31" s="223"/>
      <c r="BX31" s="223"/>
      <c r="BY31" s="223"/>
      <c r="BZ31" s="223"/>
      <c r="CA31" s="223"/>
      <c r="CB31" s="223"/>
      <c r="CC31" s="223"/>
      <c r="CD31" s="223"/>
      <c r="CE31" s="223"/>
      <c r="CF31" s="223"/>
      <c r="CG31" s="223"/>
      <c r="CH31" s="223"/>
      <c r="CI31" s="223"/>
      <c r="CJ31" s="223"/>
      <c r="CK31" s="223"/>
      <c r="CL31" s="223"/>
      <c r="CM31" s="223"/>
      <c r="CN31" s="223"/>
      <c r="CO31" s="223"/>
      <c r="CP31" s="223"/>
      <c r="CQ31" s="223"/>
      <c r="CR31" s="223"/>
      <c r="CS31" s="223"/>
      <c r="CT31" s="223"/>
      <c r="CU31" s="223"/>
      <c r="CV31" s="223"/>
      <c r="CW31" s="223"/>
      <c r="CX31" s="223"/>
      <c r="CY31" s="223"/>
      <c r="CZ31" s="223"/>
      <c r="DA31" s="223"/>
      <c r="DB31" s="223"/>
      <c r="DC31" s="223"/>
      <c r="DD31" s="223"/>
      <c r="DE31" s="223"/>
      <c r="DF31" s="223"/>
      <c r="DG31" s="223"/>
      <c r="DH31" s="223"/>
      <c r="DI31" s="223"/>
      <c r="DJ31" s="223"/>
      <c r="DK31" s="223"/>
      <c r="DL31" s="223"/>
      <c r="DM31" s="223"/>
      <c r="DN31" s="223"/>
      <c r="DO31" s="223"/>
      <c r="DP31" s="223"/>
      <c r="DQ31" s="223"/>
      <c r="DR31" s="223"/>
      <c r="DS31" s="223"/>
      <c r="DT31" s="223"/>
      <c r="DU31" s="223"/>
      <c r="DV31" s="223"/>
      <c r="DW31" s="223"/>
      <c r="DX31" s="223"/>
      <c r="DY31" s="223"/>
      <c r="DZ31" s="223"/>
      <c r="EA31" s="223"/>
      <c r="EB31" s="223"/>
      <c r="EC31" s="223"/>
      <c r="ED31" s="223"/>
      <c r="EE31" s="223"/>
      <c r="EF31" s="223"/>
      <c r="EG31" s="223"/>
      <c r="EH31" s="223"/>
      <c r="EI31" s="223"/>
      <c r="EJ31" s="223"/>
      <c r="EK31" s="223"/>
      <c r="EL31" s="223"/>
      <c r="EM31" s="223"/>
      <c r="EN31" s="223"/>
      <c r="EO31" s="223"/>
      <c r="EP31" s="223"/>
      <c r="EQ31" s="223"/>
      <c r="ER31" s="223"/>
      <c r="ES31" s="223"/>
      <c r="ET31" s="223"/>
      <c r="EU31" s="223"/>
      <c r="EV31" s="223"/>
      <c r="EW31" s="223"/>
      <c r="EX31" s="223"/>
      <c r="EY31" s="223"/>
      <c r="EZ31" s="223"/>
      <c r="FA31" s="223"/>
      <c r="FB31" s="223">
        <v>1E-3</v>
      </c>
      <c r="FC31" s="223"/>
      <c r="FD31" s="223"/>
      <c r="FE31" s="223"/>
      <c r="FF31" s="223"/>
      <c r="FG31" s="223"/>
      <c r="FH31" s="223"/>
      <c r="FI31" s="223">
        <v>5.0000000000000001E-3</v>
      </c>
      <c r="FJ31" s="223"/>
      <c r="FK31" s="223"/>
      <c r="FL31" s="223">
        <v>2E-3</v>
      </c>
      <c r="FM31" s="223">
        <v>0.02</v>
      </c>
      <c r="FN31" s="223"/>
      <c r="FO31" s="223"/>
      <c r="FP31" s="223"/>
      <c r="FQ31" s="223"/>
      <c r="FR31" s="224"/>
      <c r="FS31" s="224"/>
      <c r="FT31" s="224"/>
      <c r="FU31" s="224"/>
      <c r="FV31" s="224"/>
    </row>
    <row r="32" spans="1:178" ht="15.75" customHeight="1" x14ac:dyDescent="0.2">
      <c r="A32" s="186" t="s">
        <v>2724</v>
      </c>
      <c r="B32" s="217" t="str">
        <f>VLOOKUP(A32,Liste!A5:O1132,2,0)</f>
        <v>Macérât de lavande bio</v>
      </c>
      <c r="C32" s="215" t="str">
        <f>VLOOKUP(A32,Liste!A5:O973,4,0)</f>
        <v>Olea Europaea Fruit Oil* &gt;99%, Lavandula Angustifolia Flower Extract*&lt;1%</v>
      </c>
      <c r="D32" s="215" t="str">
        <f>VLOOKUP(A32,Liste!A5:O959,2,0)</f>
        <v>Macérât de lavande bio</v>
      </c>
      <c r="E32" s="216" t="str">
        <f>VLOOKUP(A32,Liste!A5:O957,3,0)</f>
        <v>La Canopée</v>
      </c>
      <c r="F32" s="163"/>
      <c r="G32" s="163"/>
      <c r="H32" s="163"/>
      <c r="I32" s="163"/>
      <c r="J32" s="163"/>
      <c r="K32" s="163"/>
      <c r="L32" s="163"/>
      <c r="M32" s="163"/>
      <c r="N32" s="163"/>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225">
        <v>1.75E-3</v>
      </c>
      <c r="AX32" s="163"/>
      <c r="AY32" s="163"/>
      <c r="AZ32" s="163"/>
      <c r="BA32" s="188">
        <v>5.9800000000000001E-3</v>
      </c>
      <c r="BB32" s="163"/>
      <c r="BC32" s="163"/>
      <c r="BD32" s="163"/>
      <c r="BE32" s="163"/>
      <c r="BF32" s="163"/>
      <c r="BG32" s="163"/>
      <c r="BH32" s="188">
        <v>0.25800000000000001</v>
      </c>
      <c r="BI32" s="163"/>
      <c r="BJ32" s="163"/>
      <c r="BK32" s="163"/>
      <c r="BL32" s="163"/>
      <c r="BM32" s="163"/>
      <c r="BN32" s="163"/>
      <c r="BO32" s="163"/>
      <c r="BP32" s="163"/>
      <c r="BQ32" s="163"/>
      <c r="BR32" s="163"/>
      <c r="BS32" s="163"/>
      <c r="BT32" s="163"/>
      <c r="BU32" s="163"/>
      <c r="BV32" s="163"/>
      <c r="BW32" s="163"/>
      <c r="BX32" s="163"/>
      <c r="BY32" s="163"/>
      <c r="BZ32" s="163"/>
      <c r="CA32" s="163"/>
      <c r="CB32" s="163"/>
      <c r="CC32" s="163"/>
      <c r="CD32" s="163"/>
      <c r="CE32" s="163"/>
      <c r="CF32" s="163"/>
      <c r="CG32" s="163"/>
      <c r="CH32" s="163"/>
      <c r="CI32" s="163"/>
      <c r="CJ32" s="163"/>
      <c r="CK32" s="163"/>
      <c r="CL32" s="163"/>
      <c r="CM32" s="163"/>
      <c r="CN32" s="163"/>
      <c r="CO32" s="163"/>
      <c r="CP32" s="163"/>
      <c r="CQ32" s="163"/>
      <c r="CR32" s="163"/>
      <c r="CS32" s="163"/>
      <c r="CT32" s="163"/>
      <c r="CU32" s="163"/>
      <c r="CV32" s="163"/>
      <c r="CW32" s="163"/>
      <c r="CX32" s="163"/>
      <c r="CY32" s="163"/>
      <c r="CZ32" s="163"/>
      <c r="DA32" s="163"/>
      <c r="DB32" s="163"/>
      <c r="DC32" s="163"/>
      <c r="DD32" s="163"/>
      <c r="DE32" s="163"/>
      <c r="DF32" s="163"/>
      <c r="DG32" s="163"/>
      <c r="DH32" s="163"/>
      <c r="DI32" s="163"/>
      <c r="DJ32" s="163"/>
      <c r="DK32" s="163"/>
      <c r="DL32" s="163"/>
      <c r="DM32" s="163"/>
      <c r="DN32" s="163"/>
      <c r="DO32" s="163"/>
      <c r="DP32" s="163"/>
      <c r="DQ32" s="163"/>
      <c r="DR32" s="163"/>
      <c r="DS32" s="163"/>
      <c r="DT32" s="163"/>
      <c r="DU32" s="163"/>
      <c r="DV32" s="163"/>
      <c r="DW32" s="163"/>
      <c r="DX32" s="163"/>
      <c r="DY32" s="163"/>
      <c r="DZ32" s="163"/>
      <c r="EA32" s="163"/>
      <c r="EB32" s="163"/>
      <c r="EC32" s="163"/>
      <c r="ED32" s="163"/>
      <c r="EE32" s="163"/>
      <c r="EF32" s="163"/>
      <c r="EG32" s="163"/>
      <c r="EH32" s="163"/>
      <c r="EI32" s="163"/>
      <c r="EJ32" s="163"/>
      <c r="EK32" s="163"/>
      <c r="EL32" s="163"/>
      <c r="EM32" s="163"/>
      <c r="EN32" s="163"/>
      <c r="EO32" s="163"/>
      <c r="EP32" s="163"/>
      <c r="EQ32" s="163"/>
      <c r="ER32" s="163"/>
      <c r="ES32" s="163"/>
      <c r="ET32" s="163"/>
      <c r="EU32" s="163"/>
      <c r="EV32" s="163"/>
      <c r="EW32" s="163"/>
      <c r="EX32" s="163"/>
      <c r="EY32" s="163"/>
      <c r="EZ32" s="163"/>
      <c r="FA32" s="163"/>
      <c r="FB32" s="163"/>
      <c r="FC32" s="163"/>
      <c r="FD32" s="163"/>
      <c r="FE32" s="163"/>
      <c r="FF32" s="163"/>
      <c r="FG32" s="163"/>
      <c r="FH32" s="188">
        <v>1.41E-3</v>
      </c>
      <c r="FI32" s="163"/>
      <c r="FJ32" s="163"/>
      <c r="FK32" s="163"/>
      <c r="FL32" s="163"/>
      <c r="FM32" s="188">
        <v>7.7200000000000005E-2</v>
      </c>
      <c r="FN32" s="163"/>
      <c r="FO32" s="163"/>
      <c r="FP32" s="163"/>
      <c r="FQ32" s="163"/>
      <c r="FR32" s="123"/>
      <c r="FS32" s="123"/>
      <c r="FT32" s="123"/>
      <c r="FU32" s="123"/>
      <c r="FV32" s="123"/>
    </row>
    <row r="33" spans="1:178" ht="102.75" customHeight="1" x14ac:dyDescent="0.2">
      <c r="A33" s="226" t="s">
        <v>2776</v>
      </c>
      <c r="B33" s="227" t="str">
        <f>VLOOKUP(A33,Liste!A6:O1133,2,0)</f>
        <v>Hydrolat Rose damas Bio (conservé à 2% leucidal liquid)</v>
      </c>
      <c r="C33" s="228" t="str">
        <f>VLOOKUP(A33,Liste!A6:O974,4,0)</f>
        <v>Rosa Damascena Flower Water* 98%
2% Leuconostoc/Radish Root Ferment Filtrate 50% (and) Aqua 50%</v>
      </c>
      <c r="D33" s="228" t="str">
        <f>VLOOKUP(A33,Liste!A6:O960,2,0)</f>
        <v>Hydrolat Rose damas Bio (conservé à 2% leucidal liquid)</v>
      </c>
      <c r="E33" s="229" t="str">
        <f>VLOOKUP(A33,Liste!A6:O958,3,0)</f>
        <v>Gazignaire</v>
      </c>
      <c r="F33" s="230"/>
      <c r="G33" s="231">
        <v>9.0000000000000006E-5</v>
      </c>
      <c r="H33" s="231"/>
      <c r="I33" s="231">
        <v>9.0000000000000006E-5</v>
      </c>
      <c r="J33" s="231"/>
      <c r="K33" s="231"/>
      <c r="L33" s="231"/>
      <c r="M33" s="231"/>
      <c r="N33" s="231"/>
      <c r="O33" s="232">
        <v>2E-3</v>
      </c>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1"/>
      <c r="AN33" s="231"/>
      <c r="AO33" s="231"/>
      <c r="AP33" s="231"/>
      <c r="AQ33" s="231"/>
      <c r="AR33" s="231"/>
      <c r="AS33" s="231"/>
      <c r="AT33" s="231"/>
      <c r="AU33" s="231"/>
      <c r="AV33" s="231"/>
      <c r="AW33" s="231"/>
      <c r="AX33" s="231"/>
      <c r="AY33" s="231"/>
      <c r="AZ33" s="231"/>
      <c r="BA33" s="231"/>
      <c r="BB33" s="231"/>
      <c r="BC33" s="231"/>
      <c r="BD33" s="231"/>
      <c r="BE33" s="231"/>
      <c r="BF33" s="231"/>
      <c r="BG33" s="231"/>
      <c r="BH33" s="231"/>
      <c r="BI33" s="231"/>
      <c r="BJ33" s="231"/>
      <c r="BK33" s="231"/>
      <c r="BL33" s="231"/>
      <c r="BM33" s="231"/>
      <c r="BN33" s="231"/>
      <c r="BO33" s="231"/>
      <c r="BP33" s="231"/>
      <c r="BQ33" s="231"/>
      <c r="BR33" s="231"/>
      <c r="BS33" s="231"/>
      <c r="BT33" s="231">
        <v>1E-4</v>
      </c>
      <c r="BU33" s="231"/>
      <c r="BV33" s="231"/>
      <c r="BW33" s="231"/>
      <c r="BX33" s="231"/>
      <c r="BY33" s="231"/>
      <c r="BZ33" s="231"/>
      <c r="CA33" s="231"/>
      <c r="CB33" s="231"/>
      <c r="CC33" s="231"/>
      <c r="CD33" s="231"/>
      <c r="CE33" s="231"/>
      <c r="CF33" s="231"/>
      <c r="CG33" s="231"/>
      <c r="CH33" s="231"/>
      <c r="CI33" s="231"/>
      <c r="CJ33" s="231"/>
      <c r="CK33" s="231"/>
      <c r="CL33" s="231"/>
      <c r="CM33" s="231"/>
      <c r="CN33" s="231"/>
      <c r="CO33" s="231"/>
      <c r="CP33" s="231"/>
      <c r="CQ33" s="231"/>
      <c r="CR33" s="231"/>
      <c r="CS33" s="231"/>
      <c r="CT33" s="231"/>
      <c r="CU33" s="231"/>
      <c r="CV33" s="231"/>
      <c r="CW33" s="231"/>
      <c r="CX33" s="231"/>
      <c r="CY33" s="231"/>
      <c r="CZ33" s="231"/>
      <c r="DA33" s="231"/>
      <c r="DB33" s="231"/>
      <c r="DC33" s="231"/>
      <c r="DD33" s="231"/>
      <c r="DE33" s="231"/>
      <c r="DF33" s="231"/>
      <c r="DG33" s="231"/>
      <c r="DH33" s="231"/>
      <c r="DI33" s="231"/>
      <c r="DJ33" s="231"/>
      <c r="DK33" s="231"/>
      <c r="DL33" s="231"/>
      <c r="DM33" s="231"/>
      <c r="DN33" s="231"/>
      <c r="DO33" s="231"/>
      <c r="DP33" s="231"/>
      <c r="DQ33" s="231"/>
      <c r="DR33" s="231"/>
      <c r="DS33" s="231"/>
      <c r="DT33" s="231"/>
      <c r="DU33" s="231"/>
      <c r="DV33" s="231"/>
      <c r="DW33" s="231"/>
      <c r="DX33" s="231"/>
      <c r="DY33" s="231"/>
      <c r="DZ33" s="231"/>
      <c r="EA33" s="231"/>
      <c r="EB33" s="231"/>
      <c r="EC33" s="231"/>
      <c r="ED33" s="231"/>
      <c r="EE33" s="231"/>
      <c r="EF33" s="231"/>
      <c r="EG33" s="231"/>
      <c r="EH33" s="231"/>
      <c r="EI33" s="231"/>
      <c r="EJ33" s="231"/>
      <c r="EK33" s="232">
        <v>1.2E-2</v>
      </c>
      <c r="EL33" s="231"/>
      <c r="EM33" s="231"/>
      <c r="EN33" s="231"/>
      <c r="EO33" s="231"/>
      <c r="EP33" s="231"/>
      <c r="EQ33" s="231"/>
      <c r="ER33" s="231"/>
      <c r="ES33" s="231"/>
      <c r="ET33" s="231"/>
      <c r="EU33" s="231">
        <v>9.0000000000000006E-5</v>
      </c>
      <c r="EV33" s="231"/>
      <c r="EW33" s="231"/>
      <c r="EX33" s="231"/>
      <c r="EY33" s="231"/>
      <c r="EZ33" s="231"/>
      <c r="FA33" s="231"/>
      <c r="FB33" s="231">
        <v>4.0000000000000002E-4</v>
      </c>
      <c r="FC33" s="231"/>
      <c r="FD33" s="231"/>
      <c r="FE33" s="231"/>
      <c r="FF33" s="231"/>
      <c r="FG33" s="231"/>
      <c r="FH33" s="231"/>
      <c r="FI33" s="231">
        <v>4.0000000000000001E-3</v>
      </c>
      <c r="FJ33" s="231"/>
      <c r="FK33" s="231"/>
      <c r="FL33" s="231"/>
      <c r="FM33" s="231">
        <v>4.0000000000000002E-4</v>
      </c>
      <c r="FN33" s="231"/>
      <c r="FO33" s="231"/>
      <c r="FP33" s="231"/>
      <c r="FQ33" s="231"/>
      <c r="FR33" s="233"/>
      <c r="FS33" s="233"/>
      <c r="FT33" s="233"/>
      <c r="FU33" s="233"/>
      <c r="FV33" s="233"/>
    </row>
    <row r="34" spans="1:178" ht="36.75" customHeight="1" x14ac:dyDescent="0.2">
      <c r="A34" s="186" t="s">
        <v>2028</v>
      </c>
      <c r="B34" s="217" t="str">
        <f>VLOOKUP(A34,Liste!A7:O1134,2,0)</f>
        <v>Rose HE Bulgarie</v>
      </c>
      <c r="C34" s="215" t="str">
        <f>VLOOKUP(A34,Liste!A7:O975,4,0)</f>
        <v>ROSA DAMASCENA FLOWER OIL</v>
      </c>
      <c r="D34" s="215" t="str">
        <f>VLOOKUP(A34,Liste!A7:O961,2,0)</f>
        <v>Rose HE Bulgarie</v>
      </c>
      <c r="E34" s="216" t="str">
        <f>VLOOKUP(A34,Liste!A7:O959,3,0)</f>
        <v>Atmosphaer</v>
      </c>
      <c r="F34" s="163"/>
      <c r="G34" s="188"/>
      <c r="H34" s="188"/>
      <c r="I34" s="188"/>
      <c r="J34" s="188"/>
      <c r="K34" s="188"/>
      <c r="L34" s="188"/>
      <c r="M34" s="188"/>
      <c r="N34" s="188"/>
      <c r="O34" s="188">
        <v>29.8</v>
      </c>
      <c r="P34" s="188"/>
      <c r="Q34" s="188"/>
      <c r="R34" s="188"/>
      <c r="S34" s="188"/>
      <c r="T34" s="188"/>
      <c r="U34" s="188"/>
      <c r="V34" s="188"/>
      <c r="W34" s="188"/>
      <c r="X34" s="188"/>
      <c r="Y34" s="188"/>
      <c r="Z34" s="188"/>
      <c r="AA34" s="188"/>
      <c r="AB34" s="188"/>
      <c r="AC34" s="188"/>
      <c r="AD34" s="188"/>
      <c r="AE34" s="188"/>
      <c r="AF34" s="188"/>
      <c r="AG34" s="188"/>
      <c r="AH34" s="188"/>
      <c r="AI34" s="188"/>
      <c r="AJ34" s="188"/>
      <c r="AK34" s="188"/>
      <c r="AL34" s="188"/>
      <c r="AM34" s="188"/>
      <c r="AN34" s="188"/>
      <c r="AO34" s="188"/>
      <c r="AP34" s="188"/>
      <c r="AQ34" s="188"/>
      <c r="AR34" s="188"/>
      <c r="AS34" s="188"/>
      <c r="AT34" s="188"/>
      <c r="AU34" s="188"/>
      <c r="AV34" s="188"/>
      <c r="AW34" s="188"/>
      <c r="AX34" s="188"/>
      <c r="AY34" s="188"/>
      <c r="AZ34" s="188"/>
      <c r="BA34" s="188"/>
      <c r="BB34" s="188"/>
      <c r="BC34" s="188"/>
      <c r="BD34" s="188"/>
      <c r="BE34" s="188"/>
      <c r="BF34" s="188"/>
      <c r="BG34" s="188"/>
      <c r="BH34" s="188"/>
      <c r="BI34" s="188"/>
      <c r="BJ34" s="188"/>
      <c r="BK34" s="188"/>
      <c r="BL34" s="188"/>
      <c r="BM34" s="188"/>
      <c r="BN34" s="188"/>
      <c r="BO34" s="188"/>
      <c r="BP34" s="188"/>
      <c r="BQ34" s="188"/>
      <c r="BR34" s="188"/>
      <c r="BS34" s="188"/>
      <c r="BT34" s="188"/>
      <c r="BU34" s="188"/>
      <c r="BV34" s="188"/>
      <c r="BW34" s="188"/>
      <c r="BX34" s="188"/>
      <c r="BY34" s="188"/>
      <c r="BZ34" s="188"/>
      <c r="CA34" s="188"/>
      <c r="CB34" s="188"/>
      <c r="CC34" s="188"/>
      <c r="CD34" s="188"/>
      <c r="CE34" s="188"/>
      <c r="CF34" s="188"/>
      <c r="CG34" s="188"/>
      <c r="CH34" s="188"/>
      <c r="CI34" s="188"/>
      <c r="CJ34" s="188"/>
      <c r="CK34" s="188"/>
      <c r="CL34" s="188"/>
      <c r="CM34" s="188"/>
      <c r="CN34" s="188"/>
      <c r="CO34" s="188"/>
      <c r="CP34" s="188"/>
      <c r="CQ34" s="188"/>
      <c r="CR34" s="188"/>
      <c r="CS34" s="188"/>
      <c r="CT34" s="188"/>
      <c r="CU34" s="188"/>
      <c r="CV34" s="188"/>
      <c r="CW34" s="188"/>
      <c r="CX34" s="188"/>
      <c r="CY34" s="188"/>
      <c r="CZ34" s="188"/>
      <c r="DA34" s="188"/>
      <c r="DB34" s="188"/>
      <c r="DC34" s="188"/>
      <c r="DD34" s="188"/>
      <c r="DE34" s="188"/>
      <c r="DF34" s="188"/>
      <c r="DG34" s="188"/>
      <c r="DH34" s="188"/>
      <c r="DI34" s="188"/>
      <c r="DJ34" s="188"/>
      <c r="DK34" s="188"/>
      <c r="DL34" s="188"/>
      <c r="DM34" s="188"/>
      <c r="DN34" s="188"/>
      <c r="DO34" s="188"/>
      <c r="DP34" s="188"/>
      <c r="DQ34" s="188"/>
      <c r="DR34" s="188"/>
      <c r="DS34" s="188"/>
      <c r="DT34" s="188"/>
      <c r="DU34" s="188"/>
      <c r="DV34" s="188"/>
      <c r="DW34" s="188"/>
      <c r="DX34" s="188"/>
      <c r="DY34" s="188"/>
      <c r="DZ34" s="188"/>
      <c r="EA34" s="188"/>
      <c r="EB34" s="188"/>
      <c r="EC34" s="188"/>
      <c r="ED34" s="188"/>
      <c r="EE34" s="188"/>
      <c r="EF34" s="188"/>
      <c r="EG34" s="188"/>
      <c r="EH34" s="188"/>
      <c r="EI34" s="188"/>
      <c r="EJ34" s="188"/>
      <c r="EK34" s="188"/>
      <c r="EL34" s="188"/>
      <c r="EM34" s="188"/>
      <c r="EN34" s="188"/>
      <c r="EO34" s="188"/>
      <c r="EP34" s="188"/>
      <c r="EQ34" s="188"/>
      <c r="ER34" s="188"/>
      <c r="ES34" s="188"/>
      <c r="ET34" s="188"/>
      <c r="EU34" s="188">
        <v>1.08</v>
      </c>
      <c r="EV34" s="188"/>
      <c r="EW34" s="188"/>
      <c r="EX34" s="188"/>
      <c r="EY34" s="188"/>
      <c r="EZ34" s="188"/>
      <c r="FA34" s="188"/>
      <c r="FB34" s="188">
        <v>0.98</v>
      </c>
      <c r="FC34" s="188"/>
      <c r="FD34" s="188"/>
      <c r="FE34" s="188"/>
      <c r="FF34" s="188"/>
      <c r="FG34" s="188"/>
      <c r="FH34" s="188"/>
      <c r="FI34" s="188"/>
      <c r="FJ34" s="188"/>
      <c r="FK34" s="188"/>
      <c r="FL34" s="188">
        <v>2</v>
      </c>
      <c r="FM34" s="188">
        <v>1.06</v>
      </c>
      <c r="FN34" s="188"/>
      <c r="FO34" s="188"/>
      <c r="FP34" s="188"/>
      <c r="FQ34" s="188"/>
      <c r="FR34" s="123"/>
      <c r="FS34" s="123"/>
      <c r="FT34" s="123"/>
      <c r="FU34" s="123"/>
      <c r="FV34" s="123"/>
    </row>
    <row r="35" spans="1:178" ht="33" customHeight="1" x14ac:dyDescent="0.2">
      <c r="A35" s="186" t="s">
        <v>3016</v>
      </c>
      <c r="B35" s="217" t="str">
        <f>VLOOKUP(A35,Liste!A8:O1135,2,0)</f>
        <v xml:space="preserve">Vanilline </v>
      </c>
      <c r="C35" s="215" t="str">
        <f>VLOOKUP(A35,Liste!A8:O976,4,0)</f>
        <v>Vanillin</v>
      </c>
      <c r="D35" s="215" t="str">
        <f>VLOOKUP(A35,Liste!A8:O962,2,0)</f>
        <v xml:space="preserve">Vanilline </v>
      </c>
      <c r="E35" s="216" t="str">
        <f>VLOOKUP(A35,Liste!A8:O960,3,0)</f>
        <v>Diffusions aromatiques</v>
      </c>
      <c r="F35" s="163"/>
      <c r="G35" s="188"/>
      <c r="H35" s="188"/>
      <c r="I35" s="188"/>
      <c r="J35" s="188"/>
      <c r="K35" s="188"/>
      <c r="L35" s="188"/>
      <c r="M35" s="188"/>
      <c r="N35" s="188"/>
      <c r="O35" s="188"/>
      <c r="P35" s="188"/>
      <c r="Q35" s="188"/>
      <c r="R35" s="188"/>
      <c r="S35" s="188"/>
      <c r="T35" s="188"/>
      <c r="U35" s="188"/>
      <c r="V35" s="188"/>
      <c r="W35" s="188"/>
      <c r="X35" s="188"/>
      <c r="Y35" s="188"/>
      <c r="Z35" s="188"/>
      <c r="AA35" s="188"/>
      <c r="AB35" s="188"/>
      <c r="AC35" s="188"/>
      <c r="AD35" s="188"/>
      <c r="AE35" s="188"/>
      <c r="AF35" s="188"/>
      <c r="AG35" s="188"/>
      <c r="AH35" s="188"/>
      <c r="AI35" s="188"/>
      <c r="AJ35" s="188"/>
      <c r="AK35" s="188"/>
      <c r="AL35" s="188"/>
      <c r="AM35" s="188"/>
      <c r="AN35" s="188"/>
      <c r="AO35" s="188"/>
      <c r="AP35" s="188"/>
      <c r="AQ35" s="188"/>
      <c r="AR35" s="188"/>
      <c r="AS35" s="188"/>
      <c r="AT35" s="188"/>
      <c r="AU35" s="188"/>
      <c r="AV35" s="188"/>
      <c r="AW35" s="188"/>
      <c r="AX35" s="188"/>
      <c r="AY35" s="188"/>
      <c r="AZ35" s="188"/>
      <c r="BA35" s="188"/>
      <c r="BB35" s="188"/>
      <c r="BC35" s="188"/>
      <c r="BD35" s="188"/>
      <c r="BE35" s="188"/>
      <c r="BF35" s="188"/>
      <c r="BG35" s="188"/>
      <c r="BH35" s="188"/>
      <c r="BI35" s="188"/>
      <c r="BJ35" s="188"/>
      <c r="BK35" s="188"/>
      <c r="BL35" s="188"/>
      <c r="BM35" s="188"/>
      <c r="BN35" s="188"/>
      <c r="BO35" s="188"/>
      <c r="BP35" s="188"/>
      <c r="BQ35" s="188"/>
      <c r="BR35" s="188"/>
      <c r="BS35" s="188"/>
      <c r="BT35" s="188"/>
      <c r="BU35" s="188"/>
      <c r="BV35" s="188"/>
      <c r="BW35" s="188"/>
      <c r="BX35" s="188"/>
      <c r="BY35" s="188"/>
      <c r="BZ35" s="188"/>
      <c r="CA35" s="188"/>
      <c r="CB35" s="188"/>
      <c r="CC35" s="188"/>
      <c r="CD35" s="188"/>
      <c r="CE35" s="188"/>
      <c r="CF35" s="188"/>
      <c r="CG35" s="188"/>
      <c r="CH35" s="188"/>
      <c r="CI35" s="188"/>
      <c r="CJ35" s="188"/>
      <c r="CK35" s="188"/>
      <c r="CL35" s="188"/>
      <c r="CM35" s="188"/>
      <c r="CN35" s="188"/>
      <c r="CO35" s="188"/>
      <c r="CP35" s="188"/>
      <c r="CQ35" s="188"/>
      <c r="CR35" s="188"/>
      <c r="CS35" s="188"/>
      <c r="CT35" s="188"/>
      <c r="CU35" s="188"/>
      <c r="CV35" s="188"/>
      <c r="CW35" s="188"/>
      <c r="CX35" s="188"/>
      <c r="CY35" s="188"/>
      <c r="CZ35" s="188"/>
      <c r="DA35" s="188"/>
      <c r="DB35" s="188"/>
      <c r="DC35" s="188"/>
      <c r="DD35" s="188"/>
      <c r="DE35" s="188"/>
      <c r="DF35" s="188"/>
      <c r="DG35" s="188"/>
      <c r="DH35" s="188"/>
      <c r="DI35" s="188"/>
      <c r="DJ35" s="188"/>
      <c r="DK35" s="188"/>
      <c r="DL35" s="188"/>
      <c r="DM35" s="188"/>
      <c r="DN35" s="188"/>
      <c r="DO35" s="188"/>
      <c r="DP35" s="188"/>
      <c r="DQ35" s="188"/>
      <c r="DR35" s="188"/>
      <c r="DS35" s="188"/>
      <c r="DT35" s="188"/>
      <c r="DU35" s="188"/>
      <c r="DV35" s="188"/>
      <c r="DW35" s="188"/>
      <c r="DX35" s="188"/>
      <c r="DY35" s="188"/>
      <c r="DZ35" s="188"/>
      <c r="EA35" s="188"/>
      <c r="EB35" s="188"/>
      <c r="EC35" s="188"/>
      <c r="ED35" s="188"/>
      <c r="EE35" s="188"/>
      <c r="EF35" s="188"/>
      <c r="EG35" s="188"/>
      <c r="EH35" s="188"/>
      <c r="EI35" s="188"/>
      <c r="EJ35" s="188"/>
      <c r="EK35" s="188"/>
      <c r="EL35" s="188"/>
      <c r="EM35" s="188"/>
      <c r="EN35" s="188"/>
      <c r="EO35" s="188"/>
      <c r="EP35" s="188"/>
      <c r="EQ35" s="188"/>
      <c r="ER35" s="188"/>
      <c r="ES35" s="188"/>
      <c r="ET35" s="188"/>
      <c r="EU35" s="188"/>
      <c r="EV35" s="188"/>
      <c r="EW35" s="188"/>
      <c r="EX35" s="188"/>
      <c r="EY35" s="188"/>
      <c r="EZ35" s="188"/>
      <c r="FA35" s="188"/>
      <c r="FB35" s="188"/>
      <c r="FC35" s="188"/>
      <c r="FD35" s="188"/>
      <c r="FE35" s="188"/>
      <c r="FF35" s="188"/>
      <c r="FG35" s="188"/>
      <c r="FH35" s="188"/>
      <c r="FI35" s="188"/>
      <c r="FJ35" s="188"/>
      <c r="FK35" s="188"/>
      <c r="FL35" s="188"/>
      <c r="FM35" s="188"/>
      <c r="FN35" s="188"/>
      <c r="FO35" s="188"/>
      <c r="FP35" s="188"/>
      <c r="FQ35" s="188"/>
      <c r="FR35" s="123"/>
      <c r="FS35" s="123"/>
      <c r="FT35" s="123"/>
      <c r="FU35" s="123"/>
      <c r="FV35" s="123"/>
    </row>
    <row r="36" spans="1:178" ht="45" customHeight="1" x14ac:dyDescent="0.2">
      <c r="A36" s="186" t="s">
        <v>2781</v>
      </c>
      <c r="B36" s="217" t="str">
        <f>VLOOKUP(A36,Liste!A9:O1136,2,0)</f>
        <v>Hydrolat Fleur d'Oranger BIO (conservé)</v>
      </c>
      <c r="C36" s="215" t="str">
        <f>VLOOKUP(A36,Liste!A9:O977,4,0)</f>
        <v>Citrus Aurantium Amara Flower water 98%
Aqua 1%
Leuconostoc/Radish Root Ferment Filtrate 1%</v>
      </c>
      <c r="D36" s="215" t="str">
        <f>VLOOKUP(A36,Liste!A9:O963,2,0)</f>
        <v>Hydrolat Fleur d'Oranger BIO (conservé)</v>
      </c>
      <c r="E36" s="216" t="str">
        <f>VLOOKUP(A36,Liste!A9:O961,3,0)</f>
        <v>Gazignaire</v>
      </c>
      <c r="F36" s="163"/>
      <c r="G36" s="188"/>
      <c r="H36" s="188"/>
      <c r="I36" s="188"/>
      <c r="J36" s="188"/>
      <c r="K36" s="188"/>
      <c r="L36" s="188"/>
      <c r="M36" s="188"/>
      <c r="N36" s="188"/>
      <c r="O36" s="188"/>
      <c r="P36" s="188"/>
      <c r="Q36" s="188"/>
      <c r="R36" s="188"/>
      <c r="S36" s="188"/>
      <c r="T36" s="188"/>
      <c r="U36" s="188"/>
      <c r="V36" s="188"/>
      <c r="W36" s="188"/>
      <c r="X36" s="188"/>
      <c r="Y36" s="188"/>
      <c r="Z36" s="188"/>
      <c r="AA36" s="188"/>
      <c r="AB36" s="188"/>
      <c r="AC36" s="188"/>
      <c r="AD36" s="188"/>
      <c r="AE36" s="188"/>
      <c r="AF36" s="188"/>
      <c r="AG36" s="188"/>
      <c r="AH36" s="188"/>
      <c r="AI36" s="188"/>
      <c r="AJ36" s="188"/>
      <c r="AK36" s="188"/>
      <c r="AL36" s="188"/>
      <c r="AM36" s="188"/>
      <c r="AN36" s="188"/>
      <c r="AO36" s="188"/>
      <c r="AP36" s="188"/>
      <c r="AQ36" s="188"/>
      <c r="AR36" s="188"/>
      <c r="AS36" s="188"/>
      <c r="AT36" s="188"/>
      <c r="AU36" s="188"/>
      <c r="AV36" s="188"/>
      <c r="AW36" s="188"/>
      <c r="AX36" s="188"/>
      <c r="AY36" s="188"/>
      <c r="AZ36" s="188"/>
      <c r="BA36" s="188"/>
      <c r="BB36" s="188"/>
      <c r="BC36" s="188"/>
      <c r="BD36" s="188"/>
      <c r="BE36" s="188"/>
      <c r="BF36" s="188"/>
      <c r="BG36" s="188"/>
      <c r="BH36" s="188"/>
      <c r="BI36" s="188"/>
      <c r="BJ36" s="188"/>
      <c r="BK36" s="188"/>
      <c r="BL36" s="188"/>
      <c r="BM36" s="188"/>
      <c r="BN36" s="188"/>
      <c r="BO36" s="188"/>
      <c r="BP36" s="188"/>
      <c r="BQ36" s="188"/>
      <c r="BR36" s="188"/>
      <c r="BS36" s="188"/>
      <c r="BT36" s="188">
        <v>1.4999999999999999E-2</v>
      </c>
      <c r="BU36" s="188"/>
      <c r="BV36" s="188"/>
      <c r="BW36" s="188"/>
      <c r="BX36" s="188"/>
      <c r="BY36" s="188"/>
      <c r="BZ36" s="188"/>
      <c r="CA36" s="188"/>
      <c r="CB36" s="188"/>
      <c r="CC36" s="188"/>
      <c r="CD36" s="188"/>
      <c r="CE36" s="188"/>
      <c r="CF36" s="188"/>
      <c r="CG36" s="188"/>
      <c r="CH36" s="188"/>
      <c r="CI36" s="188"/>
      <c r="CJ36" s="188"/>
      <c r="CK36" s="188"/>
      <c r="CL36" s="188">
        <v>0.03</v>
      </c>
      <c r="CM36" s="188"/>
      <c r="CN36" s="188"/>
      <c r="CO36" s="188"/>
      <c r="CP36" s="188"/>
      <c r="CQ36" s="188"/>
      <c r="CR36" s="188"/>
      <c r="CS36" s="188"/>
      <c r="CT36" s="188"/>
      <c r="CU36" s="188"/>
      <c r="CV36" s="188"/>
      <c r="CW36" s="188"/>
      <c r="CX36" s="188"/>
      <c r="CY36" s="188"/>
      <c r="CZ36" s="188"/>
      <c r="DA36" s="188"/>
      <c r="DB36" s="188"/>
      <c r="DC36" s="188"/>
      <c r="DD36" s="188"/>
      <c r="DE36" s="188"/>
      <c r="DF36" s="188"/>
      <c r="DG36" s="188"/>
      <c r="DH36" s="188"/>
      <c r="DI36" s="188"/>
      <c r="DJ36" s="188"/>
      <c r="DK36" s="188"/>
      <c r="DL36" s="188"/>
      <c r="DM36" s="188"/>
      <c r="DN36" s="188"/>
      <c r="DO36" s="188"/>
      <c r="DP36" s="188"/>
      <c r="DQ36" s="188"/>
      <c r="DR36" s="188"/>
      <c r="DS36" s="188"/>
      <c r="DT36" s="188"/>
      <c r="DU36" s="188"/>
      <c r="DV36" s="188"/>
      <c r="DW36" s="188"/>
      <c r="DX36" s="188"/>
      <c r="DY36" s="188"/>
      <c r="DZ36" s="188"/>
      <c r="EA36" s="188"/>
      <c r="EB36" s="188"/>
      <c r="EC36" s="188"/>
      <c r="ED36" s="188"/>
      <c r="EE36" s="188"/>
      <c r="EF36" s="188"/>
      <c r="EG36" s="188"/>
      <c r="EH36" s="188"/>
      <c r="EI36" s="188"/>
      <c r="EJ36" s="188"/>
      <c r="EK36" s="188"/>
      <c r="EL36" s="188"/>
      <c r="EM36" s="188"/>
      <c r="EN36" s="188"/>
      <c r="EO36" s="188"/>
      <c r="EP36" s="188"/>
      <c r="EQ36" s="188"/>
      <c r="ER36" s="188"/>
      <c r="ES36" s="188"/>
      <c r="ET36" s="188"/>
      <c r="EU36" s="188">
        <v>1E-4</v>
      </c>
      <c r="EV36" s="188"/>
      <c r="EW36" s="188"/>
      <c r="EX36" s="188"/>
      <c r="EY36" s="188"/>
      <c r="EZ36" s="188"/>
      <c r="FA36" s="188"/>
      <c r="FB36" s="188"/>
      <c r="FC36" s="188"/>
      <c r="FD36" s="188"/>
      <c r="FE36" s="188"/>
      <c r="FF36" s="188"/>
      <c r="FG36" s="188"/>
      <c r="FH36" s="188"/>
      <c r="FI36" s="188">
        <v>2.9999999999999997E-4</v>
      </c>
      <c r="FJ36" s="188"/>
      <c r="FK36" s="188"/>
      <c r="FL36" s="188"/>
      <c r="FM36" s="188">
        <v>2.5000000000000001E-2</v>
      </c>
      <c r="FN36" s="188"/>
      <c r="FO36" s="188"/>
      <c r="FP36" s="188"/>
      <c r="FQ36" s="188"/>
      <c r="FR36" s="123"/>
      <c r="FS36" s="123"/>
      <c r="FT36" s="123"/>
      <c r="FU36" s="123"/>
      <c r="FV36" s="123"/>
    </row>
    <row r="37" spans="1:178" ht="15.75" customHeight="1" x14ac:dyDescent="0.2">
      <c r="G37" s="234"/>
      <c r="H37" s="234"/>
      <c r="I37" s="234"/>
      <c r="J37" s="234"/>
      <c r="K37" s="234"/>
      <c r="L37" s="234"/>
      <c r="M37" s="234"/>
      <c r="N37" s="234"/>
      <c r="O37" s="234"/>
      <c r="P37" s="234"/>
      <c r="Q37" s="234"/>
      <c r="R37" s="234"/>
      <c r="S37" s="234"/>
      <c r="T37" s="234"/>
      <c r="U37" s="234"/>
      <c r="V37" s="234"/>
      <c r="W37" s="234"/>
      <c r="X37" s="234"/>
      <c r="Y37" s="234"/>
      <c r="Z37" s="234"/>
      <c r="AA37" s="234"/>
      <c r="AB37" s="234"/>
      <c r="AC37" s="234"/>
      <c r="AD37" s="234"/>
      <c r="AE37" s="234"/>
      <c r="AF37" s="234"/>
      <c r="AG37" s="234"/>
      <c r="AH37" s="234"/>
      <c r="AI37" s="234"/>
      <c r="AJ37" s="234"/>
      <c r="AK37" s="234"/>
      <c r="AL37" s="234"/>
      <c r="AM37" s="234"/>
      <c r="AN37" s="234"/>
      <c r="AO37" s="234"/>
      <c r="AP37" s="234"/>
      <c r="AQ37" s="234"/>
      <c r="AR37" s="234"/>
      <c r="AS37" s="234"/>
      <c r="AT37" s="234"/>
      <c r="AU37" s="234"/>
      <c r="AV37" s="234"/>
      <c r="AW37" s="234"/>
      <c r="AX37" s="234"/>
      <c r="AY37" s="234"/>
      <c r="AZ37" s="234"/>
      <c r="BA37" s="234"/>
      <c r="BB37" s="234"/>
      <c r="BC37" s="234"/>
      <c r="BD37" s="234"/>
      <c r="BE37" s="234"/>
      <c r="BF37" s="234"/>
      <c r="BG37" s="234"/>
      <c r="BH37" s="234"/>
      <c r="BI37" s="234"/>
      <c r="BJ37" s="234"/>
      <c r="BK37" s="234"/>
      <c r="BL37" s="234"/>
      <c r="BM37" s="234"/>
      <c r="BN37" s="234"/>
      <c r="BO37" s="234"/>
      <c r="BP37" s="234"/>
      <c r="BQ37" s="234"/>
      <c r="BR37" s="234"/>
      <c r="BS37" s="234"/>
      <c r="BT37" s="234"/>
      <c r="BU37" s="234"/>
      <c r="BV37" s="234"/>
      <c r="BW37" s="234"/>
      <c r="BX37" s="234"/>
      <c r="BY37" s="234"/>
      <c r="BZ37" s="234"/>
      <c r="CA37" s="234"/>
      <c r="CB37" s="234"/>
      <c r="CC37" s="234"/>
      <c r="CD37" s="234"/>
      <c r="CE37" s="234"/>
      <c r="CF37" s="234"/>
      <c r="CG37" s="234"/>
      <c r="CH37" s="234"/>
      <c r="CI37" s="234"/>
      <c r="CJ37" s="234"/>
      <c r="CK37" s="234"/>
      <c r="CL37" s="234"/>
      <c r="CM37" s="234"/>
      <c r="CN37" s="234"/>
      <c r="CO37" s="234"/>
      <c r="CP37" s="234"/>
      <c r="CQ37" s="234"/>
      <c r="CR37" s="234"/>
      <c r="CS37" s="234"/>
      <c r="CT37" s="234"/>
      <c r="CU37" s="234"/>
      <c r="CV37" s="234"/>
      <c r="CW37" s="234"/>
      <c r="CX37" s="234"/>
      <c r="CY37" s="234"/>
      <c r="CZ37" s="234"/>
      <c r="DA37" s="234"/>
      <c r="DB37" s="234"/>
      <c r="DC37" s="234"/>
      <c r="DD37" s="234"/>
      <c r="DE37" s="234"/>
      <c r="DF37" s="234"/>
      <c r="DG37" s="234"/>
      <c r="DH37" s="234"/>
      <c r="DI37" s="234"/>
      <c r="DJ37" s="234"/>
      <c r="DK37" s="234"/>
      <c r="DL37" s="234"/>
      <c r="DM37" s="234"/>
      <c r="DN37" s="234"/>
      <c r="DO37" s="234"/>
      <c r="DP37" s="234"/>
      <c r="DQ37" s="234"/>
      <c r="DR37" s="234"/>
      <c r="DS37" s="234"/>
      <c r="DT37" s="234"/>
      <c r="DU37" s="234"/>
      <c r="DV37" s="234"/>
      <c r="DW37" s="234"/>
      <c r="DX37" s="234"/>
      <c r="DY37" s="234"/>
      <c r="DZ37" s="234"/>
      <c r="EA37" s="234"/>
      <c r="EB37" s="234"/>
      <c r="EC37" s="234"/>
      <c r="ED37" s="234"/>
      <c r="EE37" s="234"/>
      <c r="EF37" s="234"/>
      <c r="EG37" s="234"/>
      <c r="EH37" s="234"/>
      <c r="EI37" s="234"/>
      <c r="EJ37" s="234"/>
      <c r="EK37" s="234"/>
      <c r="EL37" s="234"/>
      <c r="EM37" s="234"/>
      <c r="EN37" s="234"/>
      <c r="EO37" s="234"/>
      <c r="EP37" s="234"/>
      <c r="EQ37" s="234"/>
      <c r="ER37" s="234"/>
      <c r="ES37" s="234"/>
      <c r="ET37" s="234"/>
      <c r="EU37" s="234"/>
      <c r="EV37" s="234"/>
      <c r="EW37" s="234"/>
      <c r="EX37" s="234"/>
      <c r="EY37" s="234"/>
      <c r="EZ37" s="234"/>
      <c r="FA37" s="234"/>
      <c r="FB37" s="234"/>
      <c r="FC37" s="234"/>
      <c r="FD37" s="234"/>
      <c r="FE37" s="234"/>
      <c r="FF37" s="234"/>
      <c r="FG37" s="234"/>
      <c r="FH37" s="234"/>
      <c r="FI37" s="234"/>
      <c r="FJ37" s="234"/>
      <c r="FK37" s="234"/>
      <c r="FL37" s="234"/>
      <c r="FM37" s="234"/>
      <c r="FN37" s="234"/>
      <c r="FO37" s="234"/>
      <c r="FP37" s="234"/>
      <c r="FQ37" s="234"/>
      <c r="FR37" s="123"/>
      <c r="FS37" s="123"/>
      <c r="FT37" s="123"/>
      <c r="FU37" s="123"/>
      <c r="FV37" s="123"/>
    </row>
    <row r="38" spans="1:178" ht="15.75" customHeight="1" x14ac:dyDescent="0.2">
      <c r="G38" s="234"/>
      <c r="H38" s="234"/>
      <c r="I38" s="234"/>
      <c r="J38" s="234"/>
      <c r="K38" s="234"/>
      <c r="L38" s="234"/>
      <c r="M38" s="234"/>
      <c r="N38" s="234"/>
      <c r="O38" s="234"/>
      <c r="P38" s="234"/>
      <c r="Q38" s="234"/>
      <c r="R38" s="234"/>
      <c r="S38" s="234"/>
      <c r="T38" s="234"/>
      <c r="U38" s="234"/>
      <c r="V38" s="234"/>
      <c r="W38" s="234"/>
      <c r="X38" s="234"/>
      <c r="Y38" s="234"/>
      <c r="Z38" s="234"/>
      <c r="AA38" s="234"/>
      <c r="AB38" s="234"/>
      <c r="AC38" s="234"/>
      <c r="AD38" s="234"/>
      <c r="AE38" s="234"/>
      <c r="AF38" s="234"/>
      <c r="AG38" s="234"/>
      <c r="AH38" s="234"/>
      <c r="AI38" s="234"/>
      <c r="AJ38" s="234"/>
      <c r="AK38" s="234"/>
      <c r="AL38" s="234"/>
      <c r="AM38" s="234"/>
      <c r="AN38" s="234"/>
      <c r="AO38" s="234"/>
      <c r="AP38" s="234"/>
      <c r="AQ38" s="234"/>
      <c r="AR38" s="234"/>
      <c r="AS38" s="234"/>
      <c r="AT38" s="234"/>
      <c r="AU38" s="234"/>
      <c r="AV38" s="234"/>
      <c r="AW38" s="234"/>
      <c r="AX38" s="234"/>
      <c r="AY38" s="234"/>
      <c r="AZ38" s="234"/>
      <c r="BA38" s="234"/>
      <c r="BB38" s="234"/>
      <c r="BC38" s="234"/>
      <c r="BD38" s="234"/>
      <c r="BE38" s="234"/>
      <c r="BF38" s="234"/>
      <c r="BG38" s="234"/>
      <c r="BH38" s="234"/>
      <c r="BI38" s="234"/>
      <c r="BJ38" s="234"/>
      <c r="BK38" s="234"/>
      <c r="BL38" s="234"/>
      <c r="BM38" s="234"/>
      <c r="BN38" s="234"/>
      <c r="BO38" s="234"/>
      <c r="BP38" s="234"/>
      <c r="BQ38" s="234"/>
      <c r="BR38" s="234"/>
      <c r="BS38" s="234"/>
      <c r="BT38" s="234"/>
      <c r="BU38" s="234"/>
      <c r="BV38" s="234"/>
      <c r="BW38" s="234"/>
      <c r="BX38" s="234"/>
      <c r="BY38" s="234"/>
      <c r="BZ38" s="234"/>
      <c r="CA38" s="234"/>
      <c r="CB38" s="234"/>
      <c r="CC38" s="234"/>
      <c r="CD38" s="234"/>
      <c r="CE38" s="234"/>
      <c r="CF38" s="234"/>
      <c r="CG38" s="234"/>
      <c r="CH38" s="234"/>
      <c r="CI38" s="234"/>
      <c r="CJ38" s="234"/>
      <c r="CK38" s="234"/>
      <c r="CL38" s="234"/>
      <c r="CM38" s="234"/>
      <c r="CN38" s="234"/>
      <c r="CO38" s="234"/>
      <c r="CP38" s="234"/>
      <c r="CQ38" s="234"/>
      <c r="CR38" s="234"/>
      <c r="CS38" s="234"/>
      <c r="CT38" s="234"/>
      <c r="CU38" s="234"/>
      <c r="CV38" s="234"/>
      <c r="CW38" s="234"/>
      <c r="CX38" s="234"/>
      <c r="CY38" s="234"/>
      <c r="CZ38" s="234"/>
      <c r="DA38" s="234"/>
      <c r="DB38" s="234"/>
      <c r="DC38" s="234"/>
      <c r="DD38" s="234"/>
      <c r="DE38" s="234"/>
      <c r="DF38" s="234"/>
      <c r="DG38" s="234"/>
      <c r="DH38" s="234"/>
      <c r="DI38" s="234"/>
      <c r="DJ38" s="234"/>
      <c r="DK38" s="234"/>
      <c r="DL38" s="234"/>
      <c r="DM38" s="234"/>
      <c r="DN38" s="234"/>
      <c r="DO38" s="234"/>
      <c r="DP38" s="234"/>
      <c r="DQ38" s="234"/>
      <c r="DR38" s="234"/>
      <c r="DS38" s="234"/>
      <c r="DT38" s="234"/>
      <c r="DU38" s="234"/>
      <c r="DV38" s="234"/>
      <c r="DW38" s="234"/>
      <c r="DX38" s="234"/>
      <c r="DY38" s="234"/>
      <c r="DZ38" s="234"/>
      <c r="EA38" s="234"/>
      <c r="EB38" s="234"/>
      <c r="EC38" s="234"/>
      <c r="ED38" s="234"/>
      <c r="EE38" s="234"/>
      <c r="EF38" s="234"/>
      <c r="EG38" s="234"/>
      <c r="EH38" s="234"/>
      <c r="EI38" s="234"/>
      <c r="EJ38" s="234"/>
      <c r="EK38" s="234"/>
      <c r="EL38" s="234"/>
      <c r="EM38" s="234"/>
      <c r="EN38" s="234"/>
      <c r="EO38" s="234"/>
      <c r="EP38" s="234"/>
      <c r="EQ38" s="234"/>
      <c r="ER38" s="234"/>
      <c r="ES38" s="234"/>
      <c r="ET38" s="234"/>
      <c r="EU38" s="234"/>
      <c r="EV38" s="234"/>
      <c r="EW38" s="234"/>
      <c r="EX38" s="234"/>
      <c r="EY38" s="234"/>
      <c r="EZ38" s="234"/>
      <c r="FA38" s="234"/>
      <c r="FB38" s="234"/>
      <c r="FC38" s="234"/>
      <c r="FD38" s="234"/>
      <c r="FE38" s="234"/>
      <c r="FF38" s="234"/>
      <c r="FG38" s="234"/>
      <c r="FH38" s="234"/>
      <c r="FI38" s="234"/>
      <c r="FJ38" s="234"/>
      <c r="FK38" s="234"/>
      <c r="FL38" s="234"/>
      <c r="FM38" s="234"/>
      <c r="FN38" s="234"/>
      <c r="FO38" s="234"/>
      <c r="FP38" s="234"/>
      <c r="FQ38" s="234"/>
      <c r="FR38" s="123"/>
      <c r="FS38" s="123"/>
      <c r="FT38" s="123"/>
      <c r="FU38" s="123"/>
      <c r="FV38" s="123"/>
    </row>
    <row r="39" spans="1:178" ht="15.75" customHeight="1" x14ac:dyDescent="0.2">
      <c r="G39" s="234"/>
      <c r="H39" s="234"/>
      <c r="I39" s="234"/>
      <c r="J39" s="234"/>
      <c r="K39" s="234"/>
      <c r="L39" s="234"/>
      <c r="M39" s="234"/>
      <c r="N39" s="234"/>
      <c r="O39" s="234"/>
      <c r="P39" s="234"/>
      <c r="Q39" s="234"/>
      <c r="R39" s="234"/>
      <c r="S39" s="234"/>
      <c r="T39" s="234"/>
      <c r="U39" s="234"/>
      <c r="V39" s="234"/>
      <c r="W39" s="234"/>
      <c r="X39" s="234"/>
      <c r="Y39" s="234"/>
      <c r="Z39" s="234"/>
      <c r="AA39" s="234"/>
      <c r="AB39" s="234"/>
      <c r="AC39" s="234"/>
      <c r="AD39" s="234"/>
      <c r="AE39" s="234"/>
      <c r="AF39" s="234"/>
      <c r="AG39" s="234"/>
      <c r="AH39" s="234"/>
      <c r="AI39" s="234"/>
      <c r="AJ39" s="234"/>
      <c r="AK39" s="234"/>
      <c r="AL39" s="234"/>
      <c r="AM39" s="234"/>
      <c r="AN39" s="234"/>
      <c r="AO39" s="234"/>
      <c r="AP39" s="234"/>
      <c r="AQ39" s="234"/>
      <c r="AR39" s="234"/>
      <c r="AS39" s="234"/>
      <c r="AT39" s="234"/>
      <c r="AU39" s="234"/>
      <c r="AV39" s="234"/>
      <c r="AW39" s="234"/>
      <c r="AX39" s="234"/>
      <c r="AY39" s="234"/>
      <c r="AZ39" s="234"/>
      <c r="BA39" s="234"/>
      <c r="BB39" s="234"/>
      <c r="BC39" s="234"/>
      <c r="BD39" s="234"/>
      <c r="BE39" s="234"/>
      <c r="BF39" s="234"/>
      <c r="BG39" s="234"/>
      <c r="BH39" s="234"/>
      <c r="BI39" s="234"/>
      <c r="BJ39" s="234"/>
      <c r="BK39" s="234"/>
      <c r="BL39" s="234"/>
      <c r="BM39" s="234"/>
      <c r="BN39" s="234"/>
      <c r="BO39" s="234"/>
      <c r="BP39" s="234"/>
      <c r="BQ39" s="234"/>
      <c r="BR39" s="234"/>
      <c r="BS39" s="234"/>
      <c r="BT39" s="234"/>
      <c r="BU39" s="234"/>
      <c r="BV39" s="234"/>
      <c r="BW39" s="234"/>
      <c r="BX39" s="234"/>
      <c r="BY39" s="234"/>
      <c r="BZ39" s="234"/>
      <c r="CA39" s="234"/>
      <c r="CB39" s="234"/>
      <c r="CC39" s="234"/>
      <c r="CD39" s="234"/>
      <c r="CE39" s="234"/>
      <c r="CF39" s="234"/>
      <c r="CG39" s="234"/>
      <c r="CH39" s="234"/>
      <c r="CI39" s="234"/>
      <c r="CJ39" s="234"/>
      <c r="CK39" s="234"/>
      <c r="CL39" s="234"/>
      <c r="CM39" s="234"/>
      <c r="CN39" s="234"/>
      <c r="CO39" s="234"/>
      <c r="CP39" s="234"/>
      <c r="CQ39" s="234"/>
      <c r="CR39" s="234"/>
      <c r="CS39" s="234"/>
      <c r="CT39" s="234"/>
      <c r="CU39" s="234"/>
      <c r="CV39" s="234"/>
      <c r="CW39" s="234"/>
      <c r="CX39" s="234"/>
      <c r="CY39" s="234"/>
      <c r="CZ39" s="234"/>
      <c r="DA39" s="234"/>
      <c r="DB39" s="234"/>
      <c r="DC39" s="234"/>
      <c r="DD39" s="234"/>
      <c r="DE39" s="234"/>
      <c r="DF39" s="234"/>
      <c r="DG39" s="234"/>
      <c r="DH39" s="234"/>
      <c r="DI39" s="234"/>
      <c r="DJ39" s="234"/>
      <c r="DK39" s="234"/>
      <c r="DL39" s="234"/>
      <c r="DM39" s="234"/>
      <c r="DN39" s="234"/>
      <c r="DO39" s="234"/>
      <c r="DP39" s="234"/>
      <c r="DQ39" s="234"/>
      <c r="DR39" s="234"/>
      <c r="DS39" s="234"/>
      <c r="DT39" s="234"/>
      <c r="DU39" s="234"/>
      <c r="DV39" s="234"/>
      <c r="DW39" s="234"/>
      <c r="DX39" s="234"/>
      <c r="DY39" s="234"/>
      <c r="DZ39" s="234"/>
      <c r="EA39" s="234"/>
      <c r="EB39" s="234"/>
      <c r="EC39" s="234"/>
      <c r="ED39" s="234"/>
      <c r="EE39" s="234"/>
      <c r="EF39" s="234"/>
      <c r="EG39" s="234"/>
      <c r="EH39" s="234"/>
      <c r="EI39" s="234"/>
      <c r="EJ39" s="234"/>
      <c r="EK39" s="234"/>
      <c r="EL39" s="234"/>
      <c r="EM39" s="234"/>
      <c r="EN39" s="234"/>
      <c r="EO39" s="234"/>
      <c r="EP39" s="234"/>
      <c r="EQ39" s="234"/>
      <c r="ER39" s="234"/>
      <c r="ES39" s="234"/>
      <c r="ET39" s="234"/>
      <c r="EU39" s="234"/>
      <c r="EV39" s="234"/>
      <c r="EW39" s="234"/>
      <c r="EX39" s="234"/>
      <c r="EY39" s="234"/>
      <c r="EZ39" s="234"/>
      <c r="FA39" s="234"/>
      <c r="FB39" s="234"/>
      <c r="FC39" s="234"/>
      <c r="FD39" s="234"/>
      <c r="FE39" s="234"/>
      <c r="FF39" s="234"/>
      <c r="FG39" s="234"/>
      <c r="FH39" s="234"/>
      <c r="FI39" s="234"/>
      <c r="FJ39" s="234"/>
      <c r="FK39" s="234"/>
      <c r="FL39" s="234"/>
      <c r="FM39" s="234"/>
      <c r="FN39" s="234"/>
      <c r="FO39" s="234"/>
      <c r="FP39" s="234"/>
      <c r="FQ39" s="234"/>
      <c r="FR39" s="123"/>
      <c r="FS39" s="123"/>
      <c r="FT39" s="123"/>
      <c r="FU39" s="123"/>
      <c r="FV39" s="123"/>
    </row>
    <row r="40" spans="1:178" ht="15.75" customHeight="1" x14ac:dyDescent="0.2">
      <c r="G40" s="234"/>
      <c r="H40" s="234"/>
      <c r="I40" s="234"/>
      <c r="J40" s="234"/>
      <c r="K40" s="234"/>
      <c r="L40" s="234"/>
      <c r="M40" s="234"/>
      <c r="N40" s="234"/>
      <c r="O40" s="234"/>
      <c r="P40" s="234"/>
      <c r="Q40" s="234"/>
      <c r="R40" s="234"/>
      <c r="S40" s="234"/>
      <c r="T40" s="234"/>
      <c r="U40" s="234"/>
      <c r="V40" s="234"/>
      <c r="W40" s="234"/>
      <c r="X40" s="234"/>
      <c r="Y40" s="234"/>
      <c r="Z40" s="234"/>
      <c r="AA40" s="234"/>
      <c r="AB40" s="234"/>
      <c r="AC40" s="234"/>
      <c r="AD40" s="234"/>
      <c r="AE40" s="234"/>
      <c r="AF40" s="234"/>
      <c r="AG40" s="234"/>
      <c r="AH40" s="234"/>
      <c r="AI40" s="234"/>
      <c r="AJ40" s="234"/>
      <c r="AK40" s="234"/>
      <c r="AL40" s="234"/>
      <c r="AM40" s="234"/>
      <c r="AN40" s="234"/>
      <c r="AO40" s="234"/>
      <c r="AP40" s="234"/>
      <c r="AQ40" s="234"/>
      <c r="AR40" s="234"/>
      <c r="AS40" s="234"/>
      <c r="AT40" s="234"/>
      <c r="AU40" s="234"/>
      <c r="AV40" s="234"/>
      <c r="AW40" s="234"/>
      <c r="AX40" s="234"/>
      <c r="AY40" s="234"/>
      <c r="AZ40" s="234"/>
      <c r="BA40" s="234"/>
      <c r="BB40" s="234"/>
      <c r="BC40" s="234"/>
      <c r="BD40" s="234"/>
      <c r="BE40" s="234"/>
      <c r="BF40" s="234"/>
      <c r="BG40" s="234"/>
      <c r="BH40" s="234"/>
      <c r="BI40" s="234"/>
      <c r="BJ40" s="234"/>
      <c r="BK40" s="234"/>
      <c r="BL40" s="234"/>
      <c r="BM40" s="234"/>
      <c r="BN40" s="234"/>
      <c r="BO40" s="234"/>
      <c r="BP40" s="234"/>
      <c r="BQ40" s="234"/>
      <c r="BR40" s="234"/>
      <c r="BS40" s="234"/>
      <c r="BT40" s="234"/>
      <c r="BU40" s="234"/>
      <c r="BV40" s="234"/>
      <c r="BW40" s="234"/>
      <c r="BX40" s="234"/>
      <c r="BY40" s="234"/>
      <c r="BZ40" s="234"/>
      <c r="CA40" s="234"/>
      <c r="CB40" s="234"/>
      <c r="CC40" s="234"/>
      <c r="CD40" s="234"/>
      <c r="CE40" s="234"/>
      <c r="CF40" s="234"/>
      <c r="CG40" s="234"/>
      <c r="CH40" s="234"/>
      <c r="CI40" s="234"/>
      <c r="CJ40" s="234"/>
      <c r="CK40" s="234"/>
      <c r="CL40" s="234"/>
      <c r="CM40" s="234"/>
      <c r="CN40" s="234"/>
      <c r="CO40" s="234"/>
      <c r="CP40" s="234"/>
      <c r="CQ40" s="234"/>
      <c r="CR40" s="234"/>
      <c r="CS40" s="234"/>
      <c r="CT40" s="234"/>
      <c r="CU40" s="234"/>
      <c r="CV40" s="234"/>
      <c r="CW40" s="234"/>
      <c r="CX40" s="234"/>
      <c r="CY40" s="234"/>
      <c r="CZ40" s="234"/>
      <c r="DA40" s="234"/>
      <c r="DB40" s="234"/>
      <c r="DC40" s="234"/>
      <c r="DD40" s="234"/>
      <c r="DE40" s="234"/>
      <c r="DF40" s="234"/>
      <c r="DG40" s="234"/>
      <c r="DH40" s="234"/>
      <c r="DI40" s="234"/>
      <c r="DJ40" s="234"/>
      <c r="DK40" s="234"/>
      <c r="DL40" s="234"/>
      <c r="DM40" s="234"/>
      <c r="DN40" s="234"/>
      <c r="DO40" s="234"/>
      <c r="DP40" s="234"/>
      <c r="DQ40" s="234"/>
      <c r="DR40" s="234"/>
      <c r="DS40" s="234"/>
      <c r="DT40" s="234"/>
      <c r="DU40" s="234"/>
      <c r="DV40" s="234"/>
      <c r="DW40" s="234"/>
      <c r="DX40" s="234"/>
      <c r="DY40" s="234"/>
      <c r="DZ40" s="234"/>
      <c r="EA40" s="234"/>
      <c r="EB40" s="234"/>
      <c r="EC40" s="234"/>
      <c r="ED40" s="234"/>
      <c r="EE40" s="234"/>
      <c r="EF40" s="234"/>
      <c r="EG40" s="234"/>
      <c r="EH40" s="234"/>
      <c r="EI40" s="234"/>
      <c r="EJ40" s="234"/>
      <c r="EK40" s="234"/>
      <c r="EL40" s="234"/>
      <c r="EM40" s="234"/>
      <c r="EN40" s="234"/>
      <c r="EO40" s="234"/>
      <c r="EP40" s="234"/>
      <c r="EQ40" s="234"/>
      <c r="ER40" s="234"/>
      <c r="ES40" s="234"/>
      <c r="ET40" s="234"/>
      <c r="EU40" s="234"/>
      <c r="EV40" s="234"/>
      <c r="EW40" s="234"/>
      <c r="EX40" s="234"/>
      <c r="EY40" s="234"/>
      <c r="EZ40" s="234"/>
      <c r="FA40" s="234"/>
      <c r="FB40" s="234"/>
      <c r="FC40" s="234"/>
      <c r="FD40" s="234"/>
      <c r="FE40" s="234"/>
      <c r="FF40" s="234"/>
      <c r="FG40" s="234"/>
      <c r="FH40" s="234"/>
      <c r="FI40" s="234"/>
      <c r="FJ40" s="234"/>
      <c r="FK40" s="234"/>
      <c r="FL40" s="234"/>
      <c r="FM40" s="234"/>
      <c r="FN40" s="234"/>
      <c r="FO40" s="234"/>
      <c r="FP40" s="234"/>
      <c r="FQ40" s="234"/>
      <c r="FR40" s="123"/>
      <c r="FS40" s="123"/>
      <c r="FT40" s="123"/>
      <c r="FU40" s="123"/>
      <c r="FV40" s="123"/>
    </row>
    <row r="41" spans="1:178" ht="15.75" customHeight="1" x14ac:dyDescent="0.2">
      <c r="G41" s="234"/>
      <c r="H41" s="234"/>
      <c r="I41" s="234"/>
      <c r="J41" s="234"/>
      <c r="K41" s="234"/>
      <c r="L41" s="234"/>
      <c r="M41" s="234"/>
      <c r="N41" s="234"/>
      <c r="O41" s="234"/>
      <c r="P41" s="234"/>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c r="AV41" s="234"/>
      <c r="AW41" s="234"/>
      <c r="AX41" s="234"/>
      <c r="AY41" s="234"/>
      <c r="AZ41" s="234"/>
      <c r="BA41" s="234"/>
      <c r="BB41" s="234"/>
      <c r="BC41" s="234"/>
      <c r="BD41" s="234"/>
      <c r="BE41" s="234"/>
      <c r="BF41" s="234"/>
      <c r="BG41" s="234"/>
      <c r="BH41" s="234"/>
      <c r="BI41" s="234"/>
      <c r="BJ41" s="234"/>
      <c r="BK41" s="234"/>
      <c r="BL41" s="234"/>
      <c r="BM41" s="234"/>
      <c r="BN41" s="234"/>
      <c r="BO41" s="234"/>
      <c r="BP41" s="234"/>
      <c r="BQ41" s="234"/>
      <c r="BR41" s="234"/>
      <c r="BS41" s="234"/>
      <c r="BT41" s="234"/>
      <c r="BU41" s="234"/>
      <c r="BV41" s="234"/>
      <c r="BW41" s="234"/>
      <c r="BX41" s="234"/>
      <c r="BY41" s="234"/>
      <c r="BZ41" s="234"/>
      <c r="CA41" s="234"/>
      <c r="CB41" s="234"/>
      <c r="CC41" s="234"/>
      <c r="CD41" s="234"/>
      <c r="CE41" s="234"/>
      <c r="CF41" s="234"/>
      <c r="CG41" s="234"/>
      <c r="CH41" s="234"/>
      <c r="CI41" s="234"/>
      <c r="CJ41" s="234"/>
      <c r="CK41" s="234"/>
      <c r="CL41" s="234"/>
      <c r="CM41" s="234"/>
      <c r="CN41" s="234"/>
      <c r="CO41" s="234"/>
      <c r="CP41" s="234"/>
      <c r="CQ41" s="234"/>
      <c r="CR41" s="234"/>
      <c r="CS41" s="234"/>
      <c r="CT41" s="234"/>
      <c r="CU41" s="234"/>
      <c r="CV41" s="234"/>
      <c r="CW41" s="234"/>
      <c r="CX41" s="234"/>
      <c r="CY41" s="234"/>
      <c r="CZ41" s="234"/>
      <c r="DA41" s="234"/>
      <c r="DB41" s="234"/>
      <c r="DC41" s="234"/>
      <c r="DD41" s="234"/>
      <c r="DE41" s="234"/>
      <c r="DF41" s="234"/>
      <c r="DG41" s="234"/>
      <c r="DH41" s="234"/>
      <c r="DI41" s="234"/>
      <c r="DJ41" s="234"/>
      <c r="DK41" s="234"/>
      <c r="DL41" s="234"/>
      <c r="DM41" s="234"/>
      <c r="DN41" s="234"/>
      <c r="DO41" s="234"/>
      <c r="DP41" s="234"/>
      <c r="DQ41" s="234"/>
      <c r="DR41" s="234"/>
      <c r="DS41" s="234"/>
      <c r="DT41" s="234"/>
      <c r="DU41" s="234"/>
      <c r="DV41" s="234"/>
      <c r="DW41" s="234"/>
      <c r="DX41" s="234"/>
      <c r="DY41" s="234"/>
      <c r="DZ41" s="234"/>
      <c r="EA41" s="234"/>
      <c r="EB41" s="234"/>
      <c r="EC41" s="234"/>
      <c r="ED41" s="234"/>
      <c r="EE41" s="234"/>
      <c r="EF41" s="234"/>
      <c r="EG41" s="234"/>
      <c r="EH41" s="234"/>
      <c r="EI41" s="234"/>
      <c r="EJ41" s="234"/>
      <c r="EK41" s="234"/>
      <c r="EL41" s="234"/>
      <c r="EM41" s="234"/>
      <c r="EN41" s="234"/>
      <c r="EO41" s="234"/>
      <c r="EP41" s="234"/>
      <c r="EQ41" s="234"/>
      <c r="ER41" s="234"/>
      <c r="ES41" s="234"/>
      <c r="ET41" s="234"/>
      <c r="EU41" s="234"/>
      <c r="EV41" s="234"/>
      <c r="EW41" s="234"/>
      <c r="EX41" s="234"/>
      <c r="EY41" s="234"/>
      <c r="EZ41" s="234"/>
      <c r="FA41" s="234"/>
      <c r="FB41" s="234"/>
      <c r="FC41" s="234"/>
      <c r="FD41" s="234"/>
      <c r="FE41" s="234"/>
      <c r="FF41" s="234"/>
      <c r="FG41" s="234"/>
      <c r="FH41" s="234"/>
      <c r="FI41" s="234"/>
      <c r="FJ41" s="234"/>
      <c r="FK41" s="234"/>
      <c r="FL41" s="234"/>
      <c r="FM41" s="234"/>
      <c r="FN41" s="234"/>
      <c r="FO41" s="234"/>
      <c r="FP41" s="234"/>
      <c r="FQ41" s="234"/>
      <c r="FR41" s="123"/>
      <c r="FS41" s="123"/>
      <c r="FT41" s="123"/>
      <c r="FU41" s="123"/>
      <c r="FV41" s="123"/>
    </row>
    <row r="42" spans="1:178" ht="15.75" customHeight="1" x14ac:dyDescent="0.2">
      <c r="G42" s="234"/>
      <c r="H42" s="234"/>
      <c r="I42" s="234"/>
      <c r="J42" s="234"/>
      <c r="K42" s="234"/>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c r="AV42" s="234"/>
      <c r="AW42" s="234"/>
      <c r="AX42" s="234"/>
      <c r="AY42" s="234"/>
      <c r="AZ42" s="234"/>
      <c r="BA42" s="234"/>
      <c r="BB42" s="234"/>
      <c r="BC42" s="234"/>
      <c r="BD42" s="234"/>
      <c r="BE42" s="234"/>
      <c r="BF42" s="234"/>
      <c r="BG42" s="234"/>
      <c r="BH42" s="234"/>
      <c r="BI42" s="234"/>
      <c r="BJ42" s="234"/>
      <c r="BK42" s="234"/>
      <c r="BL42" s="234"/>
      <c r="BM42" s="234"/>
      <c r="BN42" s="234"/>
      <c r="BO42" s="234"/>
      <c r="BP42" s="234"/>
      <c r="BQ42" s="234"/>
      <c r="BR42" s="234"/>
      <c r="BS42" s="234"/>
      <c r="BT42" s="234"/>
      <c r="BU42" s="234"/>
      <c r="BV42" s="234"/>
      <c r="BW42" s="234"/>
      <c r="BX42" s="234"/>
      <c r="BY42" s="234"/>
      <c r="BZ42" s="234"/>
      <c r="CA42" s="234"/>
      <c r="CB42" s="234"/>
      <c r="CC42" s="234"/>
      <c r="CD42" s="234"/>
      <c r="CE42" s="234"/>
      <c r="CF42" s="234"/>
      <c r="CG42" s="234"/>
      <c r="CH42" s="234"/>
      <c r="CI42" s="234"/>
      <c r="CJ42" s="234"/>
      <c r="CK42" s="234"/>
      <c r="CL42" s="234"/>
      <c r="CM42" s="234"/>
      <c r="CN42" s="234"/>
      <c r="CO42" s="234"/>
      <c r="CP42" s="234"/>
      <c r="CQ42" s="234"/>
      <c r="CR42" s="234"/>
      <c r="CS42" s="234"/>
      <c r="CT42" s="234"/>
      <c r="CU42" s="234"/>
      <c r="CV42" s="234"/>
      <c r="CW42" s="234"/>
      <c r="CX42" s="234"/>
      <c r="CY42" s="234"/>
      <c r="CZ42" s="234"/>
      <c r="DA42" s="234"/>
      <c r="DB42" s="234"/>
      <c r="DC42" s="234"/>
      <c r="DD42" s="234"/>
      <c r="DE42" s="234"/>
      <c r="DF42" s="234"/>
      <c r="DG42" s="234"/>
      <c r="DH42" s="234"/>
      <c r="DI42" s="234"/>
      <c r="DJ42" s="234"/>
      <c r="DK42" s="234"/>
      <c r="DL42" s="234"/>
      <c r="DM42" s="234"/>
      <c r="DN42" s="234"/>
      <c r="DO42" s="234"/>
      <c r="DP42" s="234"/>
      <c r="DQ42" s="234"/>
      <c r="DR42" s="234"/>
      <c r="DS42" s="234"/>
      <c r="DT42" s="234"/>
      <c r="DU42" s="234"/>
      <c r="DV42" s="234"/>
      <c r="DW42" s="234"/>
      <c r="DX42" s="234"/>
      <c r="DY42" s="234"/>
      <c r="DZ42" s="234"/>
      <c r="EA42" s="234"/>
      <c r="EB42" s="234"/>
      <c r="EC42" s="234"/>
      <c r="ED42" s="234"/>
      <c r="EE42" s="234"/>
      <c r="EF42" s="234"/>
      <c r="EG42" s="234"/>
      <c r="EH42" s="234"/>
      <c r="EI42" s="234"/>
      <c r="EJ42" s="234"/>
      <c r="EK42" s="234"/>
      <c r="EL42" s="234"/>
      <c r="EM42" s="234"/>
      <c r="EN42" s="234"/>
      <c r="EO42" s="234"/>
      <c r="EP42" s="234"/>
      <c r="EQ42" s="234"/>
      <c r="ER42" s="234"/>
      <c r="ES42" s="234"/>
      <c r="ET42" s="234"/>
      <c r="EU42" s="234"/>
      <c r="EV42" s="234"/>
      <c r="EW42" s="234"/>
      <c r="EX42" s="234"/>
      <c r="EY42" s="234"/>
      <c r="EZ42" s="234"/>
      <c r="FA42" s="234"/>
      <c r="FB42" s="234"/>
      <c r="FC42" s="234"/>
      <c r="FD42" s="234"/>
      <c r="FE42" s="234"/>
      <c r="FF42" s="234"/>
      <c r="FG42" s="234"/>
      <c r="FH42" s="234"/>
      <c r="FI42" s="234"/>
      <c r="FJ42" s="234"/>
      <c r="FK42" s="234"/>
      <c r="FL42" s="234"/>
      <c r="FM42" s="234"/>
      <c r="FN42" s="234"/>
      <c r="FO42" s="234"/>
      <c r="FP42" s="234"/>
      <c r="FQ42" s="234"/>
      <c r="FR42" s="123"/>
      <c r="FS42" s="123"/>
      <c r="FT42" s="123"/>
      <c r="FU42" s="123"/>
      <c r="FV42" s="123"/>
    </row>
    <row r="43" spans="1:178" ht="15.75" customHeight="1" x14ac:dyDescent="0.2">
      <c r="G43" s="234"/>
      <c r="H43" s="234"/>
      <c r="I43" s="234"/>
      <c r="J43" s="234"/>
      <c r="K43" s="234"/>
      <c r="L43" s="234"/>
      <c r="M43" s="234"/>
      <c r="N43" s="234"/>
      <c r="O43" s="234"/>
      <c r="P43" s="234"/>
      <c r="Q43" s="234"/>
      <c r="R43" s="234"/>
      <c r="S43" s="234"/>
      <c r="T43" s="234"/>
      <c r="U43" s="234"/>
      <c r="V43" s="234"/>
      <c r="W43" s="234"/>
      <c r="X43" s="234"/>
      <c r="Y43" s="234"/>
      <c r="Z43" s="234"/>
      <c r="AA43" s="234"/>
      <c r="AB43" s="234"/>
      <c r="AC43" s="234"/>
      <c r="AD43" s="234"/>
      <c r="AE43" s="234"/>
      <c r="AF43" s="234"/>
      <c r="AG43" s="234"/>
      <c r="AH43" s="234"/>
      <c r="AI43" s="234"/>
      <c r="AJ43" s="234"/>
      <c r="AK43" s="234"/>
      <c r="AL43" s="234"/>
      <c r="AM43" s="234"/>
      <c r="AN43" s="234"/>
      <c r="AO43" s="234"/>
      <c r="AP43" s="234"/>
      <c r="AQ43" s="234"/>
      <c r="AR43" s="234"/>
      <c r="AS43" s="234"/>
      <c r="AT43" s="234"/>
      <c r="AU43" s="234"/>
      <c r="AV43" s="234"/>
      <c r="AW43" s="234"/>
      <c r="AX43" s="234"/>
      <c r="AY43" s="234"/>
      <c r="AZ43" s="234"/>
      <c r="BA43" s="234"/>
      <c r="BB43" s="234"/>
      <c r="BC43" s="234"/>
      <c r="BD43" s="234"/>
      <c r="BE43" s="234"/>
      <c r="BF43" s="234"/>
      <c r="BG43" s="234"/>
      <c r="BH43" s="234"/>
      <c r="BI43" s="234"/>
      <c r="BJ43" s="234"/>
      <c r="BK43" s="234"/>
      <c r="BL43" s="234"/>
      <c r="BM43" s="234"/>
      <c r="BN43" s="234"/>
      <c r="BO43" s="234"/>
      <c r="BP43" s="234"/>
      <c r="BQ43" s="234"/>
      <c r="BR43" s="234"/>
      <c r="BS43" s="234"/>
      <c r="BT43" s="234"/>
      <c r="BU43" s="234"/>
      <c r="BV43" s="234"/>
      <c r="BW43" s="234"/>
      <c r="BX43" s="234"/>
      <c r="BY43" s="234"/>
      <c r="BZ43" s="234"/>
      <c r="CA43" s="234"/>
      <c r="CB43" s="234"/>
      <c r="CC43" s="234"/>
      <c r="CD43" s="234"/>
      <c r="CE43" s="234"/>
      <c r="CF43" s="234"/>
      <c r="CG43" s="234"/>
      <c r="CH43" s="234"/>
      <c r="CI43" s="234"/>
      <c r="CJ43" s="234"/>
      <c r="CK43" s="234"/>
      <c r="CL43" s="234"/>
      <c r="CM43" s="234"/>
      <c r="CN43" s="234"/>
      <c r="CO43" s="234"/>
      <c r="CP43" s="234"/>
      <c r="CQ43" s="234"/>
      <c r="CR43" s="234"/>
      <c r="CS43" s="234"/>
      <c r="CT43" s="234"/>
      <c r="CU43" s="234"/>
      <c r="CV43" s="234"/>
      <c r="CW43" s="234"/>
      <c r="CX43" s="234"/>
      <c r="CY43" s="234"/>
      <c r="CZ43" s="234"/>
      <c r="DA43" s="234"/>
      <c r="DB43" s="234"/>
      <c r="DC43" s="234"/>
      <c r="DD43" s="234"/>
      <c r="DE43" s="234"/>
      <c r="DF43" s="234"/>
      <c r="DG43" s="234"/>
      <c r="DH43" s="234"/>
      <c r="DI43" s="234"/>
      <c r="DJ43" s="234"/>
      <c r="DK43" s="234"/>
      <c r="DL43" s="234"/>
      <c r="DM43" s="234"/>
      <c r="DN43" s="234"/>
      <c r="DO43" s="234"/>
      <c r="DP43" s="234"/>
      <c r="DQ43" s="234"/>
      <c r="DR43" s="234"/>
      <c r="DS43" s="234"/>
      <c r="DT43" s="234"/>
      <c r="DU43" s="234"/>
      <c r="DV43" s="234"/>
      <c r="DW43" s="234"/>
      <c r="DX43" s="234"/>
      <c r="DY43" s="234"/>
      <c r="DZ43" s="234"/>
      <c r="EA43" s="234"/>
      <c r="EB43" s="234"/>
      <c r="EC43" s="234"/>
      <c r="ED43" s="234"/>
      <c r="EE43" s="234"/>
      <c r="EF43" s="234"/>
      <c r="EG43" s="234"/>
      <c r="EH43" s="234"/>
      <c r="EI43" s="234"/>
      <c r="EJ43" s="234"/>
      <c r="EK43" s="234"/>
      <c r="EL43" s="234"/>
      <c r="EM43" s="234"/>
      <c r="EN43" s="234"/>
      <c r="EO43" s="234"/>
      <c r="EP43" s="234"/>
      <c r="EQ43" s="234"/>
      <c r="ER43" s="234"/>
      <c r="ES43" s="234"/>
      <c r="ET43" s="234"/>
      <c r="EU43" s="234"/>
      <c r="EV43" s="234"/>
      <c r="EW43" s="234"/>
      <c r="EX43" s="234"/>
      <c r="EY43" s="234"/>
      <c r="EZ43" s="234"/>
      <c r="FA43" s="234"/>
      <c r="FB43" s="234"/>
      <c r="FC43" s="234"/>
      <c r="FD43" s="234"/>
      <c r="FE43" s="234"/>
      <c r="FF43" s="234"/>
      <c r="FG43" s="234"/>
      <c r="FH43" s="234"/>
      <c r="FI43" s="234"/>
      <c r="FJ43" s="234"/>
      <c r="FK43" s="234"/>
      <c r="FL43" s="234"/>
      <c r="FM43" s="234"/>
      <c r="FN43" s="234"/>
      <c r="FO43" s="234"/>
      <c r="FP43" s="234"/>
      <c r="FQ43" s="234"/>
      <c r="FR43" s="123"/>
      <c r="FS43" s="123"/>
      <c r="FT43" s="123"/>
      <c r="FU43" s="123"/>
      <c r="FV43" s="123"/>
    </row>
    <row r="44" spans="1:178" ht="15.75" customHeight="1" x14ac:dyDescent="0.2">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X44" s="234"/>
      <c r="AY44" s="234"/>
      <c r="AZ44" s="234"/>
      <c r="BA44" s="234"/>
      <c r="BB44" s="234"/>
      <c r="BC44" s="234"/>
      <c r="BD44" s="234"/>
      <c r="BE44" s="234"/>
      <c r="BF44" s="234"/>
      <c r="BG44" s="234"/>
      <c r="BH44" s="234"/>
      <c r="BI44" s="234"/>
      <c r="BJ44" s="234"/>
      <c r="BK44" s="234"/>
      <c r="BL44" s="234"/>
      <c r="BM44" s="234"/>
      <c r="BN44" s="234"/>
      <c r="BO44" s="234"/>
      <c r="BP44" s="234"/>
      <c r="BQ44" s="234"/>
      <c r="BR44" s="234"/>
      <c r="BS44" s="234"/>
      <c r="BT44" s="234"/>
      <c r="BU44" s="234"/>
      <c r="BV44" s="234"/>
      <c r="BW44" s="234"/>
      <c r="BX44" s="234"/>
      <c r="BY44" s="234"/>
      <c r="BZ44" s="234"/>
      <c r="CA44" s="234"/>
      <c r="CB44" s="234"/>
      <c r="CC44" s="234"/>
      <c r="CD44" s="234"/>
      <c r="CE44" s="234"/>
      <c r="CF44" s="234"/>
      <c r="CG44" s="234"/>
      <c r="CH44" s="234"/>
      <c r="CI44" s="234"/>
      <c r="CJ44" s="234"/>
      <c r="CK44" s="234"/>
      <c r="CL44" s="234"/>
      <c r="CM44" s="234"/>
      <c r="CN44" s="234"/>
      <c r="CO44" s="234"/>
      <c r="CP44" s="234"/>
      <c r="CQ44" s="234"/>
      <c r="CR44" s="234"/>
      <c r="CS44" s="234"/>
      <c r="CT44" s="234"/>
      <c r="CU44" s="234"/>
      <c r="CV44" s="234"/>
      <c r="CW44" s="234"/>
      <c r="CX44" s="234"/>
      <c r="CY44" s="234"/>
      <c r="CZ44" s="234"/>
      <c r="DA44" s="234"/>
      <c r="DB44" s="234"/>
      <c r="DC44" s="234"/>
      <c r="DD44" s="234"/>
      <c r="DE44" s="234"/>
      <c r="DF44" s="234"/>
      <c r="DG44" s="234"/>
      <c r="DH44" s="234"/>
      <c r="DI44" s="234"/>
      <c r="DJ44" s="234"/>
      <c r="DK44" s="234"/>
      <c r="DL44" s="234"/>
      <c r="DM44" s="234"/>
      <c r="DN44" s="234"/>
      <c r="DO44" s="234"/>
      <c r="DP44" s="234"/>
      <c r="DQ44" s="234"/>
      <c r="DR44" s="234"/>
      <c r="DS44" s="234"/>
      <c r="DT44" s="234"/>
      <c r="DU44" s="234"/>
      <c r="DV44" s="234"/>
      <c r="DW44" s="234"/>
      <c r="DX44" s="234"/>
      <c r="DY44" s="234"/>
      <c r="DZ44" s="234"/>
      <c r="EA44" s="234"/>
      <c r="EB44" s="234"/>
      <c r="EC44" s="234"/>
      <c r="ED44" s="234"/>
      <c r="EE44" s="234"/>
      <c r="EF44" s="234"/>
      <c r="EG44" s="234"/>
      <c r="EH44" s="234"/>
      <c r="EI44" s="234"/>
      <c r="EJ44" s="234"/>
      <c r="EK44" s="234"/>
      <c r="EL44" s="234"/>
      <c r="EM44" s="234"/>
      <c r="EN44" s="234"/>
      <c r="EO44" s="234"/>
      <c r="EP44" s="234"/>
      <c r="EQ44" s="234"/>
      <c r="ER44" s="234"/>
      <c r="ES44" s="234"/>
      <c r="ET44" s="234"/>
      <c r="EU44" s="234"/>
      <c r="EV44" s="234"/>
      <c r="EW44" s="234"/>
      <c r="EX44" s="234"/>
      <c r="EY44" s="234"/>
      <c r="EZ44" s="234"/>
      <c r="FA44" s="234"/>
      <c r="FB44" s="234"/>
      <c r="FC44" s="234"/>
      <c r="FD44" s="234"/>
      <c r="FE44" s="234"/>
      <c r="FF44" s="234"/>
      <c r="FG44" s="234"/>
      <c r="FH44" s="234"/>
      <c r="FI44" s="234"/>
      <c r="FJ44" s="234"/>
      <c r="FK44" s="234"/>
      <c r="FL44" s="234"/>
      <c r="FM44" s="234"/>
      <c r="FN44" s="234"/>
      <c r="FO44" s="234"/>
      <c r="FP44" s="234"/>
      <c r="FQ44" s="234"/>
      <c r="FR44" s="123"/>
      <c r="FS44" s="123"/>
      <c r="FT44" s="123"/>
      <c r="FU44" s="123"/>
      <c r="FV44" s="123"/>
    </row>
    <row r="45" spans="1:178" ht="15.75" customHeight="1" x14ac:dyDescent="0.2">
      <c r="G45" s="234"/>
      <c r="H45" s="234"/>
      <c r="I45" s="234"/>
      <c r="J45" s="234"/>
      <c r="K45" s="234"/>
      <c r="L45" s="234"/>
      <c r="M45" s="234"/>
      <c r="N45" s="234"/>
      <c r="O45" s="234"/>
      <c r="P45" s="234"/>
      <c r="Q45" s="234"/>
      <c r="R45" s="234"/>
      <c r="S45" s="234"/>
      <c r="T45" s="234"/>
      <c r="U45" s="234"/>
      <c r="V45" s="234"/>
      <c r="W45" s="234"/>
      <c r="X45" s="234"/>
      <c r="Y45" s="234"/>
      <c r="Z45" s="234"/>
      <c r="AA45" s="234"/>
      <c r="AB45" s="234"/>
      <c r="AC45" s="234"/>
      <c r="AD45" s="234"/>
      <c r="AE45" s="234"/>
      <c r="AF45" s="234"/>
      <c r="AG45" s="234"/>
      <c r="AH45" s="234"/>
      <c r="AI45" s="234"/>
      <c r="AJ45" s="234"/>
      <c r="AK45" s="234"/>
      <c r="AL45" s="234"/>
      <c r="AM45" s="234"/>
      <c r="AN45" s="234"/>
      <c r="AO45" s="234"/>
      <c r="AP45" s="234"/>
      <c r="AQ45" s="234"/>
      <c r="AR45" s="234"/>
      <c r="AS45" s="234"/>
      <c r="AT45" s="234"/>
      <c r="AU45" s="234"/>
      <c r="AV45" s="234"/>
      <c r="AW45" s="234"/>
      <c r="AX45" s="234"/>
      <c r="AY45" s="234"/>
      <c r="AZ45" s="234"/>
      <c r="BA45" s="234"/>
      <c r="BB45" s="234"/>
      <c r="BC45" s="234"/>
      <c r="BD45" s="234"/>
      <c r="BE45" s="234"/>
      <c r="BF45" s="234"/>
      <c r="BG45" s="234"/>
      <c r="BH45" s="234"/>
      <c r="BI45" s="234"/>
      <c r="BJ45" s="234"/>
      <c r="BK45" s="234"/>
      <c r="BL45" s="234"/>
      <c r="BM45" s="234"/>
      <c r="BN45" s="234"/>
      <c r="BO45" s="234"/>
      <c r="BP45" s="234"/>
      <c r="BQ45" s="234"/>
      <c r="BR45" s="234"/>
      <c r="BS45" s="234"/>
      <c r="BT45" s="234"/>
      <c r="BU45" s="234"/>
      <c r="BV45" s="234"/>
      <c r="BW45" s="234"/>
      <c r="BX45" s="234"/>
      <c r="BY45" s="234"/>
      <c r="BZ45" s="234"/>
      <c r="CA45" s="234"/>
      <c r="CB45" s="234"/>
      <c r="CC45" s="234"/>
      <c r="CD45" s="234"/>
      <c r="CE45" s="234"/>
      <c r="CF45" s="234"/>
      <c r="CG45" s="234"/>
      <c r="CH45" s="234"/>
      <c r="CI45" s="234"/>
      <c r="CJ45" s="234"/>
      <c r="CK45" s="234"/>
      <c r="CL45" s="234"/>
      <c r="CM45" s="234"/>
      <c r="CN45" s="234"/>
      <c r="CO45" s="234"/>
      <c r="CP45" s="234"/>
      <c r="CQ45" s="234"/>
      <c r="CR45" s="234"/>
      <c r="CS45" s="234"/>
      <c r="CT45" s="234"/>
      <c r="CU45" s="234"/>
      <c r="CV45" s="234"/>
      <c r="CW45" s="234"/>
      <c r="CX45" s="234"/>
      <c r="CY45" s="234"/>
      <c r="CZ45" s="234"/>
      <c r="DA45" s="234"/>
      <c r="DB45" s="234"/>
      <c r="DC45" s="234"/>
      <c r="DD45" s="234"/>
      <c r="DE45" s="234"/>
      <c r="DF45" s="234"/>
      <c r="DG45" s="234"/>
      <c r="DH45" s="234"/>
      <c r="DI45" s="234"/>
      <c r="DJ45" s="234"/>
      <c r="DK45" s="234"/>
      <c r="DL45" s="234"/>
      <c r="DM45" s="234"/>
      <c r="DN45" s="234"/>
      <c r="DO45" s="234"/>
      <c r="DP45" s="234"/>
      <c r="DQ45" s="234"/>
      <c r="DR45" s="234"/>
      <c r="DS45" s="234"/>
      <c r="DT45" s="234"/>
      <c r="DU45" s="234"/>
      <c r="DV45" s="234"/>
      <c r="DW45" s="234"/>
      <c r="DX45" s="234"/>
      <c r="DY45" s="234"/>
      <c r="DZ45" s="234"/>
      <c r="EA45" s="234"/>
      <c r="EB45" s="234"/>
      <c r="EC45" s="234"/>
      <c r="ED45" s="234"/>
      <c r="EE45" s="234"/>
      <c r="EF45" s="234"/>
      <c r="EG45" s="234"/>
      <c r="EH45" s="234"/>
      <c r="EI45" s="234"/>
      <c r="EJ45" s="234"/>
      <c r="EK45" s="234"/>
      <c r="EL45" s="234"/>
      <c r="EM45" s="234"/>
      <c r="EN45" s="234"/>
      <c r="EO45" s="234"/>
      <c r="EP45" s="234"/>
      <c r="EQ45" s="234"/>
      <c r="ER45" s="234"/>
      <c r="ES45" s="234"/>
      <c r="ET45" s="234"/>
      <c r="EU45" s="234"/>
      <c r="EV45" s="234"/>
      <c r="EW45" s="234"/>
      <c r="EX45" s="234"/>
      <c r="EY45" s="234"/>
      <c r="EZ45" s="234"/>
      <c r="FA45" s="234"/>
      <c r="FB45" s="234"/>
      <c r="FC45" s="234"/>
      <c r="FD45" s="234"/>
      <c r="FE45" s="234"/>
      <c r="FF45" s="234"/>
      <c r="FG45" s="234"/>
      <c r="FH45" s="234"/>
      <c r="FI45" s="234"/>
      <c r="FJ45" s="234"/>
      <c r="FK45" s="234"/>
      <c r="FL45" s="234"/>
      <c r="FM45" s="234"/>
      <c r="FN45" s="234"/>
      <c r="FO45" s="234"/>
      <c r="FP45" s="234"/>
      <c r="FQ45" s="234"/>
      <c r="FR45" s="123"/>
      <c r="FS45" s="123"/>
      <c r="FT45" s="123"/>
      <c r="FU45" s="123"/>
      <c r="FV45" s="123"/>
    </row>
    <row r="46" spans="1:178" ht="15.75" customHeight="1" x14ac:dyDescent="0.2">
      <c r="G46" s="234"/>
      <c r="H46" s="234"/>
      <c r="I46" s="234"/>
      <c r="J46" s="234"/>
      <c r="K46" s="234"/>
      <c r="L46" s="234"/>
      <c r="M46" s="234"/>
      <c r="N46" s="234"/>
      <c r="O46" s="234"/>
      <c r="P46" s="234"/>
      <c r="Q46" s="234"/>
      <c r="R46" s="234"/>
      <c r="S46" s="234"/>
      <c r="T46" s="234"/>
      <c r="U46" s="234"/>
      <c r="V46" s="234"/>
      <c r="W46" s="234"/>
      <c r="X46" s="234"/>
      <c r="Y46" s="234"/>
      <c r="Z46" s="234"/>
      <c r="AA46" s="234"/>
      <c r="AB46" s="234"/>
      <c r="AC46" s="234"/>
      <c r="AD46" s="234"/>
      <c r="AE46" s="234"/>
      <c r="AF46" s="234"/>
      <c r="AG46" s="234"/>
      <c r="AH46" s="234"/>
      <c r="AI46" s="234"/>
      <c r="AJ46" s="234"/>
      <c r="AK46" s="234"/>
      <c r="AL46" s="234"/>
      <c r="AM46" s="234"/>
      <c r="AN46" s="234"/>
      <c r="AO46" s="234"/>
      <c r="AP46" s="234"/>
      <c r="AQ46" s="234"/>
      <c r="AR46" s="234"/>
      <c r="AS46" s="234"/>
      <c r="AT46" s="234"/>
      <c r="AU46" s="234"/>
      <c r="AV46" s="234"/>
      <c r="AW46" s="234"/>
      <c r="AX46" s="234"/>
      <c r="AY46" s="234"/>
      <c r="AZ46" s="234"/>
      <c r="BA46" s="234"/>
      <c r="BB46" s="234"/>
      <c r="BC46" s="234"/>
      <c r="BD46" s="234"/>
      <c r="BE46" s="234"/>
      <c r="BF46" s="234"/>
      <c r="BG46" s="234"/>
      <c r="BH46" s="234"/>
      <c r="BI46" s="234"/>
      <c r="BJ46" s="234"/>
      <c r="BK46" s="234"/>
      <c r="BL46" s="234"/>
      <c r="BM46" s="234"/>
      <c r="BN46" s="234"/>
      <c r="BO46" s="234"/>
      <c r="BP46" s="234"/>
      <c r="BQ46" s="234"/>
      <c r="BR46" s="234"/>
      <c r="BS46" s="234"/>
      <c r="BT46" s="234"/>
      <c r="BU46" s="234"/>
      <c r="BV46" s="234"/>
      <c r="BW46" s="234"/>
      <c r="BX46" s="234"/>
      <c r="BY46" s="234"/>
      <c r="BZ46" s="234"/>
      <c r="CA46" s="234"/>
      <c r="CB46" s="234"/>
      <c r="CC46" s="234"/>
      <c r="CD46" s="234"/>
      <c r="CE46" s="234"/>
      <c r="CF46" s="234"/>
      <c r="CG46" s="234"/>
      <c r="CH46" s="234"/>
      <c r="CI46" s="234"/>
      <c r="CJ46" s="234"/>
      <c r="CK46" s="234"/>
      <c r="CL46" s="234"/>
      <c r="CM46" s="234"/>
      <c r="CN46" s="234"/>
      <c r="CO46" s="234"/>
      <c r="CP46" s="234"/>
      <c r="CQ46" s="234"/>
      <c r="CR46" s="234"/>
      <c r="CS46" s="234"/>
      <c r="CT46" s="234"/>
      <c r="CU46" s="234"/>
      <c r="CV46" s="234"/>
      <c r="CW46" s="234"/>
      <c r="CX46" s="234"/>
      <c r="CY46" s="234"/>
      <c r="CZ46" s="234"/>
      <c r="DA46" s="234"/>
      <c r="DB46" s="234"/>
      <c r="DC46" s="234"/>
      <c r="DD46" s="234"/>
      <c r="DE46" s="234"/>
      <c r="DF46" s="234"/>
      <c r="DG46" s="234"/>
      <c r="DH46" s="234"/>
      <c r="DI46" s="234"/>
      <c r="DJ46" s="234"/>
      <c r="DK46" s="234"/>
      <c r="DL46" s="234"/>
      <c r="DM46" s="234"/>
      <c r="DN46" s="234"/>
      <c r="DO46" s="234"/>
      <c r="DP46" s="234"/>
      <c r="DQ46" s="234"/>
      <c r="DR46" s="234"/>
      <c r="DS46" s="234"/>
      <c r="DT46" s="234"/>
      <c r="DU46" s="234"/>
      <c r="DV46" s="234"/>
      <c r="DW46" s="234"/>
      <c r="DX46" s="234"/>
      <c r="DY46" s="234"/>
      <c r="DZ46" s="234"/>
      <c r="EA46" s="234"/>
      <c r="EB46" s="234"/>
      <c r="EC46" s="234"/>
      <c r="ED46" s="234"/>
      <c r="EE46" s="234"/>
      <c r="EF46" s="234"/>
      <c r="EG46" s="234"/>
      <c r="EH46" s="234"/>
      <c r="EI46" s="234"/>
      <c r="EJ46" s="234"/>
      <c r="EK46" s="234"/>
      <c r="EL46" s="234"/>
      <c r="EM46" s="234"/>
      <c r="EN46" s="234"/>
      <c r="EO46" s="234"/>
      <c r="EP46" s="234"/>
      <c r="EQ46" s="234"/>
      <c r="ER46" s="234"/>
      <c r="ES46" s="234"/>
      <c r="ET46" s="234"/>
      <c r="EU46" s="234"/>
      <c r="EV46" s="234"/>
      <c r="EW46" s="234"/>
      <c r="EX46" s="234"/>
      <c r="EY46" s="234"/>
      <c r="EZ46" s="234"/>
      <c r="FA46" s="234"/>
      <c r="FB46" s="234"/>
      <c r="FC46" s="234"/>
      <c r="FD46" s="234"/>
      <c r="FE46" s="234"/>
      <c r="FF46" s="234"/>
      <c r="FG46" s="234"/>
      <c r="FH46" s="234"/>
      <c r="FI46" s="234"/>
      <c r="FJ46" s="234"/>
      <c r="FK46" s="234"/>
      <c r="FL46" s="234"/>
      <c r="FM46" s="234"/>
      <c r="FN46" s="234"/>
      <c r="FO46" s="234"/>
      <c r="FP46" s="234"/>
      <c r="FQ46" s="234"/>
      <c r="FR46" s="123"/>
      <c r="FS46" s="123"/>
      <c r="FT46" s="123"/>
      <c r="FU46" s="123"/>
      <c r="FV46" s="123"/>
    </row>
    <row r="47" spans="1:178" ht="15.75" customHeight="1" x14ac:dyDescent="0.2">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4"/>
      <c r="AW47" s="234"/>
      <c r="AX47" s="234"/>
      <c r="AY47" s="234"/>
      <c r="AZ47" s="234"/>
      <c r="BA47" s="234"/>
      <c r="BB47" s="234"/>
      <c r="BC47" s="234"/>
      <c r="BD47" s="234"/>
      <c r="BE47" s="234"/>
      <c r="BF47" s="234"/>
      <c r="BG47" s="234"/>
      <c r="BH47" s="234"/>
      <c r="BI47" s="234"/>
      <c r="BJ47" s="234"/>
      <c r="BK47" s="234"/>
      <c r="BL47" s="234"/>
      <c r="BM47" s="234"/>
      <c r="BN47" s="234"/>
      <c r="BO47" s="234"/>
      <c r="BP47" s="234"/>
      <c r="BQ47" s="234"/>
      <c r="BR47" s="234"/>
      <c r="BS47" s="234"/>
      <c r="BT47" s="234"/>
      <c r="BU47" s="234"/>
      <c r="BV47" s="234"/>
      <c r="BW47" s="234"/>
      <c r="BX47" s="234"/>
      <c r="BY47" s="234"/>
      <c r="BZ47" s="234"/>
      <c r="CA47" s="234"/>
      <c r="CB47" s="234"/>
      <c r="CC47" s="234"/>
      <c r="CD47" s="234"/>
      <c r="CE47" s="234"/>
      <c r="CF47" s="234"/>
      <c r="CG47" s="234"/>
      <c r="CH47" s="234"/>
      <c r="CI47" s="234"/>
      <c r="CJ47" s="234"/>
      <c r="CK47" s="234"/>
      <c r="CL47" s="234"/>
      <c r="CM47" s="234"/>
      <c r="CN47" s="234"/>
      <c r="CO47" s="234"/>
      <c r="CP47" s="234"/>
      <c r="CQ47" s="234"/>
      <c r="CR47" s="234"/>
      <c r="CS47" s="234"/>
      <c r="CT47" s="234"/>
      <c r="CU47" s="234"/>
      <c r="CV47" s="234"/>
      <c r="CW47" s="234"/>
      <c r="CX47" s="234"/>
      <c r="CY47" s="234"/>
      <c r="CZ47" s="234"/>
      <c r="DA47" s="234"/>
      <c r="DB47" s="234"/>
      <c r="DC47" s="234"/>
      <c r="DD47" s="234"/>
      <c r="DE47" s="234"/>
      <c r="DF47" s="234"/>
      <c r="DG47" s="234"/>
      <c r="DH47" s="234"/>
      <c r="DI47" s="234"/>
      <c r="DJ47" s="234"/>
      <c r="DK47" s="234"/>
      <c r="DL47" s="234"/>
      <c r="DM47" s="234"/>
      <c r="DN47" s="234"/>
      <c r="DO47" s="234"/>
      <c r="DP47" s="234"/>
      <c r="DQ47" s="234"/>
      <c r="DR47" s="234"/>
      <c r="DS47" s="234"/>
      <c r="DT47" s="234"/>
      <c r="DU47" s="234"/>
      <c r="DV47" s="234"/>
      <c r="DW47" s="234"/>
      <c r="DX47" s="234"/>
      <c r="DY47" s="234"/>
      <c r="DZ47" s="234"/>
      <c r="EA47" s="234"/>
      <c r="EB47" s="234"/>
      <c r="EC47" s="234"/>
      <c r="ED47" s="234"/>
      <c r="EE47" s="234"/>
      <c r="EF47" s="234"/>
      <c r="EG47" s="234"/>
      <c r="EH47" s="234"/>
      <c r="EI47" s="234"/>
      <c r="EJ47" s="234"/>
      <c r="EK47" s="234"/>
      <c r="EL47" s="234"/>
      <c r="EM47" s="234"/>
      <c r="EN47" s="234"/>
      <c r="EO47" s="234"/>
      <c r="EP47" s="234"/>
      <c r="EQ47" s="234"/>
      <c r="ER47" s="234"/>
      <c r="ES47" s="234"/>
      <c r="ET47" s="234"/>
      <c r="EU47" s="234"/>
      <c r="EV47" s="234"/>
      <c r="EW47" s="234"/>
      <c r="EX47" s="234"/>
      <c r="EY47" s="234"/>
      <c r="EZ47" s="234"/>
      <c r="FA47" s="234"/>
      <c r="FB47" s="234"/>
      <c r="FC47" s="234"/>
      <c r="FD47" s="234"/>
      <c r="FE47" s="234"/>
      <c r="FF47" s="234"/>
      <c r="FG47" s="234"/>
      <c r="FH47" s="234"/>
      <c r="FI47" s="234"/>
      <c r="FJ47" s="234"/>
      <c r="FK47" s="234"/>
      <c r="FL47" s="234"/>
      <c r="FM47" s="234"/>
      <c r="FN47" s="234"/>
      <c r="FO47" s="234"/>
      <c r="FP47" s="234"/>
      <c r="FQ47" s="234"/>
      <c r="FR47" s="123"/>
      <c r="FS47" s="123"/>
      <c r="FT47" s="123"/>
      <c r="FU47" s="123"/>
      <c r="FV47" s="123"/>
    </row>
    <row r="48" spans="1:178" ht="15.75" customHeight="1" x14ac:dyDescent="0.2">
      <c r="G48" s="234"/>
      <c r="H48" s="234"/>
      <c r="I48" s="234"/>
      <c r="J48" s="234"/>
      <c r="K48" s="234"/>
      <c r="L48" s="234"/>
      <c r="M48" s="234"/>
      <c r="N48" s="234"/>
      <c r="O48" s="234"/>
      <c r="P48" s="234"/>
      <c r="Q48" s="234"/>
      <c r="R48" s="234"/>
      <c r="S48" s="234"/>
      <c r="T48" s="234"/>
      <c r="U48" s="234"/>
      <c r="V48" s="234"/>
      <c r="W48" s="234"/>
      <c r="X48" s="234"/>
      <c r="Y48" s="234"/>
      <c r="Z48" s="234"/>
      <c r="AA48" s="234"/>
      <c r="AB48" s="234"/>
      <c r="AC48" s="234"/>
      <c r="AD48" s="234"/>
      <c r="AE48" s="234"/>
      <c r="AF48" s="234"/>
      <c r="AG48" s="234"/>
      <c r="AH48" s="234"/>
      <c r="AI48" s="234"/>
      <c r="AJ48" s="234"/>
      <c r="AK48" s="234"/>
      <c r="AL48" s="234"/>
      <c r="AM48" s="234"/>
      <c r="AN48" s="234"/>
      <c r="AO48" s="234"/>
      <c r="AP48" s="234"/>
      <c r="AQ48" s="234"/>
      <c r="AR48" s="234"/>
      <c r="AS48" s="234"/>
      <c r="AT48" s="234"/>
      <c r="AU48" s="234"/>
      <c r="AV48" s="234"/>
      <c r="AW48" s="234"/>
      <c r="AX48" s="234"/>
      <c r="AY48" s="234"/>
      <c r="AZ48" s="234"/>
      <c r="BA48" s="234"/>
      <c r="BB48" s="234"/>
      <c r="BC48" s="234"/>
      <c r="BD48" s="234"/>
      <c r="BE48" s="234"/>
      <c r="BF48" s="234"/>
      <c r="BG48" s="234"/>
      <c r="BH48" s="234"/>
      <c r="BI48" s="234"/>
      <c r="BJ48" s="234"/>
      <c r="BK48" s="234"/>
      <c r="BL48" s="234"/>
      <c r="BM48" s="234"/>
      <c r="BN48" s="234"/>
      <c r="BO48" s="234"/>
      <c r="BP48" s="234"/>
      <c r="BQ48" s="234"/>
      <c r="BR48" s="234"/>
      <c r="BS48" s="234"/>
      <c r="BT48" s="234"/>
      <c r="BU48" s="234"/>
      <c r="BV48" s="234"/>
      <c r="BW48" s="234"/>
      <c r="BX48" s="234"/>
      <c r="BY48" s="234"/>
      <c r="BZ48" s="234"/>
      <c r="CA48" s="234"/>
      <c r="CB48" s="234"/>
      <c r="CC48" s="234"/>
      <c r="CD48" s="234"/>
      <c r="CE48" s="234"/>
      <c r="CF48" s="234"/>
      <c r="CG48" s="234"/>
      <c r="CH48" s="234"/>
      <c r="CI48" s="234"/>
      <c r="CJ48" s="234"/>
      <c r="CK48" s="234"/>
      <c r="CL48" s="234"/>
      <c r="CM48" s="234"/>
      <c r="CN48" s="234"/>
      <c r="CO48" s="234"/>
      <c r="CP48" s="234"/>
      <c r="CQ48" s="234"/>
      <c r="CR48" s="234"/>
      <c r="CS48" s="234"/>
      <c r="CT48" s="234"/>
      <c r="CU48" s="234"/>
      <c r="CV48" s="234"/>
      <c r="CW48" s="234"/>
      <c r="CX48" s="234"/>
      <c r="CY48" s="234"/>
      <c r="CZ48" s="234"/>
      <c r="DA48" s="234"/>
      <c r="DB48" s="234"/>
      <c r="DC48" s="234"/>
      <c r="DD48" s="234"/>
      <c r="DE48" s="234"/>
      <c r="DF48" s="234"/>
      <c r="DG48" s="234"/>
      <c r="DH48" s="234"/>
      <c r="DI48" s="234"/>
      <c r="DJ48" s="234"/>
      <c r="DK48" s="234"/>
      <c r="DL48" s="234"/>
      <c r="DM48" s="234"/>
      <c r="DN48" s="234"/>
      <c r="DO48" s="234"/>
      <c r="DP48" s="234"/>
      <c r="DQ48" s="234"/>
      <c r="DR48" s="234"/>
      <c r="DS48" s="234"/>
      <c r="DT48" s="234"/>
      <c r="DU48" s="234"/>
      <c r="DV48" s="234"/>
      <c r="DW48" s="234"/>
      <c r="DX48" s="234"/>
      <c r="DY48" s="234"/>
      <c r="DZ48" s="234"/>
      <c r="EA48" s="234"/>
      <c r="EB48" s="234"/>
      <c r="EC48" s="234"/>
      <c r="ED48" s="234"/>
      <c r="EE48" s="234"/>
      <c r="EF48" s="234"/>
      <c r="EG48" s="234"/>
      <c r="EH48" s="234"/>
      <c r="EI48" s="234"/>
      <c r="EJ48" s="234"/>
      <c r="EK48" s="234"/>
      <c r="EL48" s="234"/>
      <c r="EM48" s="234"/>
      <c r="EN48" s="234"/>
      <c r="EO48" s="234"/>
      <c r="EP48" s="234"/>
      <c r="EQ48" s="234"/>
      <c r="ER48" s="234"/>
      <c r="ES48" s="234"/>
      <c r="ET48" s="234"/>
      <c r="EU48" s="234"/>
      <c r="EV48" s="234"/>
      <c r="EW48" s="234"/>
      <c r="EX48" s="234"/>
      <c r="EY48" s="234"/>
      <c r="EZ48" s="234"/>
      <c r="FA48" s="234"/>
      <c r="FB48" s="234"/>
      <c r="FC48" s="234"/>
      <c r="FD48" s="234"/>
      <c r="FE48" s="234"/>
      <c r="FF48" s="234"/>
      <c r="FG48" s="234"/>
      <c r="FH48" s="234"/>
      <c r="FI48" s="234"/>
      <c r="FJ48" s="234"/>
      <c r="FK48" s="234"/>
      <c r="FL48" s="234"/>
      <c r="FM48" s="234"/>
      <c r="FN48" s="234"/>
      <c r="FO48" s="234"/>
      <c r="FP48" s="234"/>
      <c r="FQ48" s="234"/>
      <c r="FR48" s="123"/>
      <c r="FS48" s="123"/>
      <c r="FT48" s="123"/>
      <c r="FU48" s="123"/>
      <c r="FV48" s="123"/>
    </row>
    <row r="49" spans="7:178" ht="15.75" customHeight="1" x14ac:dyDescent="0.2">
      <c r="G49" s="234"/>
      <c r="H49" s="234"/>
      <c r="I49" s="234"/>
      <c r="J49" s="234"/>
      <c r="K49" s="234"/>
      <c r="L49" s="234"/>
      <c r="M49" s="234"/>
      <c r="N49" s="234"/>
      <c r="O49" s="234"/>
      <c r="P49" s="234"/>
      <c r="Q49" s="234"/>
      <c r="R49" s="234"/>
      <c r="S49" s="234"/>
      <c r="T49" s="234"/>
      <c r="U49" s="234"/>
      <c r="V49" s="234"/>
      <c r="W49" s="234"/>
      <c r="X49" s="234"/>
      <c r="Y49" s="234"/>
      <c r="Z49" s="234"/>
      <c r="AA49" s="234"/>
      <c r="AB49" s="234"/>
      <c r="AC49" s="234"/>
      <c r="AD49" s="234"/>
      <c r="AE49" s="234"/>
      <c r="AF49" s="234"/>
      <c r="AG49" s="234"/>
      <c r="AH49" s="234"/>
      <c r="AI49" s="234"/>
      <c r="AJ49" s="234"/>
      <c r="AK49" s="234"/>
      <c r="AL49" s="234"/>
      <c r="AM49" s="234"/>
      <c r="AN49" s="234"/>
      <c r="AO49" s="234"/>
      <c r="AP49" s="234"/>
      <c r="AQ49" s="234"/>
      <c r="AR49" s="234"/>
      <c r="AS49" s="234"/>
      <c r="AT49" s="234"/>
      <c r="AU49" s="234"/>
      <c r="AV49" s="234"/>
      <c r="AW49" s="234"/>
      <c r="AX49" s="234"/>
      <c r="AY49" s="234"/>
      <c r="AZ49" s="234"/>
      <c r="BA49" s="234"/>
      <c r="BB49" s="234"/>
      <c r="BC49" s="234"/>
      <c r="BD49" s="234"/>
      <c r="BE49" s="234"/>
      <c r="BF49" s="234"/>
      <c r="BG49" s="234"/>
      <c r="BH49" s="234"/>
      <c r="BI49" s="234"/>
      <c r="BJ49" s="234"/>
      <c r="BK49" s="234"/>
      <c r="BL49" s="234"/>
      <c r="BM49" s="234"/>
      <c r="BN49" s="234"/>
      <c r="BO49" s="234"/>
      <c r="BP49" s="234"/>
      <c r="BQ49" s="234"/>
      <c r="BR49" s="234"/>
      <c r="BS49" s="234"/>
      <c r="BT49" s="234"/>
      <c r="BU49" s="234"/>
      <c r="BV49" s="234"/>
      <c r="BW49" s="234"/>
      <c r="BX49" s="234"/>
      <c r="BY49" s="234"/>
      <c r="BZ49" s="234"/>
      <c r="CA49" s="234"/>
      <c r="CB49" s="234"/>
      <c r="CC49" s="234"/>
      <c r="CD49" s="234"/>
      <c r="CE49" s="234"/>
      <c r="CF49" s="234"/>
      <c r="CG49" s="234"/>
      <c r="CH49" s="234"/>
      <c r="CI49" s="234"/>
      <c r="CJ49" s="234"/>
      <c r="CK49" s="234"/>
      <c r="CL49" s="234"/>
      <c r="CM49" s="234"/>
      <c r="CN49" s="234"/>
      <c r="CO49" s="234"/>
      <c r="CP49" s="234"/>
      <c r="CQ49" s="234"/>
      <c r="CR49" s="234"/>
      <c r="CS49" s="234"/>
      <c r="CT49" s="234"/>
      <c r="CU49" s="234"/>
      <c r="CV49" s="234"/>
      <c r="CW49" s="234"/>
      <c r="CX49" s="234"/>
      <c r="CY49" s="234"/>
      <c r="CZ49" s="234"/>
      <c r="DA49" s="234"/>
      <c r="DB49" s="234"/>
      <c r="DC49" s="234"/>
      <c r="DD49" s="234"/>
      <c r="DE49" s="234"/>
      <c r="DF49" s="234"/>
      <c r="DG49" s="234"/>
      <c r="DH49" s="234"/>
      <c r="DI49" s="234"/>
      <c r="DJ49" s="234"/>
      <c r="DK49" s="234"/>
      <c r="DL49" s="234"/>
      <c r="DM49" s="234"/>
      <c r="DN49" s="234"/>
      <c r="DO49" s="234"/>
      <c r="DP49" s="234"/>
      <c r="DQ49" s="234"/>
      <c r="DR49" s="234"/>
      <c r="DS49" s="234"/>
      <c r="DT49" s="234"/>
      <c r="DU49" s="234"/>
      <c r="DV49" s="234"/>
      <c r="DW49" s="234"/>
      <c r="DX49" s="234"/>
      <c r="DY49" s="234"/>
      <c r="DZ49" s="234"/>
      <c r="EA49" s="234"/>
      <c r="EB49" s="234"/>
      <c r="EC49" s="234"/>
      <c r="ED49" s="234"/>
      <c r="EE49" s="234"/>
      <c r="EF49" s="234"/>
      <c r="EG49" s="234"/>
      <c r="EH49" s="234"/>
      <c r="EI49" s="234"/>
      <c r="EJ49" s="234"/>
      <c r="EK49" s="234"/>
      <c r="EL49" s="234"/>
      <c r="EM49" s="234"/>
      <c r="EN49" s="234"/>
      <c r="EO49" s="234"/>
      <c r="EP49" s="234"/>
      <c r="EQ49" s="234"/>
      <c r="ER49" s="234"/>
      <c r="ES49" s="234"/>
      <c r="ET49" s="234"/>
      <c r="EU49" s="234"/>
      <c r="EV49" s="234"/>
      <c r="EW49" s="234"/>
      <c r="EX49" s="234"/>
      <c r="EY49" s="234"/>
      <c r="EZ49" s="234"/>
      <c r="FA49" s="234"/>
      <c r="FB49" s="234"/>
      <c r="FC49" s="234"/>
      <c r="FD49" s="234"/>
      <c r="FE49" s="234"/>
      <c r="FF49" s="234"/>
      <c r="FG49" s="234"/>
      <c r="FH49" s="234"/>
      <c r="FI49" s="234"/>
      <c r="FJ49" s="234"/>
      <c r="FK49" s="234"/>
      <c r="FL49" s="234"/>
      <c r="FM49" s="234"/>
      <c r="FN49" s="234"/>
      <c r="FO49" s="234"/>
      <c r="FP49" s="234"/>
      <c r="FQ49" s="234"/>
      <c r="FR49" s="123"/>
      <c r="FS49" s="123"/>
      <c r="FT49" s="123"/>
      <c r="FU49" s="123"/>
      <c r="FV49" s="123"/>
    </row>
    <row r="50" spans="7:178" ht="15.75" customHeight="1" x14ac:dyDescent="0.2">
      <c r="G50" s="234"/>
      <c r="H50" s="234"/>
      <c r="I50" s="234"/>
      <c r="J50" s="234"/>
      <c r="K50" s="234"/>
      <c r="L50" s="234"/>
      <c r="M50" s="234"/>
      <c r="N50" s="234"/>
      <c r="O50" s="234"/>
      <c r="P50" s="234"/>
      <c r="Q50" s="234"/>
      <c r="R50" s="234"/>
      <c r="S50" s="234"/>
      <c r="T50" s="234"/>
      <c r="U50" s="234"/>
      <c r="V50" s="234"/>
      <c r="W50" s="234"/>
      <c r="X50" s="234"/>
      <c r="Y50" s="234"/>
      <c r="Z50" s="234"/>
      <c r="AA50" s="234"/>
      <c r="AB50" s="234"/>
      <c r="AC50" s="234"/>
      <c r="AD50" s="234"/>
      <c r="AE50" s="234"/>
      <c r="AF50" s="234"/>
      <c r="AG50" s="234"/>
      <c r="AH50" s="234"/>
      <c r="AI50" s="234"/>
      <c r="AJ50" s="234"/>
      <c r="AK50" s="234"/>
      <c r="AL50" s="234"/>
      <c r="AM50" s="234"/>
      <c r="AN50" s="234"/>
      <c r="AO50" s="234"/>
      <c r="AP50" s="234"/>
      <c r="AQ50" s="234"/>
      <c r="AR50" s="234"/>
      <c r="AS50" s="234"/>
      <c r="AT50" s="234"/>
      <c r="AU50" s="234"/>
      <c r="AV50" s="234"/>
      <c r="AW50" s="234"/>
      <c r="AX50" s="234"/>
      <c r="AY50" s="234"/>
      <c r="AZ50" s="234"/>
      <c r="BA50" s="234"/>
      <c r="BB50" s="234"/>
      <c r="BC50" s="234"/>
      <c r="BD50" s="234"/>
      <c r="BE50" s="234"/>
      <c r="BF50" s="234"/>
      <c r="BG50" s="234"/>
      <c r="BH50" s="234"/>
      <c r="BI50" s="234"/>
      <c r="BJ50" s="234"/>
      <c r="BK50" s="234"/>
      <c r="BL50" s="234"/>
      <c r="BM50" s="234"/>
      <c r="BN50" s="234"/>
      <c r="BO50" s="234"/>
      <c r="BP50" s="234"/>
      <c r="BQ50" s="234"/>
      <c r="BR50" s="234"/>
      <c r="BS50" s="234"/>
      <c r="BT50" s="234"/>
      <c r="BU50" s="234"/>
      <c r="BV50" s="234"/>
      <c r="BW50" s="234"/>
      <c r="BX50" s="234"/>
      <c r="BY50" s="234"/>
      <c r="BZ50" s="234"/>
      <c r="CA50" s="234"/>
      <c r="CB50" s="234"/>
      <c r="CC50" s="234"/>
      <c r="CD50" s="234"/>
      <c r="CE50" s="234"/>
      <c r="CF50" s="234"/>
      <c r="CG50" s="234"/>
      <c r="CH50" s="234"/>
      <c r="CI50" s="234"/>
      <c r="CJ50" s="234"/>
      <c r="CK50" s="234"/>
      <c r="CL50" s="234"/>
      <c r="CM50" s="234"/>
      <c r="CN50" s="234"/>
      <c r="CO50" s="234"/>
      <c r="CP50" s="234"/>
      <c r="CQ50" s="234"/>
      <c r="CR50" s="234"/>
      <c r="CS50" s="234"/>
      <c r="CT50" s="234"/>
      <c r="CU50" s="234"/>
      <c r="CV50" s="234"/>
      <c r="CW50" s="234"/>
      <c r="CX50" s="234"/>
      <c r="CY50" s="234"/>
      <c r="CZ50" s="234"/>
      <c r="DA50" s="234"/>
      <c r="DB50" s="234"/>
      <c r="DC50" s="234"/>
      <c r="DD50" s="234"/>
      <c r="DE50" s="234"/>
      <c r="DF50" s="234"/>
      <c r="DG50" s="234"/>
      <c r="DH50" s="234"/>
      <c r="DI50" s="234"/>
      <c r="DJ50" s="234"/>
      <c r="DK50" s="234"/>
      <c r="DL50" s="234"/>
      <c r="DM50" s="234"/>
      <c r="DN50" s="234"/>
      <c r="DO50" s="234"/>
      <c r="DP50" s="234"/>
      <c r="DQ50" s="234"/>
      <c r="DR50" s="234"/>
      <c r="DS50" s="234"/>
      <c r="DT50" s="234"/>
      <c r="DU50" s="234"/>
      <c r="DV50" s="234"/>
      <c r="DW50" s="234"/>
      <c r="DX50" s="234"/>
      <c r="DY50" s="234"/>
      <c r="DZ50" s="234"/>
      <c r="EA50" s="234"/>
      <c r="EB50" s="234"/>
      <c r="EC50" s="234"/>
      <c r="ED50" s="234"/>
      <c r="EE50" s="234"/>
      <c r="EF50" s="234"/>
      <c r="EG50" s="234"/>
      <c r="EH50" s="234"/>
      <c r="EI50" s="234"/>
      <c r="EJ50" s="234"/>
      <c r="EK50" s="234"/>
      <c r="EL50" s="234"/>
      <c r="EM50" s="234"/>
      <c r="EN50" s="234"/>
      <c r="EO50" s="234"/>
      <c r="EP50" s="234"/>
      <c r="EQ50" s="234"/>
      <c r="ER50" s="234"/>
      <c r="ES50" s="234"/>
      <c r="ET50" s="234"/>
      <c r="EU50" s="234"/>
      <c r="EV50" s="234"/>
      <c r="EW50" s="234"/>
      <c r="EX50" s="234"/>
      <c r="EY50" s="234"/>
      <c r="EZ50" s="234"/>
      <c r="FA50" s="234"/>
      <c r="FB50" s="234"/>
      <c r="FC50" s="234"/>
      <c r="FD50" s="234"/>
      <c r="FE50" s="234"/>
      <c r="FF50" s="234"/>
      <c r="FG50" s="234"/>
      <c r="FH50" s="234"/>
      <c r="FI50" s="234"/>
      <c r="FJ50" s="234"/>
      <c r="FK50" s="234"/>
      <c r="FL50" s="234"/>
      <c r="FM50" s="234"/>
      <c r="FN50" s="234"/>
      <c r="FO50" s="234"/>
      <c r="FP50" s="234"/>
      <c r="FQ50" s="234"/>
      <c r="FR50" s="123"/>
      <c r="FS50" s="123"/>
      <c r="FT50" s="123"/>
      <c r="FU50" s="123"/>
      <c r="FV50" s="123"/>
    </row>
    <row r="51" spans="7:178" ht="15.75" customHeight="1" x14ac:dyDescent="0.2">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c r="AK51" s="234"/>
      <c r="AL51" s="234"/>
      <c r="AM51" s="234"/>
      <c r="AN51" s="234"/>
      <c r="AO51" s="234"/>
      <c r="AP51" s="234"/>
      <c r="AQ51" s="234"/>
      <c r="AR51" s="234"/>
      <c r="AS51" s="234"/>
      <c r="AT51" s="234"/>
      <c r="AU51" s="234"/>
      <c r="AV51" s="234"/>
      <c r="AW51" s="234"/>
      <c r="AX51" s="234"/>
      <c r="AY51" s="234"/>
      <c r="AZ51" s="234"/>
      <c r="BA51" s="234"/>
      <c r="BB51" s="234"/>
      <c r="BC51" s="234"/>
      <c r="BD51" s="234"/>
      <c r="BE51" s="234"/>
      <c r="BF51" s="234"/>
      <c r="BG51" s="234"/>
      <c r="BH51" s="234"/>
      <c r="BI51" s="234"/>
      <c r="BJ51" s="234"/>
      <c r="BK51" s="234"/>
      <c r="BL51" s="234"/>
      <c r="BM51" s="234"/>
      <c r="BN51" s="234"/>
      <c r="BO51" s="234"/>
      <c r="BP51" s="234"/>
      <c r="BQ51" s="234"/>
      <c r="BR51" s="234"/>
      <c r="BS51" s="234"/>
      <c r="BT51" s="234"/>
      <c r="BU51" s="234"/>
      <c r="BV51" s="234"/>
      <c r="BW51" s="234"/>
      <c r="BX51" s="234"/>
      <c r="BY51" s="234"/>
      <c r="BZ51" s="234"/>
      <c r="CA51" s="234"/>
      <c r="CB51" s="234"/>
      <c r="CC51" s="234"/>
      <c r="CD51" s="234"/>
      <c r="CE51" s="234"/>
      <c r="CF51" s="234"/>
      <c r="CG51" s="234"/>
      <c r="CH51" s="234"/>
      <c r="CI51" s="234"/>
      <c r="CJ51" s="234"/>
      <c r="CK51" s="234"/>
      <c r="CL51" s="234"/>
      <c r="CM51" s="234"/>
      <c r="CN51" s="234"/>
      <c r="CO51" s="234"/>
      <c r="CP51" s="234"/>
      <c r="CQ51" s="234"/>
      <c r="CR51" s="234"/>
      <c r="CS51" s="234"/>
      <c r="CT51" s="234"/>
      <c r="CU51" s="234"/>
      <c r="CV51" s="234"/>
      <c r="CW51" s="234"/>
      <c r="CX51" s="234"/>
      <c r="CY51" s="234"/>
      <c r="CZ51" s="234"/>
      <c r="DA51" s="234"/>
      <c r="DB51" s="234"/>
      <c r="DC51" s="234"/>
      <c r="DD51" s="234"/>
      <c r="DE51" s="234"/>
      <c r="DF51" s="234"/>
      <c r="DG51" s="234"/>
      <c r="DH51" s="234"/>
      <c r="DI51" s="234"/>
      <c r="DJ51" s="234"/>
      <c r="DK51" s="234"/>
      <c r="DL51" s="234"/>
      <c r="DM51" s="234"/>
      <c r="DN51" s="234"/>
      <c r="DO51" s="234"/>
      <c r="DP51" s="234"/>
      <c r="DQ51" s="234"/>
      <c r="DR51" s="234"/>
      <c r="DS51" s="234"/>
      <c r="DT51" s="234"/>
      <c r="DU51" s="234"/>
      <c r="DV51" s="234"/>
      <c r="DW51" s="234"/>
      <c r="DX51" s="234"/>
      <c r="DY51" s="234"/>
      <c r="DZ51" s="234"/>
      <c r="EA51" s="234"/>
      <c r="EB51" s="234"/>
      <c r="EC51" s="234"/>
      <c r="ED51" s="234"/>
      <c r="EE51" s="234"/>
      <c r="EF51" s="234"/>
      <c r="EG51" s="234"/>
      <c r="EH51" s="234"/>
      <c r="EI51" s="234"/>
      <c r="EJ51" s="234"/>
      <c r="EK51" s="234"/>
      <c r="EL51" s="234"/>
      <c r="EM51" s="234"/>
      <c r="EN51" s="234"/>
      <c r="EO51" s="234"/>
      <c r="EP51" s="234"/>
      <c r="EQ51" s="234"/>
      <c r="ER51" s="234"/>
      <c r="ES51" s="234"/>
      <c r="ET51" s="234"/>
      <c r="EU51" s="234"/>
      <c r="EV51" s="234"/>
      <c r="EW51" s="234"/>
      <c r="EX51" s="234"/>
      <c r="EY51" s="234"/>
      <c r="EZ51" s="234"/>
      <c r="FA51" s="234"/>
      <c r="FB51" s="234"/>
      <c r="FC51" s="234"/>
      <c r="FD51" s="234"/>
      <c r="FE51" s="234"/>
      <c r="FF51" s="234"/>
      <c r="FG51" s="234"/>
      <c r="FH51" s="234"/>
      <c r="FI51" s="234"/>
      <c r="FJ51" s="234"/>
      <c r="FK51" s="234"/>
      <c r="FL51" s="234"/>
      <c r="FM51" s="234"/>
      <c r="FN51" s="234"/>
      <c r="FO51" s="234"/>
      <c r="FP51" s="234"/>
      <c r="FQ51" s="234"/>
      <c r="FR51" s="123"/>
      <c r="FS51" s="123"/>
      <c r="FT51" s="123"/>
      <c r="FU51" s="123"/>
      <c r="FV51" s="123"/>
    </row>
    <row r="52" spans="7:178" ht="15.75" customHeight="1" x14ac:dyDescent="0.2">
      <c r="G52" s="234"/>
      <c r="H52" s="234"/>
      <c r="I52" s="234"/>
      <c r="J52" s="234"/>
      <c r="K52" s="234"/>
      <c r="L52" s="234"/>
      <c r="M52" s="234"/>
      <c r="N52" s="234"/>
      <c r="O52" s="234"/>
      <c r="P52" s="234"/>
      <c r="Q52" s="234"/>
      <c r="R52" s="234"/>
      <c r="S52" s="234"/>
      <c r="T52" s="234"/>
      <c r="U52" s="234"/>
      <c r="V52" s="234"/>
      <c r="W52" s="234"/>
      <c r="X52" s="234"/>
      <c r="Y52" s="234"/>
      <c r="Z52" s="234"/>
      <c r="AA52" s="234"/>
      <c r="AB52" s="234"/>
      <c r="AC52" s="234"/>
      <c r="AD52" s="234"/>
      <c r="AE52" s="234"/>
      <c r="AF52" s="234"/>
      <c r="AG52" s="234"/>
      <c r="AH52" s="234"/>
      <c r="AI52" s="234"/>
      <c r="AJ52" s="234"/>
      <c r="AK52" s="234"/>
      <c r="AL52" s="234"/>
      <c r="AM52" s="234"/>
      <c r="AN52" s="234"/>
      <c r="AO52" s="234"/>
      <c r="AP52" s="234"/>
      <c r="AQ52" s="234"/>
      <c r="AR52" s="234"/>
      <c r="AS52" s="234"/>
      <c r="AT52" s="234"/>
      <c r="AU52" s="234"/>
      <c r="AV52" s="234"/>
      <c r="AW52" s="234"/>
      <c r="AX52" s="234"/>
      <c r="AY52" s="234"/>
      <c r="AZ52" s="234"/>
      <c r="BA52" s="234"/>
      <c r="BB52" s="234"/>
      <c r="BC52" s="234"/>
      <c r="BD52" s="234"/>
      <c r="BE52" s="234"/>
      <c r="BF52" s="234"/>
      <c r="BG52" s="234"/>
      <c r="BH52" s="234"/>
      <c r="BI52" s="234"/>
      <c r="BJ52" s="234"/>
      <c r="BK52" s="234"/>
      <c r="BL52" s="234"/>
      <c r="BM52" s="234"/>
      <c r="BN52" s="234"/>
      <c r="BO52" s="234"/>
      <c r="BP52" s="234"/>
      <c r="BQ52" s="234"/>
      <c r="BR52" s="234"/>
      <c r="BS52" s="234"/>
      <c r="BT52" s="234"/>
      <c r="BU52" s="234"/>
      <c r="BV52" s="234"/>
      <c r="BW52" s="234"/>
      <c r="BX52" s="234"/>
      <c r="BY52" s="234"/>
      <c r="BZ52" s="234"/>
      <c r="CA52" s="234"/>
      <c r="CB52" s="234"/>
      <c r="CC52" s="234"/>
      <c r="CD52" s="234"/>
      <c r="CE52" s="234"/>
      <c r="CF52" s="234"/>
      <c r="CG52" s="234"/>
      <c r="CH52" s="234"/>
      <c r="CI52" s="234"/>
      <c r="CJ52" s="234"/>
      <c r="CK52" s="234"/>
      <c r="CL52" s="234"/>
      <c r="CM52" s="234"/>
      <c r="CN52" s="234"/>
      <c r="CO52" s="234"/>
      <c r="CP52" s="234"/>
      <c r="CQ52" s="234"/>
      <c r="CR52" s="234"/>
      <c r="CS52" s="234"/>
      <c r="CT52" s="234"/>
      <c r="CU52" s="234"/>
      <c r="CV52" s="234"/>
      <c r="CW52" s="234"/>
      <c r="CX52" s="234"/>
      <c r="CY52" s="234"/>
      <c r="CZ52" s="234"/>
      <c r="DA52" s="234"/>
      <c r="DB52" s="234"/>
      <c r="DC52" s="234"/>
      <c r="DD52" s="234"/>
      <c r="DE52" s="234"/>
      <c r="DF52" s="234"/>
      <c r="DG52" s="234"/>
      <c r="DH52" s="234"/>
      <c r="DI52" s="234"/>
      <c r="DJ52" s="234"/>
      <c r="DK52" s="234"/>
      <c r="DL52" s="234"/>
      <c r="DM52" s="234"/>
      <c r="DN52" s="234"/>
      <c r="DO52" s="234"/>
      <c r="DP52" s="234"/>
      <c r="DQ52" s="234"/>
      <c r="DR52" s="234"/>
      <c r="DS52" s="234"/>
      <c r="DT52" s="234"/>
      <c r="DU52" s="234"/>
      <c r="DV52" s="234"/>
      <c r="DW52" s="234"/>
      <c r="DX52" s="234"/>
      <c r="DY52" s="234"/>
      <c r="DZ52" s="234"/>
      <c r="EA52" s="234"/>
      <c r="EB52" s="234"/>
      <c r="EC52" s="234"/>
      <c r="ED52" s="234"/>
      <c r="EE52" s="234"/>
      <c r="EF52" s="234"/>
      <c r="EG52" s="234"/>
      <c r="EH52" s="234"/>
      <c r="EI52" s="234"/>
      <c r="EJ52" s="234"/>
      <c r="EK52" s="234"/>
      <c r="EL52" s="234"/>
      <c r="EM52" s="234"/>
      <c r="EN52" s="234"/>
      <c r="EO52" s="234"/>
      <c r="EP52" s="234"/>
      <c r="EQ52" s="234"/>
      <c r="ER52" s="234"/>
      <c r="ES52" s="234"/>
      <c r="ET52" s="234"/>
      <c r="EU52" s="234"/>
      <c r="EV52" s="234"/>
      <c r="EW52" s="234"/>
      <c r="EX52" s="234"/>
      <c r="EY52" s="234"/>
      <c r="EZ52" s="234"/>
      <c r="FA52" s="234"/>
      <c r="FB52" s="234"/>
      <c r="FC52" s="234"/>
      <c r="FD52" s="234"/>
      <c r="FE52" s="234"/>
      <c r="FF52" s="234"/>
      <c r="FG52" s="234"/>
      <c r="FH52" s="234"/>
      <c r="FI52" s="234"/>
      <c r="FJ52" s="234"/>
      <c r="FK52" s="234"/>
      <c r="FL52" s="234"/>
      <c r="FM52" s="234"/>
      <c r="FN52" s="234"/>
      <c r="FO52" s="234"/>
      <c r="FP52" s="234"/>
      <c r="FQ52" s="234"/>
      <c r="FR52" s="123"/>
      <c r="FS52" s="123"/>
      <c r="FT52" s="123"/>
      <c r="FU52" s="123"/>
      <c r="FV52" s="123"/>
    </row>
    <row r="53" spans="7:178" ht="15.75" customHeight="1" x14ac:dyDescent="0.2">
      <c r="G53" s="234"/>
      <c r="H53" s="234"/>
      <c r="I53" s="234"/>
      <c r="J53" s="234"/>
      <c r="K53" s="234"/>
      <c r="L53" s="234"/>
      <c r="M53" s="234"/>
      <c r="N53" s="234"/>
      <c r="O53" s="234"/>
      <c r="P53" s="234"/>
      <c r="Q53" s="234"/>
      <c r="R53" s="234"/>
      <c r="S53" s="234"/>
      <c r="T53" s="234"/>
      <c r="U53" s="234"/>
      <c r="V53" s="234"/>
      <c r="W53" s="234"/>
      <c r="X53" s="234"/>
      <c r="Y53" s="234"/>
      <c r="Z53" s="234"/>
      <c r="AA53" s="234"/>
      <c r="AB53" s="234"/>
      <c r="AC53" s="234"/>
      <c r="AD53" s="234"/>
      <c r="AE53" s="234"/>
      <c r="AF53" s="234"/>
      <c r="AG53" s="234"/>
      <c r="AH53" s="234"/>
      <c r="AI53" s="234"/>
      <c r="AJ53" s="234"/>
      <c r="AK53" s="234"/>
      <c r="AL53" s="234"/>
      <c r="AM53" s="234"/>
      <c r="AN53" s="234"/>
      <c r="AO53" s="234"/>
      <c r="AP53" s="234"/>
      <c r="AQ53" s="234"/>
      <c r="AR53" s="234"/>
      <c r="AS53" s="234"/>
      <c r="AT53" s="234"/>
      <c r="AU53" s="234"/>
      <c r="AV53" s="234"/>
      <c r="AW53" s="234"/>
      <c r="AX53" s="234"/>
      <c r="AY53" s="234"/>
      <c r="AZ53" s="234"/>
      <c r="BA53" s="234"/>
      <c r="BB53" s="234"/>
      <c r="BC53" s="234"/>
      <c r="BD53" s="234"/>
      <c r="BE53" s="234"/>
      <c r="BF53" s="234"/>
      <c r="BG53" s="234"/>
      <c r="BH53" s="234"/>
      <c r="BI53" s="234"/>
      <c r="BJ53" s="234"/>
      <c r="BK53" s="234"/>
      <c r="BL53" s="234"/>
      <c r="BM53" s="234"/>
      <c r="BN53" s="234"/>
      <c r="BO53" s="234"/>
      <c r="BP53" s="234"/>
      <c r="BQ53" s="234"/>
      <c r="BR53" s="234"/>
      <c r="BS53" s="234"/>
      <c r="BT53" s="234"/>
      <c r="BU53" s="234"/>
      <c r="BV53" s="234"/>
      <c r="BW53" s="234"/>
      <c r="BX53" s="234"/>
      <c r="BY53" s="234"/>
      <c r="BZ53" s="234"/>
      <c r="CA53" s="234"/>
      <c r="CB53" s="234"/>
      <c r="CC53" s="234"/>
      <c r="CD53" s="234"/>
      <c r="CE53" s="234"/>
      <c r="CF53" s="234"/>
      <c r="CG53" s="234"/>
      <c r="CH53" s="234"/>
      <c r="CI53" s="234"/>
      <c r="CJ53" s="234"/>
      <c r="CK53" s="234"/>
      <c r="CL53" s="234"/>
      <c r="CM53" s="234"/>
      <c r="CN53" s="234"/>
      <c r="CO53" s="234"/>
      <c r="CP53" s="234"/>
      <c r="CQ53" s="234"/>
      <c r="CR53" s="234"/>
      <c r="CS53" s="234"/>
      <c r="CT53" s="234"/>
      <c r="CU53" s="234"/>
      <c r="CV53" s="234"/>
      <c r="CW53" s="234"/>
      <c r="CX53" s="234"/>
      <c r="CY53" s="234"/>
      <c r="CZ53" s="234"/>
      <c r="DA53" s="234"/>
      <c r="DB53" s="234"/>
      <c r="DC53" s="234"/>
      <c r="DD53" s="234"/>
      <c r="DE53" s="234"/>
      <c r="DF53" s="234"/>
      <c r="DG53" s="234"/>
      <c r="DH53" s="234"/>
      <c r="DI53" s="234"/>
      <c r="DJ53" s="234"/>
      <c r="DK53" s="234"/>
      <c r="DL53" s="234"/>
      <c r="DM53" s="234"/>
      <c r="DN53" s="234"/>
      <c r="DO53" s="234"/>
      <c r="DP53" s="234"/>
      <c r="DQ53" s="234"/>
      <c r="DR53" s="234"/>
      <c r="DS53" s="234"/>
      <c r="DT53" s="234"/>
      <c r="DU53" s="234"/>
      <c r="DV53" s="234"/>
      <c r="DW53" s="234"/>
      <c r="DX53" s="234"/>
      <c r="DY53" s="234"/>
      <c r="DZ53" s="234"/>
      <c r="EA53" s="234"/>
      <c r="EB53" s="234"/>
      <c r="EC53" s="234"/>
      <c r="ED53" s="234"/>
      <c r="EE53" s="234"/>
      <c r="EF53" s="234"/>
      <c r="EG53" s="234"/>
      <c r="EH53" s="234"/>
      <c r="EI53" s="234"/>
      <c r="EJ53" s="234"/>
      <c r="EK53" s="234"/>
      <c r="EL53" s="234"/>
      <c r="EM53" s="234"/>
      <c r="EN53" s="234"/>
      <c r="EO53" s="234"/>
      <c r="EP53" s="234"/>
      <c r="EQ53" s="234"/>
      <c r="ER53" s="234"/>
      <c r="ES53" s="234"/>
      <c r="ET53" s="234"/>
      <c r="EU53" s="234"/>
      <c r="EV53" s="234"/>
      <c r="EW53" s="234"/>
      <c r="EX53" s="234"/>
      <c r="EY53" s="234"/>
      <c r="EZ53" s="234"/>
      <c r="FA53" s="234"/>
      <c r="FB53" s="234"/>
      <c r="FC53" s="234"/>
      <c r="FD53" s="234"/>
      <c r="FE53" s="234"/>
      <c r="FF53" s="234"/>
      <c r="FG53" s="234"/>
      <c r="FH53" s="234"/>
      <c r="FI53" s="234"/>
      <c r="FJ53" s="234"/>
      <c r="FK53" s="234"/>
      <c r="FL53" s="234"/>
      <c r="FM53" s="234"/>
      <c r="FN53" s="234"/>
      <c r="FO53" s="234"/>
      <c r="FP53" s="234"/>
      <c r="FQ53" s="234"/>
      <c r="FR53" s="123"/>
      <c r="FS53" s="123"/>
      <c r="FT53" s="123"/>
      <c r="FU53" s="123"/>
      <c r="FV53" s="123"/>
    </row>
    <row r="54" spans="7:178" ht="15.75" customHeight="1" x14ac:dyDescent="0.2">
      <c r="G54" s="234"/>
      <c r="H54" s="234"/>
      <c r="I54" s="234"/>
      <c r="J54" s="234"/>
      <c r="K54" s="234"/>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X54" s="234"/>
      <c r="AY54" s="234"/>
      <c r="AZ54" s="234"/>
      <c r="BA54" s="234"/>
      <c r="BB54" s="234"/>
      <c r="BC54" s="234"/>
      <c r="BD54" s="234"/>
      <c r="BE54" s="234"/>
      <c r="BF54" s="234"/>
      <c r="BG54" s="234"/>
      <c r="BH54" s="234"/>
      <c r="BI54" s="234"/>
      <c r="BJ54" s="234"/>
      <c r="BK54" s="234"/>
      <c r="BL54" s="234"/>
      <c r="BM54" s="234"/>
      <c r="BN54" s="234"/>
      <c r="BO54" s="234"/>
      <c r="BP54" s="234"/>
      <c r="BQ54" s="234"/>
      <c r="BR54" s="234"/>
      <c r="BS54" s="234"/>
      <c r="BT54" s="234"/>
      <c r="BU54" s="234"/>
      <c r="BV54" s="234"/>
      <c r="BW54" s="234"/>
      <c r="BX54" s="234"/>
      <c r="BY54" s="234"/>
      <c r="BZ54" s="234"/>
      <c r="CA54" s="234"/>
      <c r="CB54" s="234"/>
      <c r="CC54" s="234"/>
      <c r="CD54" s="234"/>
      <c r="CE54" s="234"/>
      <c r="CF54" s="234"/>
      <c r="CG54" s="234"/>
      <c r="CH54" s="234"/>
      <c r="CI54" s="234"/>
      <c r="CJ54" s="234"/>
      <c r="CK54" s="234"/>
      <c r="CL54" s="234"/>
      <c r="CM54" s="234"/>
      <c r="CN54" s="234"/>
      <c r="CO54" s="234"/>
      <c r="CP54" s="234"/>
      <c r="CQ54" s="234"/>
      <c r="CR54" s="234"/>
      <c r="CS54" s="234"/>
      <c r="CT54" s="234"/>
      <c r="CU54" s="234"/>
      <c r="CV54" s="234"/>
      <c r="CW54" s="234"/>
      <c r="CX54" s="234"/>
      <c r="CY54" s="234"/>
      <c r="CZ54" s="234"/>
      <c r="DA54" s="234"/>
      <c r="DB54" s="234"/>
      <c r="DC54" s="234"/>
      <c r="DD54" s="234"/>
      <c r="DE54" s="234"/>
      <c r="DF54" s="234"/>
      <c r="DG54" s="234"/>
      <c r="DH54" s="234"/>
      <c r="DI54" s="234"/>
      <c r="DJ54" s="234"/>
      <c r="DK54" s="234"/>
      <c r="DL54" s="234"/>
      <c r="DM54" s="234"/>
      <c r="DN54" s="234"/>
      <c r="DO54" s="234"/>
      <c r="DP54" s="234"/>
      <c r="DQ54" s="234"/>
      <c r="DR54" s="234"/>
      <c r="DS54" s="234"/>
      <c r="DT54" s="234"/>
      <c r="DU54" s="234"/>
      <c r="DV54" s="234"/>
      <c r="DW54" s="234"/>
      <c r="DX54" s="234"/>
      <c r="DY54" s="234"/>
      <c r="DZ54" s="234"/>
      <c r="EA54" s="234"/>
      <c r="EB54" s="234"/>
      <c r="EC54" s="234"/>
      <c r="ED54" s="234"/>
      <c r="EE54" s="234"/>
      <c r="EF54" s="234"/>
      <c r="EG54" s="234"/>
      <c r="EH54" s="234"/>
      <c r="EI54" s="234"/>
      <c r="EJ54" s="234"/>
      <c r="EK54" s="234"/>
      <c r="EL54" s="234"/>
      <c r="EM54" s="234"/>
      <c r="EN54" s="234"/>
      <c r="EO54" s="234"/>
      <c r="EP54" s="234"/>
      <c r="EQ54" s="234"/>
      <c r="ER54" s="234"/>
      <c r="ES54" s="234"/>
      <c r="ET54" s="234"/>
      <c r="EU54" s="234"/>
      <c r="EV54" s="234"/>
      <c r="EW54" s="234"/>
      <c r="EX54" s="234"/>
      <c r="EY54" s="234"/>
      <c r="EZ54" s="234"/>
      <c r="FA54" s="234"/>
      <c r="FB54" s="234"/>
      <c r="FC54" s="234"/>
      <c r="FD54" s="234"/>
      <c r="FE54" s="234"/>
      <c r="FF54" s="234"/>
      <c r="FG54" s="234"/>
      <c r="FH54" s="234"/>
      <c r="FI54" s="234"/>
      <c r="FJ54" s="234"/>
      <c r="FK54" s="234"/>
      <c r="FL54" s="234"/>
      <c r="FM54" s="234"/>
      <c r="FN54" s="234"/>
      <c r="FO54" s="234"/>
      <c r="FP54" s="234"/>
      <c r="FQ54" s="234"/>
      <c r="FR54" s="123"/>
      <c r="FS54" s="123"/>
      <c r="FT54" s="123"/>
      <c r="FU54" s="123"/>
      <c r="FV54" s="123"/>
    </row>
    <row r="55" spans="7:178" ht="15.75" customHeight="1" x14ac:dyDescent="0.2">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X55" s="234"/>
      <c r="AY55" s="234"/>
      <c r="AZ55" s="234"/>
      <c r="BA55" s="234"/>
      <c r="BB55" s="234"/>
      <c r="BC55" s="234"/>
      <c r="BD55" s="234"/>
      <c r="BE55" s="234"/>
      <c r="BF55" s="234"/>
      <c r="BG55" s="234"/>
      <c r="BH55" s="234"/>
      <c r="BI55" s="234"/>
      <c r="BJ55" s="234"/>
      <c r="BK55" s="234"/>
      <c r="BL55" s="234"/>
      <c r="BM55" s="234"/>
      <c r="BN55" s="234"/>
      <c r="BO55" s="234"/>
      <c r="BP55" s="234"/>
      <c r="BQ55" s="234"/>
      <c r="BR55" s="234"/>
      <c r="BS55" s="234"/>
      <c r="BT55" s="234"/>
      <c r="BU55" s="234"/>
      <c r="BV55" s="234"/>
      <c r="BW55" s="234"/>
      <c r="BX55" s="234"/>
      <c r="BY55" s="234"/>
      <c r="BZ55" s="234"/>
      <c r="CA55" s="234"/>
      <c r="CB55" s="234"/>
      <c r="CC55" s="234"/>
      <c r="CD55" s="234"/>
      <c r="CE55" s="234"/>
      <c r="CF55" s="234"/>
      <c r="CG55" s="234"/>
      <c r="CH55" s="234"/>
      <c r="CI55" s="234"/>
      <c r="CJ55" s="234"/>
      <c r="CK55" s="234"/>
      <c r="CL55" s="234"/>
      <c r="CM55" s="234"/>
      <c r="CN55" s="234"/>
      <c r="CO55" s="234"/>
      <c r="CP55" s="234"/>
      <c r="CQ55" s="234"/>
      <c r="CR55" s="234"/>
      <c r="CS55" s="234"/>
      <c r="CT55" s="234"/>
      <c r="CU55" s="234"/>
      <c r="CV55" s="234"/>
      <c r="CW55" s="234"/>
      <c r="CX55" s="234"/>
      <c r="CY55" s="234"/>
      <c r="CZ55" s="234"/>
      <c r="DA55" s="234"/>
      <c r="DB55" s="234"/>
      <c r="DC55" s="234"/>
      <c r="DD55" s="234"/>
      <c r="DE55" s="234"/>
      <c r="DF55" s="234"/>
      <c r="DG55" s="234"/>
      <c r="DH55" s="234"/>
      <c r="DI55" s="234"/>
      <c r="DJ55" s="234"/>
      <c r="DK55" s="234"/>
      <c r="DL55" s="234"/>
      <c r="DM55" s="234"/>
      <c r="DN55" s="234"/>
      <c r="DO55" s="234"/>
      <c r="DP55" s="234"/>
      <c r="DQ55" s="234"/>
      <c r="DR55" s="234"/>
      <c r="DS55" s="234"/>
      <c r="DT55" s="234"/>
      <c r="DU55" s="234"/>
      <c r="DV55" s="234"/>
      <c r="DW55" s="234"/>
      <c r="DX55" s="234"/>
      <c r="DY55" s="234"/>
      <c r="DZ55" s="234"/>
      <c r="EA55" s="234"/>
      <c r="EB55" s="234"/>
      <c r="EC55" s="234"/>
      <c r="ED55" s="234"/>
      <c r="EE55" s="234"/>
      <c r="EF55" s="234"/>
      <c r="EG55" s="234"/>
      <c r="EH55" s="234"/>
      <c r="EI55" s="234"/>
      <c r="EJ55" s="234"/>
      <c r="EK55" s="234"/>
      <c r="EL55" s="234"/>
      <c r="EM55" s="234"/>
      <c r="EN55" s="234"/>
      <c r="EO55" s="234"/>
      <c r="EP55" s="234"/>
      <c r="EQ55" s="234"/>
      <c r="ER55" s="234"/>
      <c r="ES55" s="234"/>
      <c r="ET55" s="234"/>
      <c r="EU55" s="234"/>
      <c r="EV55" s="234"/>
      <c r="EW55" s="234"/>
      <c r="EX55" s="234"/>
      <c r="EY55" s="234"/>
      <c r="EZ55" s="234"/>
      <c r="FA55" s="234"/>
      <c r="FB55" s="234"/>
      <c r="FC55" s="234"/>
      <c r="FD55" s="234"/>
      <c r="FE55" s="234"/>
      <c r="FF55" s="234"/>
      <c r="FG55" s="234"/>
      <c r="FH55" s="234"/>
      <c r="FI55" s="234"/>
      <c r="FJ55" s="234"/>
      <c r="FK55" s="234"/>
      <c r="FL55" s="234"/>
      <c r="FM55" s="234"/>
      <c r="FN55" s="234"/>
      <c r="FO55" s="234"/>
      <c r="FP55" s="234"/>
      <c r="FQ55" s="234"/>
      <c r="FR55" s="123"/>
      <c r="FS55" s="123"/>
      <c r="FT55" s="123"/>
      <c r="FU55" s="123"/>
      <c r="FV55" s="123"/>
    </row>
    <row r="56" spans="7:178" ht="15.75" customHeight="1" x14ac:dyDescent="0.2">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4"/>
      <c r="AW56" s="234"/>
      <c r="AX56" s="234"/>
      <c r="AY56" s="234"/>
      <c r="AZ56" s="234"/>
      <c r="BA56" s="234"/>
      <c r="BB56" s="234"/>
      <c r="BC56" s="234"/>
      <c r="BD56" s="234"/>
      <c r="BE56" s="234"/>
      <c r="BF56" s="234"/>
      <c r="BG56" s="234"/>
      <c r="BH56" s="234"/>
      <c r="BI56" s="234"/>
      <c r="BJ56" s="234"/>
      <c r="BK56" s="234"/>
      <c r="BL56" s="234"/>
      <c r="BM56" s="234"/>
      <c r="BN56" s="234"/>
      <c r="BO56" s="234"/>
      <c r="BP56" s="234"/>
      <c r="BQ56" s="234"/>
      <c r="BR56" s="234"/>
      <c r="BS56" s="234"/>
      <c r="BT56" s="234"/>
      <c r="BU56" s="234"/>
      <c r="BV56" s="234"/>
      <c r="BW56" s="234"/>
      <c r="BX56" s="234"/>
      <c r="BY56" s="234"/>
      <c r="BZ56" s="234"/>
      <c r="CA56" s="234"/>
      <c r="CB56" s="234"/>
      <c r="CC56" s="234"/>
      <c r="CD56" s="234"/>
      <c r="CE56" s="234"/>
      <c r="CF56" s="234"/>
      <c r="CG56" s="234"/>
      <c r="CH56" s="234"/>
      <c r="CI56" s="234"/>
      <c r="CJ56" s="234"/>
      <c r="CK56" s="234"/>
      <c r="CL56" s="234"/>
      <c r="CM56" s="234"/>
      <c r="CN56" s="234"/>
      <c r="CO56" s="234"/>
      <c r="CP56" s="234"/>
      <c r="CQ56" s="234"/>
      <c r="CR56" s="234"/>
      <c r="CS56" s="234"/>
      <c r="CT56" s="234"/>
      <c r="CU56" s="234"/>
      <c r="CV56" s="234"/>
      <c r="CW56" s="234"/>
      <c r="CX56" s="234"/>
      <c r="CY56" s="234"/>
      <c r="CZ56" s="234"/>
      <c r="DA56" s="234"/>
      <c r="DB56" s="234"/>
      <c r="DC56" s="234"/>
      <c r="DD56" s="234"/>
      <c r="DE56" s="234"/>
      <c r="DF56" s="234"/>
      <c r="DG56" s="234"/>
      <c r="DH56" s="234"/>
      <c r="DI56" s="234"/>
      <c r="DJ56" s="234"/>
      <c r="DK56" s="234"/>
      <c r="DL56" s="234"/>
      <c r="DM56" s="234"/>
      <c r="DN56" s="234"/>
      <c r="DO56" s="234"/>
      <c r="DP56" s="234"/>
      <c r="DQ56" s="234"/>
      <c r="DR56" s="234"/>
      <c r="DS56" s="234"/>
      <c r="DT56" s="234"/>
      <c r="DU56" s="234"/>
      <c r="DV56" s="234"/>
      <c r="DW56" s="234"/>
      <c r="DX56" s="234"/>
      <c r="DY56" s="234"/>
      <c r="DZ56" s="234"/>
      <c r="EA56" s="234"/>
      <c r="EB56" s="234"/>
      <c r="EC56" s="234"/>
      <c r="ED56" s="234"/>
      <c r="EE56" s="234"/>
      <c r="EF56" s="234"/>
      <c r="EG56" s="234"/>
      <c r="EH56" s="234"/>
      <c r="EI56" s="234"/>
      <c r="EJ56" s="234"/>
      <c r="EK56" s="234"/>
      <c r="EL56" s="234"/>
      <c r="EM56" s="234"/>
      <c r="EN56" s="234"/>
      <c r="EO56" s="234"/>
      <c r="EP56" s="234"/>
      <c r="EQ56" s="234"/>
      <c r="ER56" s="234"/>
      <c r="ES56" s="234"/>
      <c r="ET56" s="234"/>
      <c r="EU56" s="234"/>
      <c r="EV56" s="234"/>
      <c r="EW56" s="234"/>
      <c r="EX56" s="234"/>
      <c r="EY56" s="234"/>
      <c r="EZ56" s="234"/>
      <c r="FA56" s="234"/>
      <c r="FB56" s="234"/>
      <c r="FC56" s="234"/>
      <c r="FD56" s="234"/>
      <c r="FE56" s="234"/>
      <c r="FF56" s="234"/>
      <c r="FG56" s="234"/>
      <c r="FH56" s="234"/>
      <c r="FI56" s="234"/>
      <c r="FJ56" s="234"/>
      <c r="FK56" s="234"/>
      <c r="FL56" s="234"/>
      <c r="FM56" s="234"/>
      <c r="FN56" s="234"/>
      <c r="FO56" s="234"/>
      <c r="FP56" s="234"/>
      <c r="FQ56" s="234"/>
      <c r="FR56" s="123"/>
      <c r="FS56" s="123"/>
      <c r="FT56" s="123"/>
      <c r="FU56" s="123"/>
      <c r="FV56" s="123"/>
    </row>
    <row r="57" spans="7:178" ht="15.75" customHeight="1" x14ac:dyDescent="0.2">
      <c r="G57" s="234"/>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X57" s="234"/>
      <c r="AY57" s="234"/>
      <c r="AZ57" s="234"/>
      <c r="BA57" s="234"/>
      <c r="BB57" s="234"/>
      <c r="BC57" s="234"/>
      <c r="BD57" s="234"/>
      <c r="BE57" s="234"/>
      <c r="BF57" s="234"/>
      <c r="BG57" s="234"/>
      <c r="BH57" s="234"/>
      <c r="BI57" s="234"/>
      <c r="BJ57" s="234"/>
      <c r="BK57" s="234"/>
      <c r="BL57" s="234"/>
      <c r="BM57" s="234"/>
      <c r="BN57" s="234"/>
      <c r="BO57" s="234"/>
      <c r="BP57" s="234"/>
      <c r="BQ57" s="234"/>
      <c r="BR57" s="234"/>
      <c r="BS57" s="234"/>
      <c r="BT57" s="234"/>
      <c r="BU57" s="234"/>
      <c r="BV57" s="234"/>
      <c r="BW57" s="234"/>
      <c r="BX57" s="234"/>
      <c r="BY57" s="234"/>
      <c r="BZ57" s="234"/>
      <c r="CA57" s="234"/>
      <c r="CB57" s="234"/>
      <c r="CC57" s="234"/>
      <c r="CD57" s="234"/>
      <c r="CE57" s="234"/>
      <c r="CF57" s="234"/>
      <c r="CG57" s="234"/>
      <c r="CH57" s="234"/>
      <c r="CI57" s="234"/>
      <c r="CJ57" s="234"/>
      <c r="CK57" s="234"/>
      <c r="CL57" s="234"/>
      <c r="CM57" s="234"/>
      <c r="CN57" s="234"/>
      <c r="CO57" s="234"/>
      <c r="CP57" s="234"/>
      <c r="CQ57" s="234"/>
      <c r="CR57" s="234"/>
      <c r="CS57" s="234"/>
      <c r="CT57" s="234"/>
      <c r="CU57" s="234"/>
      <c r="CV57" s="234"/>
      <c r="CW57" s="234"/>
      <c r="CX57" s="234"/>
      <c r="CY57" s="234"/>
      <c r="CZ57" s="234"/>
      <c r="DA57" s="234"/>
      <c r="DB57" s="234"/>
      <c r="DC57" s="234"/>
      <c r="DD57" s="234"/>
      <c r="DE57" s="234"/>
      <c r="DF57" s="234"/>
      <c r="DG57" s="234"/>
      <c r="DH57" s="234"/>
      <c r="DI57" s="234"/>
      <c r="DJ57" s="234"/>
      <c r="DK57" s="234"/>
      <c r="DL57" s="234"/>
      <c r="DM57" s="234"/>
      <c r="DN57" s="234"/>
      <c r="DO57" s="234"/>
      <c r="DP57" s="234"/>
      <c r="DQ57" s="234"/>
      <c r="DR57" s="234"/>
      <c r="DS57" s="234"/>
      <c r="DT57" s="234"/>
      <c r="DU57" s="234"/>
      <c r="DV57" s="234"/>
      <c r="DW57" s="234"/>
      <c r="DX57" s="234"/>
      <c r="DY57" s="234"/>
      <c r="DZ57" s="234"/>
      <c r="EA57" s="234"/>
      <c r="EB57" s="234"/>
      <c r="EC57" s="234"/>
      <c r="ED57" s="234"/>
      <c r="EE57" s="234"/>
      <c r="EF57" s="234"/>
      <c r="EG57" s="234"/>
      <c r="EH57" s="234"/>
      <c r="EI57" s="234"/>
      <c r="EJ57" s="234"/>
      <c r="EK57" s="234"/>
      <c r="EL57" s="234"/>
      <c r="EM57" s="234"/>
      <c r="EN57" s="234"/>
      <c r="EO57" s="234"/>
      <c r="EP57" s="234"/>
      <c r="EQ57" s="234"/>
      <c r="ER57" s="234"/>
      <c r="ES57" s="234"/>
      <c r="ET57" s="234"/>
      <c r="EU57" s="234"/>
      <c r="EV57" s="234"/>
      <c r="EW57" s="234"/>
      <c r="EX57" s="234"/>
      <c r="EY57" s="234"/>
      <c r="EZ57" s="234"/>
      <c r="FA57" s="234"/>
      <c r="FB57" s="234"/>
      <c r="FC57" s="234"/>
      <c r="FD57" s="234"/>
      <c r="FE57" s="234"/>
      <c r="FF57" s="234"/>
      <c r="FG57" s="234"/>
      <c r="FH57" s="234"/>
      <c r="FI57" s="234"/>
      <c r="FJ57" s="234"/>
      <c r="FK57" s="234"/>
      <c r="FL57" s="234"/>
      <c r="FM57" s="234"/>
      <c r="FN57" s="234"/>
      <c r="FO57" s="234"/>
      <c r="FP57" s="234"/>
      <c r="FQ57" s="234"/>
      <c r="FR57" s="123"/>
      <c r="FS57" s="123"/>
      <c r="FT57" s="123"/>
      <c r="FU57" s="123"/>
      <c r="FV57" s="123"/>
    </row>
    <row r="58" spans="7:178" ht="15.75" customHeight="1" x14ac:dyDescent="0.2">
      <c r="G58" s="234"/>
      <c r="H58" s="234"/>
      <c r="I58" s="234"/>
      <c r="J58" s="234"/>
      <c r="K58" s="234"/>
      <c r="L58" s="234"/>
      <c r="M58" s="234"/>
      <c r="N58" s="234"/>
      <c r="O58" s="234"/>
      <c r="P58" s="234"/>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234"/>
      <c r="AZ58" s="234"/>
      <c r="BA58" s="234"/>
      <c r="BB58" s="234"/>
      <c r="BC58" s="234"/>
      <c r="BD58" s="234"/>
      <c r="BE58" s="234"/>
      <c r="BF58" s="234"/>
      <c r="BG58" s="234"/>
      <c r="BH58" s="234"/>
      <c r="BI58" s="234"/>
      <c r="BJ58" s="234"/>
      <c r="BK58" s="234"/>
      <c r="BL58" s="234"/>
      <c r="BM58" s="234"/>
      <c r="BN58" s="234"/>
      <c r="BO58" s="234"/>
      <c r="BP58" s="234"/>
      <c r="BQ58" s="234"/>
      <c r="BR58" s="234"/>
      <c r="BS58" s="234"/>
      <c r="BT58" s="234"/>
      <c r="BU58" s="234"/>
      <c r="BV58" s="234"/>
      <c r="BW58" s="234"/>
      <c r="BX58" s="234"/>
      <c r="BY58" s="234"/>
      <c r="BZ58" s="234"/>
      <c r="CA58" s="234"/>
      <c r="CB58" s="234"/>
      <c r="CC58" s="234"/>
      <c r="CD58" s="234"/>
      <c r="CE58" s="234"/>
      <c r="CF58" s="234"/>
      <c r="CG58" s="234"/>
      <c r="CH58" s="234"/>
      <c r="CI58" s="234"/>
      <c r="CJ58" s="234"/>
      <c r="CK58" s="234"/>
      <c r="CL58" s="234"/>
      <c r="CM58" s="234"/>
      <c r="CN58" s="234"/>
      <c r="CO58" s="234"/>
      <c r="CP58" s="234"/>
      <c r="CQ58" s="234"/>
      <c r="CR58" s="234"/>
      <c r="CS58" s="234"/>
      <c r="CT58" s="234"/>
      <c r="CU58" s="234"/>
      <c r="CV58" s="234"/>
      <c r="CW58" s="234"/>
      <c r="CX58" s="234"/>
      <c r="CY58" s="234"/>
      <c r="CZ58" s="234"/>
      <c r="DA58" s="234"/>
      <c r="DB58" s="234"/>
      <c r="DC58" s="234"/>
      <c r="DD58" s="234"/>
      <c r="DE58" s="234"/>
      <c r="DF58" s="234"/>
      <c r="DG58" s="234"/>
      <c r="DH58" s="234"/>
      <c r="DI58" s="234"/>
      <c r="DJ58" s="234"/>
      <c r="DK58" s="234"/>
      <c r="DL58" s="234"/>
      <c r="DM58" s="234"/>
      <c r="DN58" s="234"/>
      <c r="DO58" s="234"/>
      <c r="DP58" s="234"/>
      <c r="DQ58" s="234"/>
      <c r="DR58" s="234"/>
      <c r="DS58" s="234"/>
      <c r="DT58" s="234"/>
      <c r="DU58" s="234"/>
      <c r="DV58" s="234"/>
      <c r="DW58" s="234"/>
      <c r="DX58" s="234"/>
      <c r="DY58" s="234"/>
      <c r="DZ58" s="234"/>
      <c r="EA58" s="234"/>
      <c r="EB58" s="234"/>
      <c r="EC58" s="234"/>
      <c r="ED58" s="234"/>
      <c r="EE58" s="234"/>
      <c r="EF58" s="234"/>
      <c r="EG58" s="234"/>
      <c r="EH58" s="234"/>
      <c r="EI58" s="234"/>
      <c r="EJ58" s="234"/>
      <c r="EK58" s="234"/>
      <c r="EL58" s="234"/>
      <c r="EM58" s="234"/>
      <c r="EN58" s="234"/>
      <c r="EO58" s="234"/>
      <c r="EP58" s="234"/>
      <c r="EQ58" s="234"/>
      <c r="ER58" s="234"/>
      <c r="ES58" s="234"/>
      <c r="ET58" s="234"/>
      <c r="EU58" s="234"/>
      <c r="EV58" s="234"/>
      <c r="EW58" s="234"/>
      <c r="EX58" s="234"/>
      <c r="EY58" s="234"/>
      <c r="EZ58" s="234"/>
      <c r="FA58" s="234"/>
      <c r="FB58" s="234"/>
      <c r="FC58" s="234"/>
      <c r="FD58" s="234"/>
      <c r="FE58" s="234"/>
      <c r="FF58" s="234"/>
      <c r="FG58" s="234"/>
      <c r="FH58" s="234"/>
      <c r="FI58" s="234"/>
      <c r="FJ58" s="234"/>
      <c r="FK58" s="234"/>
      <c r="FL58" s="234"/>
      <c r="FM58" s="234"/>
      <c r="FN58" s="234"/>
      <c r="FO58" s="234"/>
      <c r="FP58" s="234"/>
      <c r="FQ58" s="234"/>
      <c r="FR58" s="123"/>
      <c r="FS58" s="123"/>
      <c r="FT58" s="123"/>
      <c r="FU58" s="123"/>
      <c r="FV58" s="123"/>
    </row>
    <row r="59" spans="7:178" ht="15.75" customHeight="1" x14ac:dyDescent="0.2">
      <c r="G59" s="234"/>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234"/>
      <c r="AI59" s="234"/>
      <c r="AJ59" s="234"/>
      <c r="AK59" s="234"/>
      <c r="AL59" s="234"/>
      <c r="AM59" s="234"/>
      <c r="AN59" s="234"/>
      <c r="AO59" s="234"/>
      <c r="AP59" s="234"/>
      <c r="AQ59" s="234"/>
      <c r="AR59" s="234"/>
      <c r="AS59" s="234"/>
      <c r="AT59" s="234"/>
      <c r="AU59" s="234"/>
      <c r="AV59" s="234"/>
      <c r="AW59" s="234"/>
      <c r="AX59" s="234"/>
      <c r="AY59" s="234"/>
      <c r="AZ59" s="234"/>
      <c r="BA59" s="234"/>
      <c r="BB59" s="234"/>
      <c r="BC59" s="234"/>
      <c r="BD59" s="234"/>
      <c r="BE59" s="234"/>
      <c r="BF59" s="234"/>
      <c r="BG59" s="234"/>
      <c r="BH59" s="234"/>
      <c r="BI59" s="234"/>
      <c r="BJ59" s="234"/>
      <c r="BK59" s="234"/>
      <c r="BL59" s="234"/>
      <c r="BM59" s="234"/>
      <c r="BN59" s="234"/>
      <c r="BO59" s="234"/>
      <c r="BP59" s="234"/>
      <c r="BQ59" s="234"/>
      <c r="BR59" s="234"/>
      <c r="BS59" s="234"/>
      <c r="BT59" s="234"/>
      <c r="BU59" s="234"/>
      <c r="BV59" s="234"/>
      <c r="BW59" s="234"/>
      <c r="BX59" s="234"/>
      <c r="BY59" s="234"/>
      <c r="BZ59" s="234"/>
      <c r="CA59" s="234"/>
      <c r="CB59" s="234"/>
      <c r="CC59" s="234"/>
      <c r="CD59" s="234"/>
      <c r="CE59" s="234"/>
      <c r="CF59" s="234"/>
      <c r="CG59" s="234"/>
      <c r="CH59" s="234"/>
      <c r="CI59" s="234"/>
      <c r="CJ59" s="234"/>
      <c r="CK59" s="234"/>
      <c r="CL59" s="234"/>
      <c r="CM59" s="234"/>
      <c r="CN59" s="234"/>
      <c r="CO59" s="234"/>
      <c r="CP59" s="234"/>
      <c r="CQ59" s="234"/>
      <c r="CR59" s="234"/>
      <c r="CS59" s="234"/>
      <c r="CT59" s="234"/>
      <c r="CU59" s="234"/>
      <c r="CV59" s="234"/>
      <c r="CW59" s="234"/>
      <c r="CX59" s="234"/>
      <c r="CY59" s="234"/>
      <c r="CZ59" s="234"/>
      <c r="DA59" s="234"/>
      <c r="DB59" s="234"/>
      <c r="DC59" s="234"/>
      <c r="DD59" s="234"/>
      <c r="DE59" s="234"/>
      <c r="DF59" s="234"/>
      <c r="DG59" s="234"/>
      <c r="DH59" s="234"/>
      <c r="DI59" s="234"/>
      <c r="DJ59" s="234"/>
      <c r="DK59" s="234"/>
      <c r="DL59" s="234"/>
      <c r="DM59" s="234"/>
      <c r="DN59" s="234"/>
      <c r="DO59" s="234"/>
      <c r="DP59" s="234"/>
      <c r="DQ59" s="234"/>
      <c r="DR59" s="234"/>
      <c r="DS59" s="234"/>
      <c r="DT59" s="234"/>
      <c r="DU59" s="234"/>
      <c r="DV59" s="234"/>
      <c r="DW59" s="234"/>
      <c r="DX59" s="234"/>
      <c r="DY59" s="234"/>
      <c r="DZ59" s="234"/>
      <c r="EA59" s="234"/>
      <c r="EB59" s="234"/>
      <c r="EC59" s="234"/>
      <c r="ED59" s="234"/>
      <c r="EE59" s="234"/>
      <c r="EF59" s="234"/>
      <c r="EG59" s="234"/>
      <c r="EH59" s="234"/>
      <c r="EI59" s="234"/>
      <c r="EJ59" s="234"/>
      <c r="EK59" s="234"/>
      <c r="EL59" s="234"/>
      <c r="EM59" s="234"/>
      <c r="EN59" s="234"/>
      <c r="EO59" s="234"/>
      <c r="EP59" s="234"/>
      <c r="EQ59" s="234"/>
      <c r="ER59" s="234"/>
      <c r="ES59" s="234"/>
      <c r="ET59" s="234"/>
      <c r="EU59" s="234"/>
      <c r="EV59" s="234"/>
      <c r="EW59" s="234"/>
      <c r="EX59" s="234"/>
      <c r="EY59" s="234"/>
      <c r="EZ59" s="234"/>
      <c r="FA59" s="234"/>
      <c r="FB59" s="234"/>
      <c r="FC59" s="234"/>
      <c r="FD59" s="234"/>
      <c r="FE59" s="234"/>
      <c r="FF59" s="234"/>
      <c r="FG59" s="234"/>
      <c r="FH59" s="234"/>
      <c r="FI59" s="234"/>
      <c r="FJ59" s="234"/>
      <c r="FK59" s="234"/>
      <c r="FL59" s="234"/>
      <c r="FM59" s="234"/>
      <c r="FN59" s="234"/>
      <c r="FO59" s="234"/>
      <c r="FP59" s="234"/>
      <c r="FQ59" s="234"/>
      <c r="FR59" s="123"/>
      <c r="FS59" s="123"/>
      <c r="FT59" s="123"/>
      <c r="FU59" s="123"/>
      <c r="FV59" s="123"/>
    </row>
    <row r="60" spans="7:178" ht="15.75" customHeight="1" x14ac:dyDescent="0.2">
      <c r="G60" s="234"/>
      <c r="H60" s="234"/>
      <c r="I60" s="234"/>
      <c r="J60" s="234"/>
      <c r="K60" s="234"/>
      <c r="L60" s="234"/>
      <c r="M60" s="234"/>
      <c r="N60" s="234"/>
      <c r="O60" s="234"/>
      <c r="P60" s="234"/>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4"/>
      <c r="AN60" s="234"/>
      <c r="AO60" s="234"/>
      <c r="AP60" s="234"/>
      <c r="AQ60" s="234"/>
      <c r="AR60" s="234"/>
      <c r="AS60" s="234"/>
      <c r="AT60" s="234"/>
      <c r="AU60" s="234"/>
      <c r="AV60" s="234"/>
      <c r="AW60" s="234"/>
      <c r="AX60" s="234"/>
      <c r="AY60" s="234"/>
      <c r="AZ60" s="234"/>
      <c r="BA60" s="234"/>
      <c r="BB60" s="234"/>
      <c r="BC60" s="234"/>
      <c r="BD60" s="234"/>
      <c r="BE60" s="234"/>
      <c r="BF60" s="234"/>
      <c r="BG60" s="234"/>
      <c r="BH60" s="234"/>
      <c r="BI60" s="234"/>
      <c r="BJ60" s="234"/>
      <c r="BK60" s="234"/>
      <c r="BL60" s="234"/>
      <c r="BM60" s="234"/>
      <c r="BN60" s="234"/>
      <c r="BO60" s="234"/>
      <c r="BP60" s="234"/>
      <c r="BQ60" s="234"/>
      <c r="BR60" s="234"/>
      <c r="BS60" s="234"/>
      <c r="BT60" s="234"/>
      <c r="BU60" s="234"/>
      <c r="BV60" s="234"/>
      <c r="BW60" s="234"/>
      <c r="BX60" s="234"/>
      <c r="BY60" s="234"/>
      <c r="BZ60" s="234"/>
      <c r="CA60" s="234"/>
      <c r="CB60" s="234"/>
      <c r="CC60" s="234"/>
      <c r="CD60" s="234"/>
      <c r="CE60" s="234"/>
      <c r="CF60" s="234"/>
      <c r="CG60" s="234"/>
      <c r="CH60" s="234"/>
      <c r="CI60" s="234"/>
      <c r="CJ60" s="234"/>
      <c r="CK60" s="234"/>
      <c r="CL60" s="234"/>
      <c r="CM60" s="234"/>
      <c r="CN60" s="234"/>
      <c r="CO60" s="234"/>
      <c r="CP60" s="234"/>
      <c r="CQ60" s="234"/>
      <c r="CR60" s="234"/>
      <c r="CS60" s="234"/>
      <c r="CT60" s="234"/>
      <c r="CU60" s="234"/>
      <c r="CV60" s="234"/>
      <c r="CW60" s="234"/>
      <c r="CX60" s="234"/>
      <c r="CY60" s="234"/>
      <c r="CZ60" s="234"/>
      <c r="DA60" s="234"/>
      <c r="DB60" s="234"/>
      <c r="DC60" s="234"/>
      <c r="DD60" s="234"/>
      <c r="DE60" s="234"/>
      <c r="DF60" s="234"/>
      <c r="DG60" s="234"/>
      <c r="DH60" s="234"/>
      <c r="DI60" s="234"/>
      <c r="DJ60" s="234"/>
      <c r="DK60" s="234"/>
      <c r="DL60" s="234"/>
      <c r="DM60" s="234"/>
      <c r="DN60" s="234"/>
      <c r="DO60" s="234"/>
      <c r="DP60" s="234"/>
      <c r="DQ60" s="234"/>
      <c r="DR60" s="234"/>
      <c r="DS60" s="234"/>
      <c r="DT60" s="234"/>
      <c r="DU60" s="234"/>
      <c r="DV60" s="234"/>
      <c r="DW60" s="234"/>
      <c r="DX60" s="234"/>
      <c r="DY60" s="234"/>
      <c r="DZ60" s="234"/>
      <c r="EA60" s="234"/>
      <c r="EB60" s="234"/>
      <c r="EC60" s="234"/>
      <c r="ED60" s="234"/>
      <c r="EE60" s="234"/>
      <c r="EF60" s="234"/>
      <c r="EG60" s="234"/>
      <c r="EH60" s="234"/>
      <c r="EI60" s="234"/>
      <c r="EJ60" s="234"/>
      <c r="EK60" s="234"/>
      <c r="EL60" s="234"/>
      <c r="EM60" s="234"/>
      <c r="EN60" s="234"/>
      <c r="EO60" s="234"/>
      <c r="EP60" s="234"/>
      <c r="EQ60" s="234"/>
      <c r="ER60" s="234"/>
      <c r="ES60" s="234"/>
      <c r="ET60" s="234"/>
      <c r="EU60" s="234"/>
      <c r="EV60" s="234"/>
      <c r="EW60" s="234"/>
      <c r="EX60" s="234"/>
      <c r="EY60" s="234"/>
      <c r="EZ60" s="234"/>
      <c r="FA60" s="234"/>
      <c r="FB60" s="234"/>
      <c r="FC60" s="234"/>
      <c r="FD60" s="234"/>
      <c r="FE60" s="234"/>
      <c r="FF60" s="234"/>
      <c r="FG60" s="234"/>
      <c r="FH60" s="234"/>
      <c r="FI60" s="234"/>
      <c r="FJ60" s="234"/>
      <c r="FK60" s="234"/>
      <c r="FL60" s="234"/>
      <c r="FM60" s="234"/>
      <c r="FN60" s="234"/>
      <c r="FO60" s="234"/>
      <c r="FP60" s="234"/>
      <c r="FQ60" s="234"/>
      <c r="FR60" s="123"/>
      <c r="FS60" s="123"/>
      <c r="FT60" s="123"/>
      <c r="FU60" s="123"/>
      <c r="FV60" s="123"/>
    </row>
    <row r="61" spans="7:178" ht="15.75" customHeight="1" x14ac:dyDescent="0.2">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234"/>
      <c r="AH61" s="234"/>
      <c r="AI61" s="234"/>
      <c r="AJ61" s="234"/>
      <c r="AK61" s="234"/>
      <c r="AL61" s="234"/>
      <c r="AM61" s="234"/>
      <c r="AN61" s="234"/>
      <c r="AO61" s="234"/>
      <c r="AP61" s="234"/>
      <c r="AQ61" s="234"/>
      <c r="AR61" s="234"/>
      <c r="AS61" s="234"/>
      <c r="AT61" s="234"/>
      <c r="AU61" s="234"/>
      <c r="AV61" s="234"/>
      <c r="AW61" s="234"/>
      <c r="AX61" s="234"/>
      <c r="AY61" s="234"/>
      <c r="AZ61" s="234"/>
      <c r="BA61" s="234"/>
      <c r="BB61" s="234"/>
      <c r="BC61" s="234"/>
      <c r="BD61" s="234"/>
      <c r="BE61" s="234"/>
      <c r="BF61" s="234"/>
      <c r="BG61" s="234"/>
      <c r="BH61" s="234"/>
      <c r="BI61" s="234"/>
      <c r="BJ61" s="234"/>
      <c r="BK61" s="234"/>
      <c r="BL61" s="234"/>
      <c r="BM61" s="234"/>
      <c r="BN61" s="234"/>
      <c r="BO61" s="234"/>
      <c r="BP61" s="234"/>
      <c r="BQ61" s="234"/>
      <c r="BR61" s="234"/>
      <c r="BS61" s="234"/>
      <c r="BT61" s="234"/>
      <c r="BU61" s="234"/>
      <c r="BV61" s="234"/>
      <c r="BW61" s="234"/>
      <c r="BX61" s="234"/>
      <c r="BY61" s="234"/>
      <c r="BZ61" s="234"/>
      <c r="CA61" s="234"/>
      <c r="CB61" s="234"/>
      <c r="CC61" s="234"/>
      <c r="CD61" s="234"/>
      <c r="CE61" s="234"/>
      <c r="CF61" s="234"/>
      <c r="CG61" s="234"/>
      <c r="CH61" s="234"/>
      <c r="CI61" s="234"/>
      <c r="CJ61" s="234"/>
      <c r="CK61" s="234"/>
      <c r="CL61" s="234"/>
      <c r="CM61" s="234"/>
      <c r="CN61" s="234"/>
      <c r="CO61" s="234"/>
      <c r="CP61" s="234"/>
      <c r="CQ61" s="234"/>
      <c r="CR61" s="234"/>
      <c r="CS61" s="234"/>
      <c r="CT61" s="234"/>
      <c r="CU61" s="234"/>
      <c r="CV61" s="234"/>
      <c r="CW61" s="234"/>
      <c r="CX61" s="234"/>
      <c r="CY61" s="234"/>
      <c r="CZ61" s="234"/>
      <c r="DA61" s="234"/>
      <c r="DB61" s="234"/>
      <c r="DC61" s="234"/>
      <c r="DD61" s="234"/>
      <c r="DE61" s="234"/>
      <c r="DF61" s="234"/>
      <c r="DG61" s="234"/>
      <c r="DH61" s="234"/>
      <c r="DI61" s="234"/>
      <c r="DJ61" s="234"/>
      <c r="DK61" s="234"/>
      <c r="DL61" s="234"/>
      <c r="DM61" s="234"/>
      <c r="DN61" s="234"/>
      <c r="DO61" s="234"/>
      <c r="DP61" s="234"/>
      <c r="DQ61" s="234"/>
      <c r="DR61" s="234"/>
      <c r="DS61" s="234"/>
      <c r="DT61" s="234"/>
      <c r="DU61" s="234"/>
      <c r="DV61" s="234"/>
      <c r="DW61" s="234"/>
      <c r="DX61" s="234"/>
      <c r="DY61" s="234"/>
      <c r="DZ61" s="234"/>
      <c r="EA61" s="234"/>
      <c r="EB61" s="234"/>
      <c r="EC61" s="234"/>
      <c r="ED61" s="234"/>
      <c r="EE61" s="234"/>
      <c r="EF61" s="234"/>
      <c r="EG61" s="234"/>
      <c r="EH61" s="234"/>
      <c r="EI61" s="234"/>
      <c r="EJ61" s="234"/>
      <c r="EK61" s="234"/>
      <c r="EL61" s="234"/>
      <c r="EM61" s="234"/>
      <c r="EN61" s="234"/>
      <c r="EO61" s="234"/>
      <c r="EP61" s="234"/>
      <c r="EQ61" s="234"/>
      <c r="ER61" s="234"/>
      <c r="ES61" s="234"/>
      <c r="ET61" s="234"/>
      <c r="EU61" s="234"/>
      <c r="EV61" s="234"/>
      <c r="EW61" s="234"/>
      <c r="EX61" s="234"/>
      <c r="EY61" s="234"/>
      <c r="EZ61" s="234"/>
      <c r="FA61" s="234"/>
      <c r="FB61" s="234"/>
      <c r="FC61" s="234"/>
      <c r="FD61" s="234"/>
      <c r="FE61" s="234"/>
      <c r="FF61" s="234"/>
      <c r="FG61" s="234"/>
      <c r="FH61" s="234"/>
      <c r="FI61" s="234"/>
      <c r="FJ61" s="234"/>
      <c r="FK61" s="234"/>
      <c r="FL61" s="234"/>
      <c r="FM61" s="234"/>
      <c r="FN61" s="234"/>
      <c r="FO61" s="234"/>
      <c r="FP61" s="234"/>
      <c r="FQ61" s="234"/>
      <c r="FR61" s="123"/>
      <c r="FS61" s="123"/>
      <c r="FT61" s="123"/>
      <c r="FU61" s="123"/>
      <c r="FV61" s="123"/>
    </row>
    <row r="62" spans="7:178" ht="15.75" customHeight="1" x14ac:dyDescent="0.2">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234"/>
      <c r="AI62" s="234"/>
      <c r="AJ62" s="234"/>
      <c r="AK62" s="234"/>
      <c r="AL62" s="234"/>
      <c r="AM62" s="234"/>
      <c r="AN62" s="234"/>
      <c r="AO62" s="234"/>
      <c r="AP62" s="234"/>
      <c r="AQ62" s="234"/>
      <c r="AR62" s="234"/>
      <c r="AS62" s="234"/>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123"/>
      <c r="FS62" s="123"/>
      <c r="FT62" s="123"/>
      <c r="FU62" s="123"/>
      <c r="FV62" s="123"/>
    </row>
    <row r="63" spans="7:178" ht="15.75" customHeight="1" x14ac:dyDescent="0.2">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123"/>
      <c r="FS63" s="123"/>
      <c r="FT63" s="123"/>
      <c r="FU63" s="123"/>
      <c r="FV63" s="123"/>
    </row>
    <row r="64" spans="7:178" ht="15.75" customHeight="1" x14ac:dyDescent="0.2">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c r="CE64" s="234"/>
      <c r="CF64" s="234"/>
      <c r="CG64" s="234"/>
      <c r="CH64" s="234"/>
      <c r="CI64" s="234"/>
      <c r="CJ64" s="234"/>
      <c r="CK64" s="234"/>
      <c r="CL64" s="234"/>
      <c r="CM64" s="234"/>
      <c r="CN64" s="234"/>
      <c r="CO64" s="234"/>
      <c r="CP64" s="234"/>
      <c r="CQ64" s="234"/>
      <c r="CR64" s="234"/>
      <c r="CS64" s="234"/>
      <c r="CT64" s="234"/>
      <c r="CU64" s="234"/>
      <c r="CV64" s="234"/>
      <c r="CW64" s="234"/>
      <c r="CX64" s="234"/>
      <c r="CY64" s="234"/>
      <c r="CZ64" s="234"/>
      <c r="DA64" s="234"/>
      <c r="DB64" s="234"/>
      <c r="DC64" s="234"/>
      <c r="DD64" s="234"/>
      <c r="DE64" s="234"/>
      <c r="DF64" s="234"/>
      <c r="DG64" s="234"/>
      <c r="DH64" s="234"/>
      <c r="DI64" s="234"/>
      <c r="DJ64" s="234"/>
      <c r="DK64" s="234"/>
      <c r="DL64" s="234"/>
      <c r="DM64" s="234"/>
      <c r="DN64" s="234"/>
      <c r="DO64" s="234"/>
      <c r="DP64" s="234"/>
      <c r="DQ64" s="234"/>
      <c r="DR64" s="234"/>
      <c r="DS64" s="234"/>
      <c r="DT64" s="234"/>
      <c r="DU64" s="234"/>
      <c r="DV64" s="234"/>
      <c r="DW64" s="234"/>
      <c r="DX64" s="234"/>
      <c r="DY64" s="234"/>
      <c r="DZ64" s="234"/>
      <c r="EA64" s="234"/>
      <c r="EB64" s="234"/>
      <c r="EC64" s="234"/>
      <c r="ED64" s="234"/>
      <c r="EE64" s="234"/>
      <c r="EF64" s="234"/>
      <c r="EG64" s="234"/>
      <c r="EH64" s="234"/>
      <c r="EI64" s="234"/>
      <c r="EJ64" s="234"/>
      <c r="EK64" s="234"/>
      <c r="EL64" s="234"/>
      <c r="EM64" s="234"/>
      <c r="EN64" s="234"/>
      <c r="EO64" s="234"/>
      <c r="EP64" s="234"/>
      <c r="EQ64" s="234"/>
      <c r="ER64" s="234"/>
      <c r="ES64" s="234"/>
      <c r="ET64" s="234"/>
      <c r="EU64" s="234"/>
      <c r="EV64" s="234"/>
      <c r="EW64" s="234"/>
      <c r="EX64" s="234"/>
      <c r="EY64" s="234"/>
      <c r="EZ64" s="234"/>
      <c r="FA64" s="234"/>
      <c r="FB64" s="234"/>
      <c r="FC64" s="234"/>
      <c r="FD64" s="234"/>
      <c r="FE64" s="234"/>
      <c r="FF64" s="234"/>
      <c r="FG64" s="234"/>
      <c r="FH64" s="234"/>
      <c r="FI64" s="234"/>
      <c r="FJ64" s="234"/>
      <c r="FK64" s="234"/>
      <c r="FL64" s="234"/>
      <c r="FM64" s="234"/>
      <c r="FN64" s="234"/>
      <c r="FO64" s="234"/>
      <c r="FP64" s="234"/>
      <c r="FQ64" s="234"/>
      <c r="FR64" s="123"/>
      <c r="FS64" s="123"/>
      <c r="FT64" s="123"/>
      <c r="FU64" s="123"/>
      <c r="FV64" s="123"/>
    </row>
    <row r="65" spans="7:178" ht="15.75" customHeight="1" x14ac:dyDescent="0.2">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234"/>
      <c r="AK65" s="234"/>
      <c r="AL65" s="234"/>
      <c r="AM65" s="234"/>
      <c r="AN65" s="234"/>
      <c r="AO65" s="234"/>
      <c r="AP65" s="234"/>
      <c r="AQ65" s="234"/>
      <c r="AR65" s="234"/>
      <c r="AS65" s="234"/>
      <c r="AT65" s="234"/>
      <c r="AU65" s="234"/>
      <c r="AV65" s="234"/>
      <c r="AW65" s="234"/>
      <c r="AX65" s="234"/>
      <c r="AY65" s="234"/>
      <c r="AZ65" s="234"/>
      <c r="BA65" s="234"/>
      <c r="BB65" s="234"/>
      <c r="BC65" s="234"/>
      <c r="BD65" s="234"/>
      <c r="BE65" s="234"/>
      <c r="BF65" s="234"/>
      <c r="BG65" s="234"/>
      <c r="BH65" s="234"/>
      <c r="BI65" s="234"/>
      <c r="BJ65" s="234"/>
      <c r="BK65" s="234"/>
      <c r="BL65" s="234"/>
      <c r="BM65" s="234"/>
      <c r="BN65" s="234"/>
      <c r="BO65" s="234"/>
      <c r="BP65" s="234"/>
      <c r="BQ65" s="234"/>
      <c r="BR65" s="234"/>
      <c r="BS65" s="234"/>
      <c r="BT65" s="234"/>
      <c r="BU65" s="234"/>
      <c r="BV65" s="234"/>
      <c r="BW65" s="234"/>
      <c r="BX65" s="234"/>
      <c r="BY65" s="234"/>
      <c r="BZ65" s="234"/>
      <c r="CA65" s="234"/>
      <c r="CB65" s="234"/>
      <c r="CC65" s="234"/>
      <c r="CD65" s="234"/>
      <c r="CE65" s="234"/>
      <c r="CF65" s="234"/>
      <c r="CG65" s="234"/>
      <c r="CH65" s="234"/>
      <c r="CI65" s="234"/>
      <c r="CJ65" s="234"/>
      <c r="CK65" s="234"/>
      <c r="CL65" s="234"/>
      <c r="CM65" s="234"/>
      <c r="CN65" s="234"/>
      <c r="CO65" s="234"/>
      <c r="CP65" s="234"/>
      <c r="CQ65" s="234"/>
      <c r="CR65" s="234"/>
      <c r="CS65" s="234"/>
      <c r="CT65" s="234"/>
      <c r="CU65" s="234"/>
      <c r="CV65" s="234"/>
      <c r="CW65" s="234"/>
      <c r="CX65" s="234"/>
      <c r="CY65" s="234"/>
      <c r="CZ65" s="234"/>
      <c r="DA65" s="234"/>
      <c r="DB65" s="234"/>
      <c r="DC65" s="234"/>
      <c r="DD65" s="234"/>
      <c r="DE65" s="234"/>
      <c r="DF65" s="234"/>
      <c r="DG65" s="234"/>
      <c r="DH65" s="234"/>
      <c r="DI65" s="234"/>
      <c r="DJ65" s="234"/>
      <c r="DK65" s="234"/>
      <c r="DL65" s="234"/>
      <c r="DM65" s="234"/>
      <c r="DN65" s="234"/>
      <c r="DO65" s="234"/>
      <c r="DP65" s="234"/>
      <c r="DQ65" s="234"/>
      <c r="DR65" s="234"/>
      <c r="DS65" s="234"/>
      <c r="DT65" s="234"/>
      <c r="DU65" s="234"/>
      <c r="DV65" s="234"/>
      <c r="DW65" s="234"/>
      <c r="DX65" s="234"/>
      <c r="DY65" s="234"/>
      <c r="DZ65" s="234"/>
      <c r="EA65" s="234"/>
      <c r="EB65" s="234"/>
      <c r="EC65" s="234"/>
      <c r="ED65" s="234"/>
      <c r="EE65" s="234"/>
      <c r="EF65" s="234"/>
      <c r="EG65" s="234"/>
      <c r="EH65" s="234"/>
      <c r="EI65" s="234"/>
      <c r="EJ65" s="234"/>
      <c r="EK65" s="234"/>
      <c r="EL65" s="234"/>
      <c r="EM65" s="234"/>
      <c r="EN65" s="234"/>
      <c r="EO65" s="234"/>
      <c r="EP65" s="234"/>
      <c r="EQ65" s="234"/>
      <c r="ER65" s="234"/>
      <c r="ES65" s="234"/>
      <c r="ET65" s="234"/>
      <c r="EU65" s="234"/>
      <c r="EV65" s="234"/>
      <c r="EW65" s="234"/>
      <c r="EX65" s="234"/>
      <c r="EY65" s="234"/>
      <c r="EZ65" s="234"/>
      <c r="FA65" s="234"/>
      <c r="FB65" s="234"/>
      <c r="FC65" s="234"/>
      <c r="FD65" s="234"/>
      <c r="FE65" s="234"/>
      <c r="FF65" s="234"/>
      <c r="FG65" s="234"/>
      <c r="FH65" s="234"/>
      <c r="FI65" s="234"/>
      <c r="FJ65" s="234"/>
      <c r="FK65" s="234"/>
      <c r="FL65" s="234"/>
      <c r="FM65" s="234"/>
      <c r="FN65" s="234"/>
      <c r="FO65" s="234"/>
      <c r="FP65" s="234"/>
      <c r="FQ65" s="234"/>
      <c r="FR65" s="123"/>
      <c r="FS65" s="123"/>
      <c r="FT65" s="123"/>
      <c r="FU65" s="123"/>
      <c r="FV65" s="123"/>
    </row>
    <row r="66" spans="7:178" ht="15.75" customHeight="1" x14ac:dyDescent="0.2">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123"/>
      <c r="FS66" s="123"/>
      <c r="FT66" s="123"/>
      <c r="FU66" s="123"/>
      <c r="FV66" s="123"/>
    </row>
    <row r="67" spans="7:178" ht="15.75" customHeight="1" x14ac:dyDescent="0.2">
      <c r="G67" s="234"/>
      <c r="H67" s="234"/>
      <c r="I67" s="234"/>
      <c r="J67" s="234"/>
      <c r="K67" s="234"/>
      <c r="L67" s="234"/>
      <c r="M67" s="234"/>
      <c r="N67" s="234"/>
      <c r="O67" s="234"/>
      <c r="P67" s="234"/>
      <c r="Q67" s="234"/>
      <c r="R67" s="234"/>
      <c r="S67" s="234"/>
      <c r="T67" s="234"/>
      <c r="U67" s="234"/>
      <c r="V67" s="234"/>
      <c r="W67" s="234"/>
      <c r="X67" s="234"/>
      <c r="Y67" s="234"/>
      <c r="Z67" s="234"/>
      <c r="AA67" s="234"/>
      <c r="AB67" s="234"/>
      <c r="AC67" s="234"/>
      <c r="AD67" s="234"/>
      <c r="AE67" s="234"/>
      <c r="AF67" s="234"/>
      <c r="AG67" s="234"/>
      <c r="AH67" s="234"/>
      <c r="AI67" s="234"/>
      <c r="AJ67" s="234"/>
      <c r="AK67" s="234"/>
      <c r="AL67" s="234"/>
      <c r="AM67" s="234"/>
      <c r="AN67" s="234"/>
      <c r="AO67" s="234"/>
      <c r="AP67" s="234"/>
      <c r="AQ67" s="234"/>
      <c r="AR67" s="234"/>
      <c r="AS67" s="234"/>
      <c r="AT67" s="234"/>
      <c r="AU67" s="234"/>
      <c r="AV67" s="234"/>
      <c r="AW67" s="234"/>
      <c r="AX67" s="234"/>
      <c r="AY67" s="234"/>
      <c r="AZ67" s="234"/>
      <c r="BA67" s="234"/>
      <c r="BB67" s="234"/>
      <c r="BC67" s="234"/>
      <c r="BD67" s="234"/>
      <c r="BE67" s="234"/>
      <c r="BF67" s="234"/>
      <c r="BG67" s="234"/>
      <c r="BH67" s="234"/>
      <c r="BI67" s="234"/>
      <c r="BJ67" s="234"/>
      <c r="BK67" s="234"/>
      <c r="BL67" s="234"/>
      <c r="BM67" s="234"/>
      <c r="BN67" s="234"/>
      <c r="BO67" s="234"/>
      <c r="BP67" s="234"/>
      <c r="BQ67" s="234"/>
      <c r="BR67" s="234"/>
      <c r="BS67" s="234"/>
      <c r="BT67" s="234"/>
      <c r="BU67" s="234"/>
      <c r="BV67" s="234"/>
      <c r="BW67" s="234"/>
      <c r="BX67" s="234"/>
      <c r="BY67" s="234"/>
      <c r="BZ67" s="234"/>
      <c r="CA67" s="234"/>
      <c r="CB67" s="234"/>
      <c r="CC67" s="234"/>
      <c r="CD67" s="234"/>
      <c r="CE67" s="234"/>
      <c r="CF67" s="234"/>
      <c r="CG67" s="234"/>
      <c r="CH67" s="234"/>
      <c r="CI67" s="234"/>
      <c r="CJ67" s="234"/>
      <c r="CK67" s="234"/>
      <c r="CL67" s="234"/>
      <c r="CM67" s="234"/>
      <c r="CN67" s="234"/>
      <c r="CO67" s="234"/>
      <c r="CP67" s="234"/>
      <c r="CQ67" s="234"/>
      <c r="CR67" s="234"/>
      <c r="CS67" s="234"/>
      <c r="CT67" s="234"/>
      <c r="CU67" s="234"/>
      <c r="CV67" s="234"/>
      <c r="CW67" s="234"/>
      <c r="CX67" s="234"/>
      <c r="CY67" s="234"/>
      <c r="CZ67" s="234"/>
      <c r="DA67" s="234"/>
      <c r="DB67" s="234"/>
      <c r="DC67" s="234"/>
      <c r="DD67" s="234"/>
      <c r="DE67" s="234"/>
      <c r="DF67" s="234"/>
      <c r="DG67" s="234"/>
      <c r="DH67" s="234"/>
      <c r="DI67" s="234"/>
      <c r="DJ67" s="234"/>
      <c r="DK67" s="234"/>
      <c r="DL67" s="234"/>
      <c r="DM67" s="234"/>
      <c r="DN67" s="234"/>
      <c r="DO67" s="234"/>
      <c r="DP67" s="234"/>
      <c r="DQ67" s="234"/>
      <c r="DR67" s="234"/>
      <c r="DS67" s="234"/>
      <c r="DT67" s="234"/>
      <c r="DU67" s="234"/>
      <c r="DV67" s="234"/>
      <c r="DW67" s="234"/>
      <c r="DX67" s="234"/>
      <c r="DY67" s="234"/>
      <c r="DZ67" s="234"/>
      <c r="EA67" s="234"/>
      <c r="EB67" s="234"/>
      <c r="EC67" s="234"/>
      <c r="ED67" s="234"/>
      <c r="EE67" s="234"/>
      <c r="EF67" s="234"/>
      <c r="EG67" s="234"/>
      <c r="EH67" s="234"/>
      <c r="EI67" s="234"/>
      <c r="EJ67" s="234"/>
      <c r="EK67" s="234"/>
      <c r="EL67" s="234"/>
      <c r="EM67" s="234"/>
      <c r="EN67" s="234"/>
      <c r="EO67" s="234"/>
      <c r="EP67" s="234"/>
      <c r="EQ67" s="234"/>
      <c r="ER67" s="234"/>
      <c r="ES67" s="234"/>
      <c r="ET67" s="234"/>
      <c r="EU67" s="234"/>
      <c r="EV67" s="234"/>
      <c r="EW67" s="234"/>
      <c r="EX67" s="234"/>
      <c r="EY67" s="234"/>
      <c r="EZ67" s="234"/>
      <c r="FA67" s="234"/>
      <c r="FB67" s="234"/>
      <c r="FC67" s="234"/>
      <c r="FD67" s="234"/>
      <c r="FE67" s="234"/>
      <c r="FF67" s="234"/>
      <c r="FG67" s="234"/>
      <c r="FH67" s="234"/>
      <c r="FI67" s="234"/>
      <c r="FJ67" s="234"/>
      <c r="FK67" s="234"/>
      <c r="FL67" s="234"/>
      <c r="FM67" s="234"/>
      <c r="FN67" s="234"/>
      <c r="FO67" s="234"/>
      <c r="FP67" s="234"/>
      <c r="FQ67" s="234"/>
      <c r="FR67" s="123"/>
      <c r="FS67" s="123"/>
      <c r="FT67" s="123"/>
      <c r="FU67" s="123"/>
      <c r="FV67" s="123"/>
    </row>
    <row r="68" spans="7:178" ht="15.75" customHeight="1" x14ac:dyDescent="0.2">
      <c r="G68" s="123"/>
      <c r="H68" s="123"/>
      <c r="I68" s="123"/>
      <c r="J68" s="123"/>
      <c r="K68" s="123"/>
      <c r="L68" s="123"/>
      <c r="M68" s="123"/>
      <c r="N68" s="123"/>
      <c r="O68" s="123"/>
      <c r="P68" s="123"/>
      <c r="Q68" s="123"/>
      <c r="R68" s="123"/>
      <c r="S68" s="123"/>
      <c r="T68" s="123"/>
      <c r="U68" s="123"/>
      <c r="V68" s="123"/>
      <c r="W68" s="123"/>
      <c r="X68" s="123"/>
      <c r="Y68" s="123"/>
      <c r="Z68" s="123"/>
      <c r="AA68" s="123"/>
      <c r="AB68" s="123"/>
      <c r="AC68" s="123"/>
      <c r="AD68" s="123"/>
      <c r="AE68" s="123"/>
      <c r="AF68" s="123"/>
      <c r="AG68" s="123"/>
      <c r="AH68" s="123"/>
      <c r="AI68" s="123"/>
      <c r="AJ68" s="123"/>
      <c r="AK68" s="123"/>
      <c r="AL68" s="123"/>
      <c r="AM68" s="123"/>
      <c r="AN68" s="123"/>
      <c r="AO68" s="123"/>
      <c r="AP68" s="123"/>
      <c r="AQ68" s="123"/>
      <c r="AR68" s="123"/>
      <c r="AS68" s="123"/>
      <c r="AT68" s="123"/>
      <c r="AU68" s="123"/>
      <c r="AV68" s="123"/>
      <c r="AW68" s="123"/>
      <c r="AX68" s="123"/>
      <c r="AY68" s="123"/>
      <c r="AZ68" s="123"/>
      <c r="BA68" s="123"/>
      <c r="BB68" s="123"/>
      <c r="BC68" s="123"/>
      <c r="BD68" s="123"/>
      <c r="BE68" s="123"/>
      <c r="BF68" s="123"/>
      <c r="BG68" s="123"/>
      <c r="BH68" s="123"/>
      <c r="BI68" s="123"/>
      <c r="BJ68" s="123"/>
      <c r="BK68" s="123"/>
      <c r="BL68" s="123"/>
      <c r="BM68" s="123"/>
      <c r="BN68" s="123"/>
      <c r="BO68" s="123"/>
      <c r="BP68" s="123"/>
      <c r="BQ68" s="123"/>
      <c r="BR68" s="123"/>
      <c r="BS68" s="123"/>
      <c r="BT68" s="123"/>
      <c r="BU68" s="123"/>
      <c r="BV68" s="123"/>
      <c r="BW68" s="123"/>
      <c r="BX68" s="123"/>
      <c r="BY68" s="123"/>
      <c r="BZ68" s="123"/>
      <c r="CA68" s="123"/>
      <c r="CB68" s="123"/>
      <c r="CC68" s="123"/>
      <c r="CD68" s="123"/>
      <c r="CE68" s="123"/>
      <c r="CF68" s="123"/>
      <c r="CG68" s="123"/>
      <c r="CH68" s="123"/>
      <c r="CI68" s="123"/>
      <c r="CJ68" s="123"/>
      <c r="CK68" s="123"/>
      <c r="CL68" s="123"/>
      <c r="CM68" s="123"/>
      <c r="CN68" s="123"/>
      <c r="CO68" s="123"/>
      <c r="CP68" s="123"/>
      <c r="CQ68" s="123"/>
      <c r="CR68" s="123"/>
      <c r="CS68" s="123"/>
      <c r="CT68" s="123"/>
      <c r="CU68" s="123"/>
      <c r="CV68" s="123"/>
      <c r="CW68" s="123"/>
      <c r="CX68" s="123"/>
      <c r="CY68" s="123"/>
      <c r="CZ68" s="123"/>
      <c r="DA68" s="123"/>
      <c r="DB68" s="123"/>
      <c r="DC68" s="123"/>
      <c r="DD68" s="123"/>
      <c r="DE68" s="123"/>
      <c r="DF68" s="123"/>
      <c r="DG68" s="123"/>
      <c r="DH68" s="123"/>
      <c r="DI68" s="123"/>
      <c r="DJ68" s="123"/>
      <c r="DK68" s="123"/>
      <c r="DL68" s="123"/>
      <c r="DM68" s="123"/>
      <c r="DN68" s="123"/>
      <c r="DO68" s="123"/>
      <c r="DP68" s="123"/>
      <c r="DQ68" s="123"/>
      <c r="DR68" s="123"/>
      <c r="DS68" s="123"/>
      <c r="DT68" s="123"/>
      <c r="DU68" s="123"/>
      <c r="DV68" s="123"/>
      <c r="DW68" s="123"/>
      <c r="DX68" s="123"/>
      <c r="DY68" s="123"/>
      <c r="DZ68" s="123"/>
      <c r="EA68" s="123"/>
      <c r="EB68" s="123"/>
      <c r="EC68" s="123"/>
      <c r="ED68" s="123"/>
      <c r="EE68" s="123"/>
      <c r="EF68" s="123"/>
      <c r="EG68" s="123"/>
      <c r="EH68" s="123"/>
      <c r="EI68" s="123"/>
      <c r="EJ68" s="123"/>
      <c r="EK68" s="123"/>
      <c r="EL68" s="123"/>
      <c r="EM68" s="123"/>
      <c r="EN68" s="123"/>
      <c r="EO68" s="123"/>
      <c r="EP68" s="123"/>
      <c r="EQ68" s="123"/>
      <c r="ER68" s="123"/>
      <c r="ES68" s="123"/>
      <c r="ET68" s="123"/>
      <c r="EU68" s="123"/>
      <c r="EV68" s="123"/>
      <c r="EW68" s="123"/>
      <c r="EX68" s="123"/>
      <c r="EY68" s="123"/>
      <c r="EZ68" s="123"/>
      <c r="FA68" s="123"/>
      <c r="FB68" s="123"/>
      <c r="FC68" s="123"/>
      <c r="FD68" s="123"/>
      <c r="FE68" s="123"/>
      <c r="FF68" s="123"/>
      <c r="FG68" s="123"/>
      <c r="FH68" s="123"/>
      <c r="FI68" s="123"/>
      <c r="FJ68" s="123"/>
      <c r="FK68" s="123"/>
      <c r="FL68" s="123"/>
      <c r="FM68" s="123"/>
      <c r="FN68" s="123"/>
      <c r="FO68" s="123"/>
      <c r="FP68" s="123"/>
      <c r="FQ68" s="123"/>
      <c r="FR68" s="123"/>
      <c r="FS68" s="123"/>
      <c r="FT68" s="123"/>
      <c r="FU68" s="123"/>
      <c r="FV68" s="123"/>
    </row>
    <row r="69" spans="7:178" ht="15.75" customHeight="1" x14ac:dyDescent="0.2"/>
    <row r="70" spans="7:178" ht="15.75" customHeight="1" x14ac:dyDescent="0.2"/>
    <row r="71" spans="7:178" ht="15.75" customHeight="1" x14ac:dyDescent="0.2"/>
    <row r="72" spans="7:178" ht="15.75" customHeight="1" x14ac:dyDescent="0.2"/>
    <row r="73" spans="7:178" ht="15.75" customHeight="1" x14ac:dyDescent="0.2"/>
    <row r="74" spans="7:178" ht="15.75" customHeight="1" x14ac:dyDescent="0.2"/>
    <row r="75" spans="7:178" ht="15.75" customHeight="1" x14ac:dyDescent="0.2"/>
    <row r="76" spans="7:178" ht="15.75" customHeight="1" x14ac:dyDescent="0.2"/>
    <row r="77" spans="7:178" ht="15.75" customHeight="1" x14ac:dyDescent="0.2"/>
    <row r="78" spans="7:178" ht="15.75" customHeight="1" x14ac:dyDescent="0.2"/>
    <row r="79" spans="7:178" ht="15.75" customHeight="1" x14ac:dyDescent="0.2"/>
    <row r="80" spans="7:178" ht="15.75" customHeight="1" x14ac:dyDescent="0.2"/>
    <row r="81" customFormat="1" ht="15.75" customHeight="1" x14ac:dyDescent="0.2"/>
    <row r="82" customFormat="1" ht="15.75" customHeight="1" x14ac:dyDescent="0.2"/>
    <row r="83" customFormat="1" ht="15.75" customHeight="1" x14ac:dyDescent="0.2"/>
    <row r="84" customFormat="1" ht="15.75" customHeight="1" x14ac:dyDescent="0.2"/>
    <row r="85" customFormat="1" ht="15.75" customHeight="1" x14ac:dyDescent="0.2"/>
    <row r="86" customFormat="1" ht="15.75" customHeight="1" x14ac:dyDescent="0.2"/>
    <row r="87" customFormat="1" ht="15.75" customHeight="1" x14ac:dyDescent="0.2"/>
    <row r="88" customFormat="1" ht="15.75" customHeight="1" x14ac:dyDescent="0.2"/>
    <row r="89" customFormat="1" ht="15.75" customHeight="1" x14ac:dyDescent="0.2"/>
    <row r="90" customFormat="1" ht="15.75" customHeight="1" x14ac:dyDescent="0.2"/>
    <row r="91" customFormat="1" ht="15.75" customHeight="1" x14ac:dyDescent="0.2"/>
    <row r="92" customFormat="1" ht="15.75" customHeight="1" x14ac:dyDescent="0.2"/>
    <row r="93" customFormat="1" ht="15.75" customHeight="1" x14ac:dyDescent="0.2"/>
    <row r="94" customFormat="1" ht="15.75" customHeight="1" x14ac:dyDescent="0.2"/>
    <row r="95" customFormat="1" ht="15.75" customHeight="1" x14ac:dyDescent="0.2"/>
    <row r="96" customFormat="1" ht="15.75" customHeight="1" x14ac:dyDescent="0.2"/>
    <row r="97" customFormat="1" ht="15.75" customHeight="1" x14ac:dyDescent="0.2"/>
    <row r="98" customFormat="1" ht="15.75" customHeight="1" x14ac:dyDescent="0.2"/>
    <row r="99" customFormat="1" ht="15.75" customHeight="1" x14ac:dyDescent="0.2"/>
    <row r="100" customFormat="1" ht="15.75" customHeight="1" x14ac:dyDescent="0.2"/>
    <row r="101" customFormat="1" ht="15.75" customHeight="1" x14ac:dyDescent="0.2"/>
    <row r="102" customFormat="1" ht="15.75" customHeight="1" x14ac:dyDescent="0.2"/>
    <row r="103" customFormat="1" ht="15.75" customHeight="1" x14ac:dyDescent="0.2"/>
    <row r="104" customFormat="1" ht="15.75" customHeight="1" x14ac:dyDescent="0.2"/>
    <row r="105" customFormat="1" ht="15.75" customHeight="1" x14ac:dyDescent="0.2"/>
    <row r="106" customFormat="1" ht="15.75" customHeight="1" x14ac:dyDescent="0.2"/>
    <row r="107" customFormat="1" ht="15.75" customHeight="1" x14ac:dyDescent="0.2"/>
    <row r="108" customFormat="1" ht="15.75" customHeight="1" x14ac:dyDescent="0.2"/>
    <row r="109" customFormat="1" ht="15.75" customHeight="1" x14ac:dyDescent="0.2"/>
    <row r="110" customFormat="1" ht="15.75" customHeight="1" x14ac:dyDescent="0.2"/>
    <row r="111" customFormat="1" ht="15.75" customHeight="1" x14ac:dyDescent="0.2"/>
    <row r="112" customFormat="1" ht="15.75" customHeight="1" x14ac:dyDescent="0.2"/>
    <row r="113" customFormat="1" ht="15.75" customHeight="1" x14ac:dyDescent="0.2"/>
    <row r="114" customFormat="1" ht="15.75" customHeight="1" x14ac:dyDescent="0.2"/>
    <row r="115" customFormat="1" ht="15.75" customHeight="1" x14ac:dyDescent="0.2"/>
    <row r="116" customFormat="1" ht="15.75" customHeight="1" x14ac:dyDescent="0.2"/>
    <row r="117" customFormat="1" ht="15.75" customHeight="1" x14ac:dyDescent="0.2"/>
    <row r="118" customFormat="1" ht="15.75" customHeight="1" x14ac:dyDescent="0.2"/>
    <row r="119" customFormat="1" ht="15.75" customHeight="1" x14ac:dyDescent="0.2"/>
    <row r="120" customFormat="1" ht="15.75" customHeight="1" x14ac:dyDescent="0.2"/>
    <row r="121" customFormat="1" ht="15.75" customHeight="1" x14ac:dyDescent="0.2"/>
    <row r="122" customFormat="1" ht="15.75" customHeight="1" x14ac:dyDescent="0.2"/>
    <row r="123" customFormat="1" ht="15.75" customHeight="1" x14ac:dyDescent="0.2"/>
    <row r="124" customFormat="1" ht="15.75" customHeight="1" x14ac:dyDescent="0.2"/>
    <row r="125" customFormat="1" ht="15.75" customHeight="1" x14ac:dyDescent="0.2"/>
    <row r="126" customFormat="1" ht="15.75" customHeight="1" x14ac:dyDescent="0.2"/>
    <row r="127" customFormat="1" ht="15.75" customHeight="1" x14ac:dyDescent="0.2"/>
    <row r="128" customFormat="1" ht="15.75" customHeight="1" x14ac:dyDescent="0.2"/>
    <row r="129" customFormat="1" ht="15.75" customHeight="1" x14ac:dyDescent="0.2"/>
    <row r="130" customFormat="1" ht="15.75" customHeight="1" x14ac:dyDescent="0.2"/>
    <row r="131" customFormat="1" ht="15.75" customHeight="1" x14ac:dyDescent="0.2"/>
    <row r="132" customFormat="1" ht="15.75" customHeight="1" x14ac:dyDescent="0.2"/>
    <row r="133" customFormat="1" ht="15.75" customHeight="1" x14ac:dyDescent="0.2"/>
    <row r="134" customFormat="1" ht="15.75" customHeight="1" x14ac:dyDescent="0.2"/>
    <row r="135" customFormat="1" ht="15.75" customHeight="1" x14ac:dyDescent="0.2"/>
    <row r="136" customFormat="1" ht="15.75" customHeight="1" x14ac:dyDescent="0.2"/>
    <row r="137" customFormat="1" ht="15.75" customHeight="1" x14ac:dyDescent="0.2"/>
    <row r="138" customFormat="1" ht="15.75" customHeight="1" x14ac:dyDescent="0.2"/>
    <row r="139" customFormat="1" ht="15.75" customHeight="1" x14ac:dyDescent="0.2"/>
    <row r="140" customFormat="1" ht="15.75" customHeight="1" x14ac:dyDescent="0.2"/>
    <row r="141" customFormat="1" ht="15.75" customHeight="1" x14ac:dyDescent="0.2"/>
    <row r="142" customFormat="1" ht="15.75" customHeight="1" x14ac:dyDescent="0.2"/>
    <row r="143" customFormat="1" ht="15.75" customHeight="1" x14ac:dyDescent="0.2"/>
    <row r="144" customFormat="1" ht="15.75" customHeight="1" x14ac:dyDescent="0.2"/>
    <row r="145" customFormat="1" ht="15.75" customHeight="1" x14ac:dyDescent="0.2"/>
    <row r="146" customFormat="1" ht="15.75" customHeight="1" x14ac:dyDescent="0.2"/>
    <row r="147" customFormat="1" ht="15.75" customHeight="1" x14ac:dyDescent="0.2"/>
    <row r="148" customFormat="1" ht="15.75" customHeight="1" x14ac:dyDescent="0.2"/>
    <row r="149" customFormat="1" ht="15.75" customHeight="1" x14ac:dyDescent="0.2"/>
    <row r="150" customFormat="1" ht="15.75" customHeight="1" x14ac:dyDescent="0.2"/>
    <row r="151" customFormat="1" ht="15.75" customHeight="1" x14ac:dyDescent="0.2"/>
    <row r="152" customFormat="1" ht="15.75" customHeight="1" x14ac:dyDescent="0.2"/>
    <row r="153" customFormat="1" ht="15.75" customHeight="1" x14ac:dyDescent="0.2"/>
    <row r="154" customFormat="1" ht="15.75" customHeight="1" x14ac:dyDescent="0.2"/>
    <row r="155" customFormat="1" ht="15.75" customHeight="1" x14ac:dyDescent="0.2"/>
    <row r="156" customFormat="1" ht="15.75" customHeight="1" x14ac:dyDescent="0.2"/>
    <row r="157" customFormat="1" ht="15.75" customHeight="1" x14ac:dyDescent="0.2"/>
    <row r="158" customFormat="1" ht="15.75" customHeight="1" x14ac:dyDescent="0.2"/>
    <row r="159" customFormat="1" ht="15.75" customHeight="1" x14ac:dyDescent="0.2"/>
    <row r="160" customFormat="1" ht="15.75" customHeight="1" x14ac:dyDescent="0.2"/>
    <row r="161" customFormat="1" ht="15.75" customHeight="1" x14ac:dyDescent="0.2"/>
    <row r="162" customFormat="1" ht="15.75" customHeight="1" x14ac:dyDescent="0.2"/>
    <row r="163" customFormat="1" ht="15.75" customHeight="1" x14ac:dyDescent="0.2"/>
    <row r="164" customFormat="1" ht="15.75" customHeight="1" x14ac:dyDescent="0.2"/>
    <row r="165" customFormat="1" ht="15.75" customHeight="1" x14ac:dyDescent="0.2"/>
    <row r="166" customFormat="1" ht="15.75" customHeight="1" x14ac:dyDescent="0.2"/>
    <row r="167" customFormat="1" ht="15.75" customHeight="1" x14ac:dyDescent="0.2"/>
    <row r="168" customFormat="1" ht="15.75" customHeight="1" x14ac:dyDescent="0.2"/>
    <row r="169" customFormat="1" ht="15.75" customHeight="1" x14ac:dyDescent="0.2"/>
    <row r="170" customFormat="1" ht="15.75" customHeight="1" x14ac:dyDescent="0.2"/>
    <row r="171" customFormat="1" ht="15.75" customHeight="1" x14ac:dyDescent="0.2"/>
    <row r="172" customFormat="1" ht="15.75" customHeight="1" x14ac:dyDescent="0.2"/>
    <row r="173" customFormat="1" ht="15.75" customHeight="1" x14ac:dyDescent="0.2"/>
    <row r="174" customFormat="1" ht="15.75" customHeight="1" x14ac:dyDescent="0.2"/>
    <row r="175" customFormat="1" ht="15.75" customHeight="1" x14ac:dyDescent="0.2"/>
    <row r="176" customFormat="1" ht="15.75" customHeight="1" x14ac:dyDescent="0.2"/>
    <row r="177" customFormat="1" ht="15.75" customHeight="1" x14ac:dyDescent="0.2"/>
    <row r="178" customFormat="1" ht="15.75" customHeight="1" x14ac:dyDescent="0.2"/>
    <row r="179" customFormat="1" ht="15.75" customHeight="1" x14ac:dyDescent="0.2"/>
    <row r="180" customFormat="1" ht="15.75" customHeight="1" x14ac:dyDescent="0.2"/>
    <row r="181" customFormat="1" ht="15.75" customHeight="1" x14ac:dyDescent="0.2"/>
    <row r="182" customFormat="1" ht="15.75" customHeight="1" x14ac:dyDescent="0.2"/>
    <row r="183" customFormat="1" ht="15.75" customHeight="1" x14ac:dyDescent="0.2"/>
    <row r="184" customFormat="1" ht="15.75" customHeight="1" x14ac:dyDescent="0.2"/>
    <row r="185" customFormat="1" ht="15.75" customHeight="1" x14ac:dyDescent="0.2"/>
    <row r="186" customFormat="1" ht="15.75" customHeight="1" x14ac:dyDescent="0.2"/>
    <row r="187" customFormat="1" ht="15.75" customHeight="1" x14ac:dyDescent="0.2"/>
    <row r="188" customFormat="1" ht="15.75" customHeight="1" x14ac:dyDescent="0.2"/>
    <row r="189" customFormat="1" ht="15.75" customHeight="1" x14ac:dyDescent="0.2"/>
    <row r="190" customFormat="1" ht="15.75" customHeight="1" x14ac:dyDescent="0.2"/>
    <row r="191" customFormat="1" ht="15.75" customHeight="1" x14ac:dyDescent="0.2"/>
    <row r="192" customFormat="1" ht="15.75" customHeight="1" x14ac:dyDescent="0.2"/>
    <row r="193" customFormat="1" ht="15.75" customHeight="1" x14ac:dyDescent="0.2"/>
    <row r="194" customFormat="1" ht="15.75" customHeight="1" x14ac:dyDescent="0.2"/>
    <row r="195" customFormat="1" ht="15.75" customHeight="1" x14ac:dyDescent="0.2"/>
    <row r="196" customFormat="1" ht="15.75" customHeight="1" x14ac:dyDescent="0.2"/>
    <row r="197" customFormat="1" ht="15.75" customHeight="1" x14ac:dyDescent="0.2"/>
    <row r="198" customFormat="1" ht="15.75" customHeight="1" x14ac:dyDescent="0.2"/>
    <row r="199" customFormat="1" ht="15.75" customHeight="1" x14ac:dyDescent="0.2"/>
    <row r="200" customFormat="1" ht="15.75" customHeight="1" x14ac:dyDescent="0.2"/>
    <row r="201" customFormat="1" ht="15.75" customHeight="1" x14ac:dyDescent="0.2"/>
    <row r="202" customFormat="1" ht="15.75" customHeight="1" x14ac:dyDescent="0.2"/>
    <row r="203" customFormat="1" ht="15.75" customHeight="1" x14ac:dyDescent="0.2"/>
    <row r="204" customFormat="1" ht="15.75" customHeight="1" x14ac:dyDescent="0.2"/>
    <row r="205" customFormat="1" ht="15.75" customHeight="1" x14ac:dyDescent="0.2"/>
    <row r="206" customFormat="1" ht="15.75" customHeight="1" x14ac:dyDescent="0.2"/>
    <row r="207" customFormat="1" ht="15.75" customHeight="1" x14ac:dyDescent="0.2"/>
    <row r="208" customFormat="1" ht="15.75" customHeight="1" x14ac:dyDescent="0.2"/>
    <row r="209" customFormat="1" ht="15.75" customHeight="1" x14ac:dyDescent="0.2"/>
    <row r="210" customFormat="1" ht="15.75" customHeight="1" x14ac:dyDescent="0.2"/>
    <row r="211" customFormat="1" ht="15.75" customHeight="1" x14ac:dyDescent="0.2"/>
    <row r="212" customFormat="1" ht="15.75" customHeight="1" x14ac:dyDescent="0.2"/>
    <row r="213" customFormat="1" ht="15.75" customHeight="1" x14ac:dyDescent="0.2"/>
    <row r="214" customFormat="1" ht="15.75" customHeight="1" x14ac:dyDescent="0.2"/>
    <row r="215" customFormat="1" ht="15.75" customHeight="1" x14ac:dyDescent="0.2"/>
    <row r="216" customFormat="1" ht="15.75" customHeight="1" x14ac:dyDescent="0.2"/>
    <row r="217" customFormat="1" ht="15.75" customHeight="1" x14ac:dyDescent="0.2"/>
    <row r="218" customFormat="1" ht="15.75" customHeight="1" x14ac:dyDescent="0.2"/>
    <row r="219" customFormat="1" ht="15.75" customHeight="1" x14ac:dyDescent="0.2"/>
    <row r="220" customFormat="1" ht="15.75" customHeight="1" x14ac:dyDescent="0.2"/>
    <row r="221" customFormat="1" ht="15.75" customHeight="1" x14ac:dyDescent="0.2"/>
    <row r="222" customFormat="1" ht="15.75" customHeight="1" x14ac:dyDescent="0.2"/>
    <row r="223" customFormat="1" ht="15.75" customHeight="1" x14ac:dyDescent="0.2"/>
    <row r="224" customFormat="1" ht="15.75" customHeight="1" x14ac:dyDescent="0.2"/>
    <row r="225" customFormat="1" ht="15.75" customHeight="1" x14ac:dyDescent="0.2"/>
    <row r="226" customFormat="1" ht="15.75" customHeight="1" x14ac:dyDescent="0.2"/>
    <row r="227" customFormat="1" ht="15.75" customHeight="1" x14ac:dyDescent="0.2"/>
    <row r="228" customFormat="1" ht="15.75" customHeight="1" x14ac:dyDescent="0.2"/>
    <row r="229" customFormat="1" ht="15.75" customHeight="1" x14ac:dyDescent="0.2"/>
    <row r="230" customFormat="1" ht="15.75" customHeight="1" x14ac:dyDescent="0.2"/>
    <row r="231" customFormat="1" ht="15.75" customHeight="1" x14ac:dyDescent="0.2"/>
    <row r="232" customFormat="1" ht="15.75" customHeight="1" x14ac:dyDescent="0.2"/>
    <row r="233" customFormat="1" ht="15.75" customHeight="1" x14ac:dyDescent="0.2"/>
    <row r="234" customFormat="1" ht="15.75" customHeight="1" x14ac:dyDescent="0.2"/>
    <row r="235" customFormat="1" ht="15.75" customHeight="1" x14ac:dyDescent="0.2"/>
    <row r="236" customFormat="1" ht="15.75" customHeight="1" x14ac:dyDescent="0.2"/>
    <row r="237" customFormat="1" ht="15.75" customHeight="1" x14ac:dyDescent="0.2"/>
    <row r="238" customFormat="1" ht="15.75" customHeight="1" x14ac:dyDescent="0.2"/>
    <row r="239" customFormat="1" ht="15.75" customHeight="1" x14ac:dyDescent="0.2"/>
    <row r="240" customFormat="1" ht="15.75" customHeight="1" x14ac:dyDescent="0.2"/>
    <row r="241" customFormat="1" ht="15.75" customHeight="1" x14ac:dyDescent="0.2"/>
    <row r="242" customFormat="1" ht="15.75" customHeight="1" x14ac:dyDescent="0.2"/>
    <row r="243" customFormat="1" ht="15.75" customHeight="1" x14ac:dyDescent="0.2"/>
    <row r="244" customFormat="1" ht="15.75" customHeight="1" x14ac:dyDescent="0.2"/>
    <row r="245" customFormat="1" ht="15.75" customHeight="1" x14ac:dyDescent="0.2"/>
    <row r="246" customFormat="1" ht="15.75" customHeight="1" x14ac:dyDescent="0.2"/>
    <row r="247" customFormat="1" ht="15.75" customHeight="1" x14ac:dyDescent="0.2"/>
    <row r="248" customFormat="1" ht="15.75" customHeight="1" x14ac:dyDescent="0.2"/>
    <row r="249" customFormat="1" ht="15.75" customHeight="1" x14ac:dyDescent="0.2"/>
    <row r="250" customFormat="1" ht="15.75" customHeight="1" x14ac:dyDescent="0.2"/>
    <row r="251" customFormat="1" ht="15.75" customHeight="1" x14ac:dyDescent="0.2"/>
    <row r="252" customFormat="1" ht="15.75" customHeight="1" x14ac:dyDescent="0.2"/>
    <row r="253" customFormat="1" ht="15.75" customHeight="1" x14ac:dyDescent="0.2"/>
    <row r="254" customFormat="1" ht="15.75" customHeight="1" x14ac:dyDescent="0.2"/>
    <row r="255" customFormat="1" ht="15.75" customHeight="1" x14ac:dyDescent="0.2"/>
    <row r="256" customFormat="1" ht="15.75" customHeight="1" x14ac:dyDescent="0.2"/>
    <row r="257" customFormat="1" ht="15.75" customHeight="1" x14ac:dyDescent="0.2"/>
    <row r="258" customFormat="1" ht="15.75" customHeight="1" x14ac:dyDescent="0.2"/>
    <row r="259" customFormat="1" ht="15.75" customHeight="1" x14ac:dyDescent="0.2"/>
    <row r="260" customFormat="1" ht="15.75" customHeight="1" x14ac:dyDescent="0.2"/>
    <row r="261" customFormat="1" ht="15.75" customHeight="1" x14ac:dyDescent="0.2"/>
    <row r="262" customFormat="1" ht="15.75" customHeight="1" x14ac:dyDescent="0.2"/>
    <row r="263" customFormat="1" ht="15.75" customHeight="1" x14ac:dyDescent="0.2"/>
    <row r="264" customFormat="1" ht="15.75" customHeight="1" x14ac:dyDescent="0.2"/>
    <row r="265" customFormat="1" ht="15.75" customHeight="1" x14ac:dyDescent="0.2"/>
    <row r="266" customFormat="1" ht="15.75" customHeight="1" x14ac:dyDescent="0.2"/>
    <row r="267" customFormat="1" ht="15.75" customHeight="1" x14ac:dyDescent="0.2"/>
    <row r="268" customFormat="1" ht="15.75" customHeight="1" x14ac:dyDescent="0.2"/>
    <row r="269" customFormat="1" ht="15.75" customHeight="1" x14ac:dyDescent="0.2"/>
    <row r="270" customFormat="1" ht="15.75" customHeight="1" x14ac:dyDescent="0.2"/>
    <row r="271" customFormat="1" ht="15.75" customHeight="1" x14ac:dyDescent="0.2"/>
    <row r="272" customFormat="1" ht="15.75" customHeight="1" x14ac:dyDescent="0.2"/>
    <row r="273" customFormat="1" ht="15.75" customHeight="1" x14ac:dyDescent="0.2"/>
    <row r="274" customFormat="1" ht="15.75" customHeight="1" x14ac:dyDescent="0.2"/>
    <row r="275" customFormat="1" ht="15.75" customHeight="1" x14ac:dyDescent="0.2"/>
    <row r="276" customFormat="1" ht="15.75" customHeight="1" x14ac:dyDescent="0.2"/>
    <row r="277" customFormat="1" ht="15.75" customHeight="1" x14ac:dyDescent="0.2"/>
    <row r="278" customFormat="1" ht="15.75" customHeight="1" x14ac:dyDescent="0.2"/>
    <row r="279" customFormat="1" ht="15.75" customHeight="1" x14ac:dyDescent="0.2"/>
    <row r="280" customFormat="1" ht="15.75" customHeight="1" x14ac:dyDescent="0.2"/>
    <row r="281" customFormat="1" ht="15.75" customHeight="1" x14ac:dyDescent="0.2"/>
    <row r="282" customFormat="1" ht="15.75" customHeight="1" x14ac:dyDescent="0.2"/>
    <row r="283" customFormat="1" ht="15.75" customHeight="1" x14ac:dyDescent="0.2"/>
    <row r="284" customFormat="1" ht="15.75" customHeight="1" x14ac:dyDescent="0.2"/>
    <row r="285" customFormat="1" ht="15.75" customHeight="1" x14ac:dyDescent="0.2"/>
    <row r="286" customFormat="1" ht="15.75" customHeight="1" x14ac:dyDescent="0.2"/>
    <row r="287" customFormat="1" ht="15.75" customHeight="1" x14ac:dyDescent="0.2"/>
    <row r="288" customFormat="1" ht="15.75" customHeight="1" x14ac:dyDescent="0.2"/>
    <row r="289" customFormat="1" ht="15.75" customHeight="1" x14ac:dyDescent="0.2"/>
    <row r="290" customFormat="1" ht="15.75" customHeight="1" x14ac:dyDescent="0.2"/>
    <row r="291" customFormat="1" ht="15.75" customHeight="1" x14ac:dyDescent="0.2"/>
    <row r="292" customFormat="1" ht="15.75" customHeight="1" x14ac:dyDescent="0.2"/>
    <row r="293" customFormat="1" ht="15.75" customHeight="1" x14ac:dyDescent="0.2"/>
    <row r="294" customFormat="1" ht="15.75" customHeight="1" x14ac:dyDescent="0.2"/>
    <row r="295" customFormat="1" ht="15.75" customHeight="1" x14ac:dyDescent="0.2"/>
    <row r="296" customFormat="1" ht="15.75" customHeight="1" x14ac:dyDescent="0.2"/>
    <row r="297" customFormat="1" ht="15.75" customHeight="1" x14ac:dyDescent="0.2"/>
    <row r="298" customFormat="1" ht="15.75" customHeight="1" x14ac:dyDescent="0.2"/>
    <row r="299" customFormat="1" ht="15.75" customHeight="1" x14ac:dyDescent="0.2"/>
    <row r="300" customFormat="1" ht="15.75" customHeight="1" x14ac:dyDescent="0.2"/>
    <row r="301" customFormat="1" ht="15.75" customHeight="1" x14ac:dyDescent="0.2"/>
    <row r="302" customFormat="1" ht="15.75" customHeight="1" x14ac:dyDescent="0.2"/>
    <row r="303" customFormat="1" ht="15.75" customHeight="1" x14ac:dyDescent="0.2"/>
    <row r="304" customFormat="1" ht="15.75" customHeight="1" x14ac:dyDescent="0.2"/>
    <row r="305" customFormat="1" ht="15.75" customHeight="1" x14ac:dyDescent="0.2"/>
    <row r="306" customFormat="1" ht="15.75" customHeight="1" x14ac:dyDescent="0.2"/>
    <row r="307" customFormat="1" ht="15.75" customHeight="1" x14ac:dyDescent="0.2"/>
    <row r="308" customFormat="1" ht="15.75" customHeight="1" x14ac:dyDescent="0.2"/>
    <row r="309" customFormat="1" ht="15.75" customHeight="1" x14ac:dyDescent="0.2"/>
    <row r="310" customFormat="1" ht="15.75" customHeight="1" x14ac:dyDescent="0.2"/>
    <row r="311" customFormat="1" ht="15.75" customHeight="1" x14ac:dyDescent="0.2"/>
    <row r="312" customFormat="1" ht="15.75" customHeight="1" x14ac:dyDescent="0.2"/>
    <row r="313" customFormat="1" ht="15.75" customHeight="1" x14ac:dyDescent="0.2"/>
    <row r="314" customFormat="1" ht="15.75" customHeight="1" x14ac:dyDescent="0.2"/>
    <row r="315" customFormat="1" ht="15.75" customHeight="1" x14ac:dyDescent="0.2"/>
    <row r="316" customFormat="1" ht="15.75" customHeight="1" x14ac:dyDescent="0.2"/>
    <row r="317" customFormat="1" ht="15.75" customHeight="1" x14ac:dyDescent="0.2"/>
    <row r="318" customFormat="1" ht="15.75" customHeight="1" x14ac:dyDescent="0.2"/>
    <row r="319" customFormat="1" ht="15.75" customHeight="1" x14ac:dyDescent="0.2"/>
    <row r="320" customFormat="1"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row r="907" customFormat="1" ht="15.75" customHeight="1" x14ac:dyDescent="0.2"/>
    <row r="908" customFormat="1" ht="15.75" customHeight="1" x14ac:dyDescent="0.2"/>
    <row r="909" customFormat="1" ht="15.75" customHeight="1" x14ac:dyDescent="0.2"/>
    <row r="910" customFormat="1" ht="15.75" customHeight="1" x14ac:dyDescent="0.2"/>
    <row r="911" customFormat="1" ht="15.75" customHeight="1" x14ac:dyDescent="0.2"/>
    <row r="912" customFormat="1" ht="15.75" customHeight="1" x14ac:dyDescent="0.2"/>
    <row r="913" customFormat="1" ht="15.75" customHeight="1" x14ac:dyDescent="0.2"/>
    <row r="914" customFormat="1" ht="15.75" customHeight="1" x14ac:dyDescent="0.2"/>
    <row r="915" customFormat="1" ht="15.75" customHeight="1" x14ac:dyDescent="0.2"/>
    <row r="916" customFormat="1" ht="15.75" customHeight="1" x14ac:dyDescent="0.2"/>
    <row r="917" customFormat="1" ht="15.75" customHeight="1" x14ac:dyDescent="0.2"/>
    <row r="918" customFormat="1" ht="15.75" customHeight="1" x14ac:dyDescent="0.2"/>
    <row r="919" customFormat="1" ht="15.75" customHeight="1" x14ac:dyDescent="0.2"/>
    <row r="920" customFormat="1" ht="15.75" customHeight="1" x14ac:dyDescent="0.2"/>
    <row r="921" customFormat="1" ht="15.75" customHeight="1" x14ac:dyDescent="0.2"/>
    <row r="922" customFormat="1" ht="15.75" customHeight="1" x14ac:dyDescent="0.2"/>
    <row r="923" customFormat="1" ht="15.75" customHeight="1" x14ac:dyDescent="0.2"/>
    <row r="924" customFormat="1" ht="15.75" customHeight="1" x14ac:dyDescent="0.2"/>
    <row r="925" customFormat="1" ht="15.75" customHeight="1" x14ac:dyDescent="0.2"/>
    <row r="926" customFormat="1" ht="15.75" customHeight="1" x14ac:dyDescent="0.2"/>
    <row r="927" customFormat="1" ht="15.75" customHeight="1" x14ac:dyDescent="0.2"/>
    <row r="928" customFormat="1" ht="15.75" customHeight="1" x14ac:dyDescent="0.2"/>
    <row r="929" customFormat="1" ht="15.75" customHeight="1" x14ac:dyDescent="0.2"/>
    <row r="930" customFormat="1" ht="15.75" customHeight="1" x14ac:dyDescent="0.2"/>
    <row r="931" customFormat="1" ht="15.75" customHeight="1" x14ac:dyDescent="0.2"/>
    <row r="932" customFormat="1" ht="15.75" customHeight="1" x14ac:dyDescent="0.2"/>
    <row r="933" customFormat="1" ht="15.75" customHeight="1" x14ac:dyDescent="0.2"/>
    <row r="934" customFormat="1" ht="15.75" customHeight="1" x14ac:dyDescent="0.2"/>
    <row r="935" customFormat="1" ht="15.75" customHeight="1" x14ac:dyDescent="0.2"/>
    <row r="936" customFormat="1" ht="15.75" customHeight="1" x14ac:dyDescent="0.2"/>
    <row r="937" customFormat="1" ht="15.75" customHeight="1" x14ac:dyDescent="0.2"/>
    <row r="938" customFormat="1" ht="15.75" customHeight="1" x14ac:dyDescent="0.2"/>
    <row r="939" customFormat="1" ht="15.75" customHeight="1" x14ac:dyDescent="0.2"/>
    <row r="940" customFormat="1" ht="15.75" customHeight="1" x14ac:dyDescent="0.2"/>
    <row r="941" customFormat="1" ht="15.75" customHeight="1" x14ac:dyDescent="0.2"/>
    <row r="942" customFormat="1" ht="15.75" customHeight="1" x14ac:dyDescent="0.2"/>
    <row r="943" customFormat="1" ht="15.75" customHeight="1" x14ac:dyDescent="0.2"/>
    <row r="944" customFormat="1" ht="15.75" customHeight="1" x14ac:dyDescent="0.2"/>
    <row r="945" customFormat="1" ht="15.75" customHeight="1" x14ac:dyDescent="0.2"/>
    <row r="946" customFormat="1" ht="15.75" customHeight="1" x14ac:dyDescent="0.2"/>
    <row r="947" customFormat="1" ht="15.75" customHeight="1" x14ac:dyDescent="0.2"/>
    <row r="948" customFormat="1" ht="15.75" customHeight="1" x14ac:dyDescent="0.2"/>
    <row r="949" customFormat="1" ht="15.75" customHeight="1" x14ac:dyDescent="0.2"/>
    <row r="950" customFormat="1" ht="15.75" customHeight="1" x14ac:dyDescent="0.2"/>
    <row r="951" customFormat="1" ht="15.75" customHeight="1" x14ac:dyDescent="0.2"/>
    <row r="952" customFormat="1" ht="15.75" customHeight="1" x14ac:dyDescent="0.2"/>
    <row r="953" customFormat="1" ht="15.75" customHeight="1" x14ac:dyDescent="0.2"/>
    <row r="954" customFormat="1" ht="15.75" customHeight="1" x14ac:dyDescent="0.2"/>
    <row r="955" customFormat="1" ht="15.75" customHeight="1" x14ac:dyDescent="0.2"/>
    <row r="956" customFormat="1" ht="15.75" customHeight="1" x14ac:dyDescent="0.2"/>
    <row r="957" customFormat="1" ht="15.75" customHeight="1" x14ac:dyDescent="0.2"/>
    <row r="958" customFormat="1" ht="15.75" customHeight="1" x14ac:dyDescent="0.2"/>
    <row r="959" customFormat="1" ht="15.75" customHeight="1" x14ac:dyDescent="0.2"/>
    <row r="960" customFormat="1" ht="15.75" customHeight="1" x14ac:dyDescent="0.2"/>
    <row r="961" customFormat="1" ht="15.75" customHeight="1" x14ac:dyDescent="0.2"/>
    <row r="962" customFormat="1" ht="15.75" customHeight="1" x14ac:dyDescent="0.2"/>
    <row r="963" customFormat="1" ht="15.75" customHeight="1" x14ac:dyDescent="0.2"/>
    <row r="964" customFormat="1" ht="15.75" customHeight="1" x14ac:dyDescent="0.2"/>
    <row r="965" customFormat="1" ht="15.75" customHeight="1" x14ac:dyDescent="0.2"/>
    <row r="966" customFormat="1" ht="15.75" customHeight="1" x14ac:dyDescent="0.2"/>
    <row r="967" customFormat="1" ht="15.75" customHeight="1" x14ac:dyDescent="0.2"/>
    <row r="968" customFormat="1" ht="15.75" customHeight="1" x14ac:dyDescent="0.2"/>
    <row r="969" customFormat="1" ht="15.75" customHeight="1" x14ac:dyDescent="0.2"/>
    <row r="970" customFormat="1" ht="15.75" customHeight="1" x14ac:dyDescent="0.2"/>
    <row r="971" customFormat="1" ht="15.75" customHeight="1" x14ac:dyDescent="0.2"/>
    <row r="972" customFormat="1" ht="15.75" customHeight="1" x14ac:dyDescent="0.2"/>
    <row r="973" customFormat="1" ht="15.75" customHeight="1" x14ac:dyDescent="0.2"/>
    <row r="974" customFormat="1" ht="15.75" customHeight="1" x14ac:dyDescent="0.2"/>
    <row r="975" customFormat="1" ht="15.75" customHeight="1" x14ac:dyDescent="0.2"/>
    <row r="976" customFormat="1" ht="15.75" customHeight="1" x14ac:dyDescent="0.2"/>
    <row r="977" customFormat="1" ht="15.75" customHeight="1" x14ac:dyDescent="0.2"/>
    <row r="978" customFormat="1" ht="15.75" customHeight="1" x14ac:dyDescent="0.2"/>
    <row r="979" customFormat="1" ht="15.75" customHeight="1" x14ac:dyDescent="0.2"/>
    <row r="980" customFormat="1" ht="15.75" customHeight="1" x14ac:dyDescent="0.2"/>
    <row r="981" customFormat="1" ht="15.75" customHeight="1" x14ac:dyDescent="0.2"/>
    <row r="982" customFormat="1" ht="15.75" customHeight="1" x14ac:dyDescent="0.2"/>
    <row r="983" customFormat="1" ht="15.75" customHeight="1" x14ac:dyDescent="0.2"/>
    <row r="984" customFormat="1" ht="15.75" customHeight="1" x14ac:dyDescent="0.2"/>
    <row r="985" customFormat="1" ht="15.75" customHeight="1" x14ac:dyDescent="0.2"/>
    <row r="986" customFormat="1" ht="15.75" customHeight="1" x14ac:dyDescent="0.2"/>
    <row r="987" customFormat="1" ht="15.75" customHeight="1" x14ac:dyDescent="0.2"/>
    <row r="988" customFormat="1" ht="15.75" customHeight="1" x14ac:dyDescent="0.2"/>
    <row r="989" customFormat="1" ht="15.75" customHeight="1" x14ac:dyDescent="0.2"/>
    <row r="990" customFormat="1" ht="15.75" customHeight="1" x14ac:dyDescent="0.2"/>
    <row r="991" customFormat="1" ht="15.75" customHeight="1" x14ac:dyDescent="0.2"/>
    <row r="992" customFormat="1" ht="15.75" customHeight="1" x14ac:dyDescent="0.2"/>
    <row r="993" customFormat="1" ht="15.75" customHeight="1" x14ac:dyDescent="0.2"/>
    <row r="994" customFormat="1" ht="15.75" customHeight="1" x14ac:dyDescent="0.2"/>
    <row r="995" customFormat="1" ht="15.75" customHeight="1" x14ac:dyDescent="0.2"/>
    <row r="996" customFormat="1" ht="15.75" customHeight="1" x14ac:dyDescent="0.2"/>
    <row r="997" customFormat="1" ht="15.75" customHeight="1" x14ac:dyDescent="0.2"/>
    <row r="998" customFormat="1" ht="15.75" customHeight="1" x14ac:dyDescent="0.2"/>
    <row r="999" customFormat="1" ht="15.75" customHeight="1" x14ac:dyDescent="0.2"/>
    <row r="1000" customFormat="1" ht="15.75" customHeight="1" x14ac:dyDescent="0.2"/>
  </sheetData>
  <mergeCells count="6">
    <mergeCell ref="A2:E2"/>
    <mergeCell ref="A3:A4"/>
    <mergeCell ref="B3:B4"/>
    <mergeCell ref="C3:C4"/>
    <mergeCell ref="D3:D4"/>
    <mergeCell ref="E3:E4"/>
  </mergeCells>
  <pageMargins left="0.7" right="0.7" top="0.75" bottom="0.75" header="0" footer="0"/>
  <pageSetup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EDB8B-303F-DE46-9A4E-6F8AB9B448C0}">
  <dimension ref="A1:AB998"/>
  <sheetViews>
    <sheetView tabSelected="1" workbookViewId="0">
      <selection activeCell="A4" sqref="A4:XFD4"/>
    </sheetView>
  </sheetViews>
  <sheetFormatPr baseColWidth="10" defaultColWidth="11.1640625" defaultRowHeight="16" x14ac:dyDescent="0.2"/>
  <cols>
    <col min="1" max="1" width="11.83203125" customWidth="1"/>
    <col min="2" max="2" width="22.83203125" customWidth="1"/>
    <col min="3" max="3" width="27.33203125" customWidth="1"/>
    <col min="4" max="4" width="27.6640625" customWidth="1"/>
    <col min="5" max="6" width="15.83203125" customWidth="1"/>
    <col min="7" max="7" width="28.1640625" customWidth="1"/>
    <col min="8" max="8" width="32.5" customWidth="1"/>
    <col min="9" max="9" width="31.33203125" customWidth="1"/>
    <col min="10" max="10" width="23.1640625" customWidth="1"/>
    <col min="11" max="11" width="43.6640625" customWidth="1"/>
    <col min="12" max="12" width="62.5" customWidth="1"/>
    <col min="13" max="13" width="58.83203125" customWidth="1"/>
    <col min="14" max="14" width="36.33203125" customWidth="1"/>
    <col min="15" max="15" width="50.83203125" customWidth="1"/>
    <col min="16" max="16" width="58.6640625" customWidth="1"/>
    <col min="17" max="17" width="44" customWidth="1"/>
    <col min="18" max="18" width="51.33203125" customWidth="1"/>
    <col min="19" max="19" width="59.6640625" customWidth="1"/>
    <col min="20" max="20" width="63" customWidth="1"/>
    <col min="21" max="21" width="60" customWidth="1"/>
    <col min="22" max="22" width="54.1640625" customWidth="1"/>
    <col min="23" max="23" width="44.1640625" customWidth="1"/>
    <col min="24" max="28" width="8.83203125" customWidth="1"/>
  </cols>
  <sheetData>
    <row r="1" spans="1:28" ht="46" customHeight="1" x14ac:dyDescent="0.2"/>
    <row r="2" spans="1:28" ht="39" customHeight="1" x14ac:dyDescent="0.2">
      <c r="A2" s="360" t="s">
        <v>4114</v>
      </c>
      <c r="B2" s="361"/>
      <c r="C2" s="361"/>
      <c r="D2" s="361"/>
      <c r="E2" s="362"/>
      <c r="F2" s="172" t="s">
        <v>4113</v>
      </c>
      <c r="G2" s="173">
        <v>1</v>
      </c>
      <c r="H2" s="174">
        <v>2</v>
      </c>
      <c r="I2" s="109">
        <v>3</v>
      </c>
      <c r="J2" s="173">
        <v>4</v>
      </c>
      <c r="K2" s="173" t="s">
        <v>4103</v>
      </c>
      <c r="L2" s="173" t="s">
        <v>4104</v>
      </c>
      <c r="M2" s="173" t="s">
        <v>4105</v>
      </c>
      <c r="N2" s="173" t="s">
        <v>4106</v>
      </c>
      <c r="O2" s="173" t="s">
        <v>4107</v>
      </c>
      <c r="P2" s="173" t="s">
        <v>4108</v>
      </c>
      <c r="Q2" s="173">
        <v>8</v>
      </c>
      <c r="R2" s="173">
        <v>9</v>
      </c>
      <c r="S2" s="173" t="s">
        <v>4109</v>
      </c>
      <c r="T2" s="173" t="s">
        <v>4110</v>
      </c>
      <c r="U2" s="173" t="s">
        <v>4111</v>
      </c>
      <c r="V2" s="173" t="s">
        <v>4112</v>
      </c>
      <c r="W2" s="173">
        <v>12</v>
      </c>
      <c r="X2" s="176"/>
      <c r="Y2" s="176"/>
      <c r="Z2" s="176"/>
      <c r="AA2" s="176"/>
      <c r="AB2" s="176"/>
    </row>
    <row r="3" spans="1:28" ht="35.25" customHeight="1" x14ac:dyDescent="0.2">
      <c r="A3" s="363"/>
      <c r="B3" s="364"/>
      <c r="C3" s="364"/>
      <c r="D3" s="364"/>
      <c r="E3" s="365"/>
      <c r="F3" s="172" t="s">
        <v>1</v>
      </c>
      <c r="G3" s="109" t="s">
        <v>4115</v>
      </c>
      <c r="H3" s="181" t="s">
        <v>4116</v>
      </c>
      <c r="I3" s="182" t="s">
        <v>4117</v>
      </c>
      <c r="J3" s="182" t="s">
        <v>4118</v>
      </c>
      <c r="K3" s="182" t="s">
        <v>4119</v>
      </c>
      <c r="L3" s="109" t="s">
        <v>4120</v>
      </c>
      <c r="M3" s="109" t="s">
        <v>4121</v>
      </c>
      <c r="N3" s="109" t="s">
        <v>4122</v>
      </c>
      <c r="O3" s="109" t="s">
        <v>4123</v>
      </c>
      <c r="P3" s="109" t="s">
        <v>4124</v>
      </c>
      <c r="Q3" s="109" t="s">
        <v>4125</v>
      </c>
      <c r="R3" s="109" t="s">
        <v>4126</v>
      </c>
      <c r="S3" s="109" t="s">
        <v>4127</v>
      </c>
      <c r="T3" s="109" t="s">
        <v>4128</v>
      </c>
      <c r="U3" s="109" t="s">
        <v>4129</v>
      </c>
      <c r="V3" s="109" t="s">
        <v>4130</v>
      </c>
      <c r="W3" s="182" t="s">
        <v>4131</v>
      </c>
      <c r="X3" s="184"/>
      <c r="Y3" s="184"/>
      <c r="Z3" s="184"/>
      <c r="AA3" s="184"/>
      <c r="AB3" s="184"/>
    </row>
    <row r="4" spans="1:28" ht="35.25" customHeight="1" x14ac:dyDescent="0.2">
      <c r="A4" s="186" t="s">
        <v>2960</v>
      </c>
      <c r="B4" s="186" t="s">
        <v>3854</v>
      </c>
      <c r="C4" s="187" t="s">
        <v>3855</v>
      </c>
      <c r="D4" s="187" t="s">
        <v>3856</v>
      </c>
      <c r="E4" s="187" t="s">
        <v>625</v>
      </c>
      <c r="F4" s="187"/>
      <c r="G4" s="188" t="s">
        <v>4132</v>
      </c>
      <c r="H4" s="188" t="s">
        <v>4133</v>
      </c>
      <c r="I4" s="188" t="s">
        <v>4132</v>
      </c>
      <c r="J4" s="188" t="s">
        <v>4132</v>
      </c>
      <c r="K4" s="188" t="s">
        <v>4134</v>
      </c>
      <c r="L4" s="188" t="s">
        <v>4132</v>
      </c>
      <c r="M4" s="188" t="s">
        <v>4132</v>
      </c>
      <c r="N4" s="188" t="s">
        <v>4132</v>
      </c>
      <c r="O4" s="188" t="s">
        <v>4135</v>
      </c>
      <c r="P4" s="188" t="s">
        <v>4132</v>
      </c>
      <c r="Q4" s="188" t="s">
        <v>4132</v>
      </c>
      <c r="R4" s="188" t="s">
        <v>4132</v>
      </c>
      <c r="S4" s="188" t="s">
        <v>4135</v>
      </c>
      <c r="T4" s="188" t="s">
        <v>4132</v>
      </c>
      <c r="U4" s="188" t="s">
        <v>4135</v>
      </c>
      <c r="V4" s="188" t="s">
        <v>4132</v>
      </c>
      <c r="W4" s="188" t="s">
        <v>4132</v>
      </c>
    </row>
    <row r="5" spans="1:28" ht="35.25" customHeight="1" x14ac:dyDescent="0.2">
      <c r="A5" s="186" t="s">
        <v>3857</v>
      </c>
      <c r="B5" s="186" t="s">
        <v>2966</v>
      </c>
      <c r="C5" s="187" t="s">
        <v>3858</v>
      </c>
      <c r="D5" s="187" t="s">
        <v>3859</v>
      </c>
      <c r="E5" s="187" t="s">
        <v>26</v>
      </c>
      <c r="F5" s="187"/>
      <c r="G5" s="188"/>
      <c r="H5" s="188"/>
      <c r="I5" s="188"/>
      <c r="J5" s="188"/>
      <c r="K5" s="188"/>
      <c r="L5" s="188"/>
      <c r="M5" s="188">
        <v>0.06</v>
      </c>
      <c r="N5" s="188"/>
      <c r="O5" s="188"/>
      <c r="P5" s="188"/>
      <c r="Q5" s="188"/>
      <c r="R5" s="188"/>
      <c r="S5" s="188">
        <v>4.0000000000000001E-3</v>
      </c>
      <c r="T5" s="188"/>
      <c r="U5" s="188"/>
      <c r="V5" s="188"/>
      <c r="W5" s="188"/>
    </row>
    <row r="6" spans="1:28" ht="33" customHeight="1" x14ac:dyDescent="0.2">
      <c r="A6" s="190" t="s">
        <v>2969</v>
      </c>
      <c r="B6" s="190" t="s">
        <v>2970</v>
      </c>
      <c r="C6" s="191" t="s">
        <v>3860</v>
      </c>
      <c r="D6" s="191" t="s">
        <v>3861</v>
      </c>
      <c r="E6" s="191" t="s">
        <v>625</v>
      </c>
      <c r="F6" s="191"/>
      <c r="G6" s="192"/>
      <c r="H6" s="192"/>
      <c r="I6" s="192"/>
      <c r="J6" s="192"/>
      <c r="K6" s="192"/>
      <c r="L6" s="192"/>
      <c r="M6" s="192"/>
      <c r="N6" s="192"/>
      <c r="O6" s="192"/>
      <c r="P6" s="192"/>
      <c r="Q6" s="192"/>
      <c r="R6" s="192"/>
      <c r="S6" s="192">
        <v>2</v>
      </c>
      <c r="T6" s="192"/>
      <c r="U6" s="192"/>
      <c r="V6" s="192"/>
      <c r="W6" s="192"/>
      <c r="X6" s="354"/>
      <c r="Y6" s="354"/>
      <c r="Z6" s="354"/>
      <c r="AA6" s="354"/>
      <c r="AB6" s="354"/>
    </row>
    <row r="7" spans="1:28" ht="31.5" customHeight="1" x14ac:dyDescent="0.2">
      <c r="A7" s="186" t="s">
        <v>2973</v>
      </c>
      <c r="B7" s="186" t="s">
        <v>2974</v>
      </c>
      <c r="C7" s="187" t="s">
        <v>3862</v>
      </c>
      <c r="D7" s="187" t="s">
        <v>3863</v>
      </c>
      <c r="E7" s="187" t="s">
        <v>625</v>
      </c>
      <c r="F7" s="187"/>
      <c r="G7" s="188"/>
      <c r="H7" s="188"/>
      <c r="I7" s="188"/>
      <c r="J7" s="188"/>
      <c r="K7" s="188"/>
      <c r="L7" s="188"/>
      <c r="M7" s="188"/>
      <c r="N7" s="188"/>
      <c r="O7" s="188"/>
      <c r="P7" s="188"/>
      <c r="Q7" s="188"/>
      <c r="R7" s="188"/>
      <c r="S7" s="188"/>
      <c r="T7" s="188"/>
      <c r="U7" s="188"/>
      <c r="V7" s="188"/>
      <c r="W7" s="188"/>
    </row>
    <row r="8" spans="1:28" ht="33" customHeight="1" x14ac:dyDescent="0.2">
      <c r="A8" s="193" t="s">
        <v>2975</v>
      </c>
      <c r="B8" s="193" t="s">
        <v>2976</v>
      </c>
      <c r="C8" s="194" t="s">
        <v>3864</v>
      </c>
      <c r="D8" s="194" t="s">
        <v>3865</v>
      </c>
      <c r="E8" s="194" t="s">
        <v>625</v>
      </c>
      <c r="F8" s="194"/>
      <c r="G8" s="195"/>
      <c r="H8" s="195"/>
      <c r="I8" s="195">
        <v>0.7</v>
      </c>
      <c r="J8" s="195"/>
      <c r="K8" s="195"/>
      <c r="L8" s="195"/>
      <c r="M8" s="195"/>
      <c r="N8" s="195"/>
      <c r="O8" s="195">
        <v>0.05</v>
      </c>
      <c r="P8" s="195"/>
      <c r="Q8" s="195"/>
      <c r="R8" s="195"/>
      <c r="S8" s="195">
        <v>3.5</v>
      </c>
      <c r="T8" s="195"/>
      <c r="U8" s="195"/>
      <c r="V8" s="195"/>
      <c r="W8" s="195"/>
      <c r="X8" s="354"/>
      <c r="Y8" s="354"/>
      <c r="Z8" s="354"/>
      <c r="AA8" s="354"/>
      <c r="AB8" s="354"/>
    </row>
    <row r="9" spans="1:28" ht="30.75" customHeight="1" x14ac:dyDescent="0.2">
      <c r="A9" s="186" t="s">
        <v>2978</v>
      </c>
      <c r="B9" s="186" t="s">
        <v>2979</v>
      </c>
      <c r="C9" s="187" t="s">
        <v>3866</v>
      </c>
      <c r="D9" s="187" t="s">
        <v>3867</v>
      </c>
      <c r="E9" s="187" t="s">
        <v>625</v>
      </c>
      <c r="F9" s="187"/>
      <c r="G9" s="188"/>
      <c r="H9" s="188"/>
      <c r="I9" s="188"/>
      <c r="J9" s="188"/>
      <c r="K9" s="188"/>
      <c r="L9" s="188"/>
      <c r="M9" s="188"/>
      <c r="N9" s="188"/>
      <c r="O9" s="188"/>
      <c r="P9" s="188"/>
      <c r="Q9" s="188"/>
      <c r="R9" s="188"/>
      <c r="S9" s="188"/>
      <c r="T9" s="188"/>
      <c r="U9" s="188"/>
      <c r="V9" s="188"/>
      <c r="W9" s="188"/>
    </row>
    <row r="10" spans="1:28" ht="27.75" customHeight="1" x14ac:dyDescent="0.2">
      <c r="A10" s="186" t="s">
        <v>2980</v>
      </c>
      <c r="B10" s="186" t="s">
        <v>3868</v>
      </c>
      <c r="C10" s="187" t="s">
        <v>3869</v>
      </c>
      <c r="D10" s="187" t="s">
        <v>3870</v>
      </c>
      <c r="E10" s="187" t="s">
        <v>625</v>
      </c>
      <c r="F10" s="187"/>
      <c r="G10" s="188"/>
      <c r="H10" s="188"/>
      <c r="I10" s="188">
        <v>0.15</v>
      </c>
      <c r="J10" s="188"/>
      <c r="K10" s="188"/>
      <c r="L10" s="188"/>
      <c r="M10" s="188"/>
      <c r="N10" s="188"/>
      <c r="O10" s="188"/>
      <c r="P10" s="188"/>
      <c r="Q10" s="188"/>
      <c r="R10" s="188"/>
      <c r="S10" s="188">
        <v>96</v>
      </c>
      <c r="T10" s="188"/>
      <c r="U10" s="188"/>
      <c r="V10" s="188"/>
      <c r="W10" s="188"/>
    </row>
    <row r="11" spans="1:28" ht="32.25" customHeight="1" x14ac:dyDescent="0.2">
      <c r="A11" s="196" t="s">
        <v>2984</v>
      </c>
      <c r="B11" s="196" t="s">
        <v>2985</v>
      </c>
      <c r="C11" s="197" t="s">
        <v>3871</v>
      </c>
      <c r="D11" s="197" t="s">
        <v>3872</v>
      </c>
      <c r="E11" s="197" t="s">
        <v>625</v>
      </c>
      <c r="F11" s="197"/>
      <c r="G11" s="198"/>
      <c r="H11" s="198"/>
      <c r="I11" s="198"/>
      <c r="J11" s="198"/>
      <c r="K11" s="198"/>
      <c r="L11" s="198"/>
      <c r="M11" s="198"/>
      <c r="N11" s="198"/>
      <c r="O11" s="198"/>
      <c r="P11" s="198"/>
      <c r="Q11" s="198"/>
      <c r="R11" s="198"/>
      <c r="S11" s="198">
        <v>0.5</v>
      </c>
      <c r="T11" s="198"/>
      <c r="U11" s="198"/>
      <c r="V11" s="198"/>
      <c r="W11" s="198"/>
      <c r="X11" s="354"/>
      <c r="Y11" s="354"/>
      <c r="Z11" s="354"/>
      <c r="AA11" s="354"/>
      <c r="AB11" s="354"/>
    </row>
    <row r="12" spans="1:28" ht="32.25" customHeight="1" x14ac:dyDescent="0.2">
      <c r="A12" s="200" t="s">
        <v>2988</v>
      </c>
      <c r="B12" s="200" t="s">
        <v>2989</v>
      </c>
      <c r="C12" s="201" t="s">
        <v>3873</v>
      </c>
      <c r="D12" s="201" t="s">
        <v>3874</v>
      </c>
      <c r="E12" s="201" t="s">
        <v>625</v>
      </c>
      <c r="F12" s="201"/>
      <c r="G12" s="202">
        <v>7.4999999999999997E-3</v>
      </c>
      <c r="H12" s="202"/>
      <c r="I12" s="202">
        <v>2</v>
      </c>
      <c r="J12" s="202"/>
      <c r="K12" s="202"/>
      <c r="L12" s="202"/>
      <c r="M12" s="202"/>
      <c r="N12" s="202"/>
      <c r="O12" s="202">
        <v>39</v>
      </c>
      <c r="P12" s="202"/>
      <c r="Q12" s="202"/>
      <c r="R12" s="202"/>
      <c r="S12" s="202">
        <v>0.25</v>
      </c>
      <c r="T12" s="202"/>
      <c r="U12" s="202"/>
      <c r="V12" s="202"/>
      <c r="W12" s="202"/>
      <c r="X12" s="354"/>
      <c r="Y12" s="354"/>
      <c r="Z12" s="354"/>
      <c r="AA12" s="354"/>
      <c r="AB12" s="354"/>
    </row>
    <row r="13" spans="1:28" ht="34.5" customHeight="1" x14ac:dyDescent="0.2">
      <c r="A13" s="204" t="s">
        <v>2992</v>
      </c>
      <c r="B13" s="204" t="s">
        <v>2993</v>
      </c>
      <c r="C13" s="205" t="s">
        <v>3875</v>
      </c>
      <c r="D13" s="205" t="s">
        <v>3876</v>
      </c>
      <c r="E13" s="205" t="s">
        <v>625</v>
      </c>
      <c r="F13" s="205"/>
      <c r="G13" s="206"/>
      <c r="H13" s="206"/>
      <c r="I13" s="206"/>
      <c r="J13" s="206"/>
      <c r="K13" s="206"/>
      <c r="L13" s="206"/>
      <c r="M13" s="206"/>
      <c r="N13" s="206"/>
      <c r="O13" s="206"/>
      <c r="P13" s="206"/>
      <c r="Q13" s="206"/>
      <c r="R13" s="206"/>
      <c r="S13" s="206">
        <v>70</v>
      </c>
      <c r="T13" s="206"/>
      <c r="U13" s="206"/>
      <c r="V13" s="206"/>
      <c r="W13" s="206"/>
      <c r="X13" s="354"/>
      <c r="Y13" s="354"/>
      <c r="Z13" s="354"/>
      <c r="AA13" s="354"/>
      <c r="AB13" s="354"/>
    </row>
    <row r="14" spans="1:28" ht="39.75" customHeight="1" x14ac:dyDescent="0.2">
      <c r="A14" s="186" t="s">
        <v>2995</v>
      </c>
      <c r="B14" s="186" t="s">
        <v>3877</v>
      </c>
      <c r="C14" s="187" t="s">
        <v>3878</v>
      </c>
      <c r="D14" s="187" t="s">
        <v>3879</v>
      </c>
      <c r="E14" s="187" t="s">
        <v>625</v>
      </c>
      <c r="F14" s="187"/>
      <c r="G14" s="188"/>
      <c r="H14" s="188"/>
      <c r="I14" s="188">
        <v>0.6</v>
      </c>
      <c r="J14" s="188"/>
      <c r="K14" s="188"/>
      <c r="L14" s="188"/>
      <c r="M14" s="188"/>
      <c r="N14" s="188"/>
      <c r="O14" s="188"/>
      <c r="P14" s="188"/>
      <c r="Q14" s="188"/>
      <c r="R14" s="188"/>
      <c r="S14" s="188">
        <v>45</v>
      </c>
      <c r="T14" s="188"/>
      <c r="U14" s="188"/>
      <c r="V14" s="188"/>
      <c r="W14" s="188"/>
    </row>
    <row r="15" spans="1:28" ht="38.25" customHeight="1" x14ac:dyDescent="0.2">
      <c r="A15" s="186" t="s">
        <v>2999</v>
      </c>
      <c r="B15" s="186" t="s">
        <v>3000</v>
      </c>
      <c r="C15" s="187" t="s">
        <v>3880</v>
      </c>
      <c r="D15" s="187" t="s">
        <v>3881</v>
      </c>
      <c r="E15" s="187" t="s">
        <v>625</v>
      </c>
      <c r="F15" s="187"/>
      <c r="G15" s="188"/>
      <c r="H15" s="188"/>
      <c r="I15" s="188"/>
      <c r="J15" s="188"/>
      <c r="K15" s="188"/>
      <c r="L15" s="188"/>
      <c r="M15" s="188"/>
      <c r="N15" s="188"/>
      <c r="O15" s="188"/>
      <c r="P15" s="188"/>
      <c r="Q15" s="188"/>
      <c r="R15" s="188"/>
      <c r="S15" s="188"/>
      <c r="T15" s="188"/>
      <c r="U15" s="188"/>
      <c r="V15" s="188"/>
      <c r="W15" s="188"/>
    </row>
    <row r="16" spans="1:28" ht="36" customHeight="1" x14ac:dyDescent="0.2">
      <c r="A16" s="190" t="s">
        <v>3001</v>
      </c>
      <c r="B16" s="190" t="s">
        <v>3002</v>
      </c>
      <c r="C16" s="191" t="s">
        <v>3882</v>
      </c>
      <c r="D16" s="191" t="s">
        <v>3883</v>
      </c>
      <c r="E16" s="191" t="s">
        <v>625</v>
      </c>
      <c r="F16" s="191"/>
      <c r="G16" s="192"/>
      <c r="H16" s="192"/>
      <c r="I16" s="192"/>
      <c r="J16" s="192"/>
      <c r="K16" s="192"/>
      <c r="L16" s="192"/>
      <c r="M16" s="192"/>
      <c r="N16" s="192"/>
      <c r="O16" s="192"/>
      <c r="P16" s="192"/>
      <c r="Q16" s="192"/>
      <c r="R16" s="192"/>
      <c r="S16" s="192">
        <v>5</v>
      </c>
      <c r="T16" s="192"/>
      <c r="U16" s="192"/>
      <c r="V16" s="192"/>
      <c r="W16" s="192"/>
      <c r="X16" s="354"/>
      <c r="Y16" s="354"/>
      <c r="Z16" s="354"/>
      <c r="AA16" s="354"/>
      <c r="AB16" s="354"/>
    </row>
    <row r="17" spans="1:28" ht="25.5" customHeight="1" x14ac:dyDescent="0.2">
      <c r="A17" s="186" t="s">
        <v>3005</v>
      </c>
      <c r="B17" s="186" t="s">
        <v>3006</v>
      </c>
      <c r="C17" s="187" t="s">
        <v>3884</v>
      </c>
      <c r="D17" s="187" t="s">
        <v>3885</v>
      </c>
      <c r="E17" s="187" t="s">
        <v>625</v>
      </c>
      <c r="F17" s="187"/>
      <c r="G17" s="188"/>
      <c r="H17" s="188"/>
      <c r="I17" s="188"/>
      <c r="J17" s="188"/>
      <c r="K17" s="188"/>
      <c r="L17" s="188"/>
      <c r="M17" s="188"/>
      <c r="N17" s="188"/>
      <c r="O17" s="188"/>
      <c r="P17" s="188"/>
      <c r="Q17" s="188"/>
      <c r="R17" s="188"/>
      <c r="S17" s="188"/>
      <c r="T17" s="188"/>
      <c r="U17" s="188"/>
      <c r="V17" s="188"/>
      <c r="W17" s="188"/>
    </row>
    <row r="18" spans="1:28" ht="31.5" customHeight="1" x14ac:dyDescent="0.2">
      <c r="A18" s="186" t="s">
        <v>3886</v>
      </c>
      <c r="B18" s="186" t="s">
        <v>3008</v>
      </c>
      <c r="C18" s="187" t="s">
        <v>3887</v>
      </c>
      <c r="D18" s="187" t="s">
        <v>3888</v>
      </c>
      <c r="E18" s="187" t="s">
        <v>625</v>
      </c>
      <c r="F18" s="187"/>
      <c r="G18" s="188"/>
      <c r="H18" s="188"/>
      <c r="I18" s="188"/>
      <c r="J18" s="188"/>
      <c r="K18" s="188"/>
      <c r="L18" s="188"/>
      <c r="M18" s="188"/>
      <c r="N18" s="188"/>
      <c r="O18" s="188"/>
      <c r="P18" s="188"/>
      <c r="Q18" s="188"/>
      <c r="R18" s="188"/>
      <c r="S18" s="188"/>
      <c r="T18" s="188"/>
      <c r="U18" s="188"/>
      <c r="V18" s="188"/>
      <c r="W18" s="188"/>
    </row>
    <row r="19" spans="1:28" ht="31.5" customHeight="1" x14ac:dyDescent="0.2">
      <c r="A19" s="186" t="s">
        <v>3009</v>
      </c>
      <c r="B19" s="186" t="s">
        <v>3010</v>
      </c>
      <c r="C19" s="187" t="s">
        <v>3889</v>
      </c>
      <c r="D19" s="187" t="s">
        <v>3890</v>
      </c>
      <c r="E19" s="187" t="s">
        <v>625</v>
      </c>
      <c r="F19" s="187"/>
      <c r="G19" s="188">
        <v>1</v>
      </c>
      <c r="H19" s="188"/>
      <c r="I19" s="188"/>
      <c r="J19" s="188"/>
      <c r="K19" s="188"/>
      <c r="L19" s="188"/>
      <c r="M19" s="188"/>
      <c r="N19" s="188"/>
      <c r="O19" s="188"/>
      <c r="P19" s="188"/>
      <c r="Q19" s="188"/>
      <c r="R19" s="188"/>
      <c r="S19" s="188"/>
      <c r="T19" s="188"/>
      <c r="U19" s="188"/>
      <c r="V19" s="188"/>
      <c r="W19" s="188"/>
    </row>
    <row r="20" spans="1:28" ht="32.25" customHeight="1" x14ac:dyDescent="0.2">
      <c r="A20" s="186" t="s">
        <v>3025</v>
      </c>
      <c r="B20" s="186" t="s">
        <v>3026</v>
      </c>
      <c r="C20" s="187" t="s">
        <v>2030</v>
      </c>
      <c r="D20" s="187" t="s">
        <v>3891</v>
      </c>
      <c r="E20" s="187" t="s">
        <v>625</v>
      </c>
      <c r="F20" s="187"/>
      <c r="G20" s="188">
        <v>0.04</v>
      </c>
      <c r="H20" s="188"/>
      <c r="I20" s="188">
        <v>2.5</v>
      </c>
      <c r="J20" s="188"/>
      <c r="K20" s="188"/>
      <c r="L20" s="188"/>
      <c r="M20" s="188"/>
      <c r="N20" s="188"/>
      <c r="O20" s="188">
        <v>43</v>
      </c>
      <c r="P20" s="188"/>
      <c r="Q20" s="188"/>
      <c r="R20" s="188"/>
      <c r="S20" s="188">
        <v>0.1</v>
      </c>
      <c r="T20" s="188"/>
      <c r="U20" s="188"/>
      <c r="V20" s="188"/>
      <c r="W20" s="188"/>
    </row>
    <row r="21" spans="1:28" ht="35.25" customHeight="1" x14ac:dyDescent="0.2">
      <c r="A21" s="186" t="s">
        <v>3049</v>
      </c>
      <c r="B21" s="186" t="s">
        <v>3050</v>
      </c>
      <c r="C21" s="187" t="s">
        <v>3019</v>
      </c>
      <c r="D21" s="187" t="s">
        <v>3892</v>
      </c>
      <c r="E21" s="187" t="s">
        <v>656</v>
      </c>
      <c r="F21" s="187"/>
      <c r="G21" s="188"/>
      <c r="H21" s="188"/>
      <c r="I21" s="188"/>
      <c r="J21" s="188"/>
      <c r="K21" s="188"/>
      <c r="L21" s="188"/>
      <c r="M21" s="188"/>
      <c r="N21" s="188"/>
      <c r="O21" s="188"/>
      <c r="P21" s="188"/>
      <c r="Q21" s="188"/>
      <c r="R21" s="188"/>
      <c r="S21" s="188"/>
      <c r="T21" s="188"/>
      <c r="U21" s="188"/>
      <c r="V21" s="188"/>
      <c r="W21" s="188"/>
    </row>
    <row r="22" spans="1:28" ht="36.75" customHeight="1" x14ac:dyDescent="0.2">
      <c r="A22" s="208" t="s">
        <v>3051</v>
      </c>
      <c r="B22" s="208" t="s">
        <v>3052</v>
      </c>
      <c r="C22" s="209" t="s">
        <v>3019</v>
      </c>
      <c r="D22" s="209" t="s">
        <v>3893</v>
      </c>
      <c r="E22" s="209" t="s">
        <v>656</v>
      </c>
      <c r="F22" s="209"/>
      <c r="G22" s="210">
        <v>3.8999999999999998E-3</v>
      </c>
      <c r="H22" s="210"/>
      <c r="I22" s="210">
        <v>0.1326</v>
      </c>
      <c r="J22" s="210"/>
      <c r="K22" s="210"/>
      <c r="L22" s="210"/>
      <c r="M22" s="210"/>
      <c r="N22" s="210"/>
      <c r="O22" s="210">
        <v>7.1999999999999998E-3</v>
      </c>
      <c r="P22" s="210"/>
      <c r="Q22" s="210"/>
      <c r="R22" s="210"/>
      <c r="S22" s="210">
        <v>14.732799999999999</v>
      </c>
      <c r="T22" s="210"/>
      <c r="U22" s="210"/>
      <c r="V22" s="210"/>
      <c r="W22" s="210"/>
      <c r="X22" s="354"/>
      <c r="Y22" s="354"/>
      <c r="Z22" s="354"/>
      <c r="AA22" s="354"/>
      <c r="AB22" s="354"/>
    </row>
    <row r="23" spans="1:28" ht="36.75" customHeight="1" x14ac:dyDescent="0.2">
      <c r="A23" s="196" t="s">
        <v>3053</v>
      </c>
      <c r="B23" s="196" t="s">
        <v>3054</v>
      </c>
      <c r="C23" s="197" t="s">
        <v>3019</v>
      </c>
      <c r="D23" s="197" t="s">
        <v>3894</v>
      </c>
      <c r="E23" s="197" t="s">
        <v>3895</v>
      </c>
      <c r="F23" s="197"/>
      <c r="G23" s="198">
        <v>1.5E-3</v>
      </c>
      <c r="H23" s="198"/>
      <c r="I23" s="198">
        <v>1.6E-2</v>
      </c>
      <c r="J23" s="198"/>
      <c r="K23" s="198"/>
      <c r="L23" s="198">
        <v>6.0000000000000001E-3</v>
      </c>
      <c r="M23" s="198"/>
      <c r="N23" s="198"/>
      <c r="O23" s="198"/>
      <c r="P23" s="198"/>
      <c r="Q23" s="198"/>
      <c r="R23" s="198"/>
      <c r="S23" s="198">
        <v>1.2390000000000001</v>
      </c>
      <c r="T23" s="198"/>
      <c r="U23" s="198"/>
      <c r="V23" s="198"/>
      <c r="W23" s="198"/>
      <c r="X23" s="354"/>
      <c r="Y23" s="354"/>
      <c r="Z23" s="354"/>
      <c r="AA23" s="354"/>
      <c r="AB23" s="354"/>
    </row>
    <row r="24" spans="1:28" ht="31.5" customHeight="1" x14ac:dyDescent="0.2">
      <c r="A24" s="186" t="s">
        <v>3055</v>
      </c>
      <c r="B24" s="186" t="s">
        <v>3056</v>
      </c>
      <c r="C24" s="187" t="s">
        <v>3019</v>
      </c>
      <c r="D24" s="187" t="s">
        <v>3896</v>
      </c>
      <c r="E24" s="187" t="s">
        <v>1903</v>
      </c>
      <c r="F24" s="187"/>
      <c r="G24" s="188"/>
      <c r="H24" s="188"/>
      <c r="I24" s="188"/>
      <c r="J24" s="188"/>
      <c r="K24" s="188"/>
      <c r="L24" s="188"/>
      <c r="M24" s="188"/>
      <c r="N24" s="188"/>
      <c r="O24" s="188"/>
      <c r="P24" s="188"/>
      <c r="Q24" s="188"/>
      <c r="R24" s="188"/>
      <c r="S24" s="188"/>
      <c r="T24" s="188"/>
      <c r="U24" s="188"/>
      <c r="V24" s="188"/>
      <c r="W24" s="188"/>
    </row>
    <row r="25" spans="1:28" ht="36" customHeight="1" x14ac:dyDescent="0.2">
      <c r="A25" s="186" t="s">
        <v>3034</v>
      </c>
      <c r="B25" s="186" t="s">
        <v>3897</v>
      </c>
      <c r="C25" s="187" t="s">
        <v>3036</v>
      </c>
      <c r="D25" s="187" t="s">
        <v>3897</v>
      </c>
      <c r="E25" s="187" t="s">
        <v>625</v>
      </c>
      <c r="F25" s="187"/>
      <c r="G25" s="188"/>
      <c r="H25" s="188"/>
      <c r="I25" s="188"/>
      <c r="J25" s="188"/>
      <c r="K25" s="188"/>
      <c r="L25" s="188"/>
      <c r="M25" s="188"/>
      <c r="N25" s="188"/>
      <c r="O25" s="188"/>
      <c r="P25" s="188"/>
      <c r="Q25" s="188"/>
      <c r="R25" s="188"/>
      <c r="S25" s="188"/>
      <c r="T25" s="188"/>
      <c r="U25" s="188"/>
      <c r="V25" s="188"/>
      <c r="W25" s="188"/>
    </row>
    <row r="26" spans="1:28" ht="15.75" customHeight="1" x14ac:dyDescent="0.2">
      <c r="A26" s="186" t="s">
        <v>2785</v>
      </c>
      <c r="B26" s="213" t="str">
        <f>VLOOKUP(A26,Liste!A1:O1128,2,0)</f>
        <v>Hydrolat Menthe Poivrée BIO</v>
      </c>
      <c r="C26" s="214" t="str">
        <f>VLOOKUP(A26,Liste!A1:O969,4,0)</f>
        <v>Mentha Piperita Leaf Water*</v>
      </c>
      <c r="D26" s="215" t="str">
        <f>VLOOKUP(A26,Liste!A1:O955,2,0)</f>
        <v>Hydrolat Menthe Poivrée BIO</v>
      </c>
      <c r="E26" s="216" t="str">
        <f>VLOOKUP(A26,Liste!A1:O953,3,0)</f>
        <v>Florihana</v>
      </c>
      <c r="F26" s="163"/>
      <c r="G26" s="188"/>
      <c r="H26" s="188"/>
      <c r="I26" s="188"/>
      <c r="J26" s="188"/>
      <c r="K26" s="188"/>
      <c r="L26" s="188"/>
      <c r="M26" s="188"/>
      <c r="N26" s="188"/>
      <c r="O26" s="188"/>
      <c r="P26" s="188"/>
      <c r="Q26" s="188"/>
      <c r="R26" s="188"/>
      <c r="S26" s="188"/>
      <c r="T26" s="188"/>
      <c r="U26" s="188">
        <v>5.0000000000000001E-3</v>
      </c>
      <c r="V26" s="188"/>
      <c r="W26" s="188"/>
      <c r="X26" s="123"/>
      <c r="Y26" s="123"/>
      <c r="Z26" s="123"/>
      <c r="AA26" s="123"/>
      <c r="AB26" s="123"/>
    </row>
    <row r="27" spans="1:28" ht="15.75" customHeight="1" x14ac:dyDescent="0.2">
      <c r="A27" s="186" t="s">
        <v>2703</v>
      </c>
      <c r="B27" s="217" t="str">
        <f>VLOOKUP(A27,Liste!A2:O1129,2,0)</f>
        <v>Huile vierge de prune bio</v>
      </c>
      <c r="C27" s="214" t="str">
        <f>VLOOKUP(A27,Liste!A2:O970,4,0)</f>
        <v>Prunus Domestica Seed Oil</v>
      </c>
      <c r="D27" s="215" t="str">
        <f>VLOOKUP(A27,Liste!A2:O956,2,0)</f>
        <v>Huile vierge de prune bio</v>
      </c>
      <c r="E27" s="216" t="str">
        <f>VLOOKUP(A27,Liste!A2:O953,3,0)</f>
        <v>Perle de Gascogne</v>
      </c>
      <c r="F27" s="163"/>
      <c r="G27" s="188">
        <v>1.4999999999999999E-2</v>
      </c>
      <c r="H27" s="188"/>
      <c r="I27" s="188"/>
      <c r="J27" s="188"/>
      <c r="K27" s="188"/>
      <c r="L27" s="188"/>
      <c r="M27" s="188"/>
      <c r="N27" s="188"/>
      <c r="O27" s="188"/>
      <c r="P27" s="188"/>
      <c r="Q27" s="188"/>
      <c r="R27" s="188"/>
      <c r="S27" s="188"/>
      <c r="T27" s="188"/>
      <c r="U27" s="188"/>
      <c r="V27" s="188"/>
      <c r="W27" s="188"/>
      <c r="X27" s="123"/>
      <c r="Y27" s="123"/>
      <c r="Z27" s="123"/>
      <c r="AA27" s="123"/>
      <c r="AB27" s="123"/>
    </row>
    <row r="28" spans="1:28" ht="48" customHeight="1" x14ac:dyDescent="0.2">
      <c r="A28" s="186" t="s">
        <v>2799</v>
      </c>
      <c r="B28" s="217" t="str">
        <f>VLOOKUP(A28,Liste!A3:O1130,2,0)</f>
        <v>Hydrolat de lavande fine sauvage BIO</v>
      </c>
      <c r="C28" s="215" t="str">
        <f>VLOOKUP(A28,Liste!A3:O971,4,0)</f>
        <v>Lavandula Angustifolia Flower Water*</v>
      </c>
      <c r="D28" s="215" t="str">
        <f>VLOOKUP(A28,Liste!A3:O957,2,0)</f>
        <v>Hydrolat de lavande fine sauvage BIO</v>
      </c>
      <c r="E28" s="216" t="str">
        <f>VLOOKUP(A28,Liste!A3:O955,3,0)</f>
        <v>Florihana</v>
      </c>
      <c r="F28" s="163"/>
      <c r="G28" s="188"/>
      <c r="H28" s="188"/>
      <c r="I28" s="188"/>
      <c r="J28" s="188"/>
      <c r="K28" s="188"/>
      <c r="L28" s="188"/>
      <c r="M28" s="188"/>
      <c r="N28" s="188"/>
      <c r="O28" s="188"/>
      <c r="P28" s="188"/>
      <c r="Q28" s="188"/>
      <c r="R28" s="188"/>
      <c r="S28" s="188"/>
      <c r="T28" s="188"/>
      <c r="U28" s="188">
        <v>1E-3</v>
      </c>
      <c r="V28" s="188"/>
      <c r="W28" s="188"/>
      <c r="X28" s="123"/>
      <c r="Y28" s="123"/>
      <c r="Z28" s="123"/>
      <c r="AA28" s="123"/>
      <c r="AB28" s="123"/>
    </row>
    <row r="29" spans="1:28" ht="49.5" customHeight="1" x14ac:dyDescent="0.2">
      <c r="A29" s="218" t="s">
        <v>2795</v>
      </c>
      <c r="B29" s="219" t="str">
        <f>VLOOKUP(A29,Liste!A4:O1131,2,0)</f>
        <v>Hydrolat de fleur d'oranger (Néroli) BIO non conservé</v>
      </c>
      <c r="C29" s="220" t="str">
        <f>VLOOKUP(A29,Liste!A4:O972,4,0)</f>
        <v>Citrus Aurantium Amara Flower Water*</v>
      </c>
      <c r="D29" s="220" t="str">
        <f>VLOOKUP(A29,Liste!A4:O958,2,0)</f>
        <v>Hydrolat de fleur d'oranger (Néroli) BIO non conservé</v>
      </c>
      <c r="E29" s="221" t="str">
        <f>VLOOKUP(A29,Liste!A4:O956,3,0)</f>
        <v>Florihana</v>
      </c>
      <c r="F29" s="222"/>
      <c r="G29" s="223">
        <v>1E-3</v>
      </c>
      <c r="H29" s="223"/>
      <c r="I29" s="223">
        <v>1E-3</v>
      </c>
      <c r="J29" s="223"/>
      <c r="K29" s="223"/>
      <c r="L29" s="223"/>
      <c r="M29" s="223"/>
      <c r="N29" s="223"/>
      <c r="O29" s="223">
        <v>1E-3</v>
      </c>
      <c r="P29" s="223"/>
      <c r="Q29" s="223"/>
      <c r="R29" s="223"/>
      <c r="S29" s="223"/>
      <c r="T29" s="223"/>
      <c r="U29" s="223">
        <v>1E-3</v>
      </c>
      <c r="V29" s="223"/>
      <c r="W29" s="223"/>
      <c r="X29" s="354"/>
      <c r="Y29" s="354"/>
      <c r="Z29" s="354"/>
      <c r="AA29" s="354"/>
      <c r="AB29" s="354"/>
    </row>
    <row r="30" spans="1:28" ht="15.75" customHeight="1" x14ac:dyDescent="0.2">
      <c r="A30" s="186" t="s">
        <v>2724</v>
      </c>
      <c r="B30" s="217" t="str">
        <f>VLOOKUP(A30,Liste!A5:O1132,2,0)</f>
        <v>Macérât de lavande bio</v>
      </c>
      <c r="C30" s="215" t="str">
        <f>VLOOKUP(A30,Liste!A5:O973,4,0)</f>
        <v>Olea Europaea Fruit Oil* &gt;99%, Lavandula Angustifolia Flower Extract*&lt;1%</v>
      </c>
      <c r="D30" s="215" t="str">
        <f>VLOOKUP(A30,Liste!A5:O959,2,0)</f>
        <v>Macérât de lavande bio</v>
      </c>
      <c r="E30" s="216" t="str">
        <f>VLOOKUP(A30,Liste!A5:O957,3,0)</f>
        <v>La Canopée</v>
      </c>
      <c r="F30" s="163"/>
      <c r="G30" s="163"/>
      <c r="H30" s="163"/>
      <c r="I30" s="163"/>
      <c r="J30" s="163"/>
      <c r="K30" s="163"/>
      <c r="L30" s="163"/>
      <c r="M30" s="163"/>
      <c r="N30" s="163"/>
      <c r="O30" s="163"/>
      <c r="P30" s="163"/>
      <c r="Q30" s="163"/>
      <c r="R30" s="163"/>
      <c r="S30" s="163"/>
      <c r="T30" s="163"/>
      <c r="U30" s="163"/>
      <c r="V30" s="163"/>
      <c r="W30" s="163"/>
      <c r="X30" s="123"/>
      <c r="Y30" s="123"/>
      <c r="Z30" s="123"/>
      <c r="AA30" s="123"/>
      <c r="AB30" s="123"/>
    </row>
    <row r="31" spans="1:28" ht="102.75" customHeight="1" x14ac:dyDescent="0.2">
      <c r="A31" s="226" t="s">
        <v>2776</v>
      </c>
      <c r="B31" s="227" t="str">
        <f>VLOOKUP(A31,Liste!A6:O1133,2,0)</f>
        <v>Hydrolat Rose damas Bio (conservé à 2% leucidal liquid)</v>
      </c>
      <c r="C31" s="228" t="str">
        <f>VLOOKUP(A31,Liste!A6:O974,4,0)</f>
        <v>Rosa Damascena Flower Water* 98%
2% Leuconostoc/Radish Root Ferment Filtrate 50% (and) Aqua 50%</v>
      </c>
      <c r="D31" s="228" t="str">
        <f>VLOOKUP(A31,Liste!A6:O960,2,0)</f>
        <v>Hydrolat Rose damas Bio (conservé à 2% leucidal liquid)</v>
      </c>
      <c r="E31" s="229" t="str">
        <f>VLOOKUP(A31,Liste!A6:O958,3,0)</f>
        <v>Gazignaire</v>
      </c>
      <c r="F31" s="230"/>
      <c r="G31" s="231">
        <v>9.0000000000000006E-5</v>
      </c>
      <c r="H31" s="231"/>
      <c r="I31" s="231">
        <v>9.0000000000000006E-5</v>
      </c>
      <c r="J31" s="231"/>
      <c r="K31" s="231"/>
      <c r="L31" s="231"/>
      <c r="M31" s="231"/>
      <c r="N31" s="231"/>
      <c r="O31" s="232">
        <v>2E-3</v>
      </c>
      <c r="P31" s="231"/>
      <c r="Q31" s="231"/>
      <c r="R31" s="231"/>
      <c r="S31" s="231"/>
      <c r="T31" s="231"/>
      <c r="U31" s="231"/>
      <c r="V31" s="231"/>
      <c r="W31" s="231"/>
      <c r="X31" s="354"/>
      <c r="Y31" s="354"/>
      <c r="Z31" s="354"/>
      <c r="AA31" s="354"/>
      <c r="AB31" s="354"/>
    </row>
    <row r="32" spans="1:28" ht="36.75" customHeight="1" x14ac:dyDescent="0.2">
      <c r="A32" s="186" t="s">
        <v>2028</v>
      </c>
      <c r="B32" s="217" t="str">
        <f>VLOOKUP(A32,Liste!A7:O1134,2,0)</f>
        <v>Rose HE Bulgarie</v>
      </c>
      <c r="C32" s="215" t="str">
        <f>VLOOKUP(A32,Liste!A7:O975,4,0)</f>
        <v>ROSA DAMASCENA FLOWER OIL</v>
      </c>
      <c r="D32" s="215" t="str">
        <f>VLOOKUP(A32,Liste!A7:O961,2,0)</f>
        <v>Rose HE Bulgarie</v>
      </c>
      <c r="E32" s="216" t="str">
        <f>VLOOKUP(A32,Liste!A7:O959,3,0)</f>
        <v>Atmosphaer</v>
      </c>
      <c r="F32" s="163"/>
      <c r="G32" s="188"/>
      <c r="H32" s="188"/>
      <c r="I32" s="188"/>
      <c r="J32" s="188"/>
      <c r="K32" s="188"/>
      <c r="L32" s="188"/>
      <c r="M32" s="188"/>
      <c r="N32" s="188"/>
      <c r="O32" s="188">
        <v>29.8</v>
      </c>
      <c r="P32" s="188"/>
      <c r="Q32" s="188"/>
      <c r="R32" s="188"/>
      <c r="S32" s="188"/>
      <c r="T32" s="188"/>
      <c r="U32" s="188"/>
      <c r="V32" s="188"/>
      <c r="W32" s="188"/>
      <c r="X32" s="123"/>
      <c r="Y32" s="123"/>
      <c r="Z32" s="123"/>
      <c r="AA32" s="123"/>
      <c r="AB32" s="123"/>
    </row>
    <row r="33" spans="1:28" ht="33" customHeight="1" x14ac:dyDescent="0.2">
      <c r="A33" s="186" t="s">
        <v>3016</v>
      </c>
      <c r="B33" s="217" t="str">
        <f>VLOOKUP(A33,Liste!A8:O1135,2,0)</f>
        <v xml:space="preserve">Vanilline </v>
      </c>
      <c r="C33" s="215" t="str">
        <f>VLOOKUP(A33,Liste!A8:O976,4,0)</f>
        <v>Vanillin</v>
      </c>
      <c r="D33" s="215" t="str">
        <f>VLOOKUP(A33,Liste!A8:O962,2,0)</f>
        <v xml:space="preserve">Vanilline </v>
      </c>
      <c r="E33" s="216" t="str">
        <f>VLOOKUP(A33,Liste!A8:O960,3,0)</f>
        <v>Diffusions aromatiques</v>
      </c>
      <c r="F33" s="163"/>
      <c r="G33" s="188"/>
      <c r="H33" s="188"/>
      <c r="I33" s="188"/>
      <c r="J33" s="188"/>
      <c r="K33" s="188"/>
      <c r="L33" s="188"/>
      <c r="M33" s="188"/>
      <c r="N33" s="188"/>
      <c r="O33" s="188"/>
      <c r="P33" s="188"/>
      <c r="Q33" s="188"/>
      <c r="R33" s="188"/>
      <c r="S33" s="188"/>
      <c r="T33" s="188"/>
      <c r="U33" s="188"/>
      <c r="V33" s="188"/>
      <c r="W33" s="188"/>
      <c r="X33" s="123"/>
      <c r="Y33" s="123"/>
      <c r="Z33" s="123"/>
      <c r="AA33" s="123"/>
      <c r="AB33" s="123"/>
    </row>
    <row r="34" spans="1:28" ht="45" customHeight="1" x14ac:dyDescent="0.2">
      <c r="A34" s="186" t="s">
        <v>2781</v>
      </c>
      <c r="B34" s="217" t="str">
        <f>VLOOKUP(A34,Liste!A9:O1136,2,0)</f>
        <v>Hydrolat Fleur d'Oranger BIO (conservé)</v>
      </c>
      <c r="C34" s="215" t="str">
        <f>VLOOKUP(A34,Liste!A9:O977,4,0)</f>
        <v>Citrus Aurantium Amara Flower water 98%
Aqua 1%
Leuconostoc/Radish Root Ferment Filtrate 1%</v>
      </c>
      <c r="D34" s="215" t="str">
        <f>VLOOKUP(A34,Liste!A9:O963,2,0)</f>
        <v>Hydrolat Fleur d'Oranger BIO (conservé)</v>
      </c>
      <c r="E34" s="216" t="str">
        <f>VLOOKUP(A34,Liste!A9:O961,3,0)</f>
        <v>Gazignaire</v>
      </c>
      <c r="F34" s="163"/>
      <c r="G34" s="188"/>
      <c r="H34" s="188"/>
      <c r="I34" s="188"/>
      <c r="J34" s="188"/>
      <c r="K34" s="188"/>
      <c r="L34" s="188"/>
      <c r="M34" s="188"/>
      <c r="N34" s="188"/>
      <c r="O34" s="188"/>
      <c r="P34" s="188"/>
      <c r="Q34" s="188"/>
      <c r="R34" s="188"/>
      <c r="S34" s="188"/>
      <c r="T34" s="188"/>
      <c r="U34" s="188"/>
      <c r="V34" s="188"/>
      <c r="W34" s="188"/>
      <c r="X34" s="123"/>
      <c r="Y34" s="123"/>
      <c r="Z34" s="123"/>
      <c r="AA34" s="123"/>
      <c r="AB34" s="123"/>
    </row>
    <row r="35" spans="1:28" ht="15.75" customHeight="1" x14ac:dyDescent="0.2">
      <c r="G35" s="234"/>
      <c r="H35" s="234"/>
      <c r="I35" s="234"/>
      <c r="J35" s="234"/>
      <c r="K35" s="234"/>
      <c r="L35" s="234"/>
      <c r="M35" s="234"/>
      <c r="N35" s="234"/>
      <c r="O35" s="234"/>
      <c r="P35" s="234"/>
      <c r="Q35" s="234"/>
      <c r="R35" s="234"/>
      <c r="S35" s="234"/>
      <c r="T35" s="234"/>
      <c r="U35" s="234"/>
      <c r="V35" s="234"/>
      <c r="W35" s="234"/>
      <c r="X35" s="123"/>
      <c r="Y35" s="123"/>
      <c r="Z35" s="123"/>
      <c r="AA35" s="123"/>
      <c r="AB35" s="123"/>
    </row>
    <row r="36" spans="1:28" ht="15.75" customHeight="1" x14ac:dyDescent="0.2">
      <c r="G36" s="234"/>
      <c r="H36" s="234"/>
      <c r="I36" s="234"/>
      <c r="J36" s="234"/>
      <c r="K36" s="234"/>
      <c r="L36" s="234"/>
      <c r="M36" s="234"/>
      <c r="N36" s="234"/>
      <c r="O36" s="234"/>
      <c r="P36" s="234"/>
      <c r="Q36" s="234"/>
      <c r="R36" s="234"/>
      <c r="S36" s="234"/>
      <c r="T36" s="234"/>
      <c r="U36" s="234"/>
      <c r="V36" s="234"/>
      <c r="W36" s="234"/>
      <c r="X36" s="123"/>
      <c r="Y36" s="123"/>
      <c r="Z36" s="123"/>
      <c r="AA36" s="123"/>
      <c r="AB36" s="123"/>
    </row>
    <row r="37" spans="1:28" ht="15.75" customHeight="1" x14ac:dyDescent="0.2">
      <c r="G37" s="234"/>
      <c r="H37" s="234"/>
      <c r="I37" s="234"/>
      <c r="J37" s="234"/>
      <c r="K37" s="234"/>
      <c r="L37" s="234"/>
      <c r="M37" s="234"/>
      <c r="N37" s="234"/>
      <c r="O37" s="234"/>
      <c r="P37" s="234"/>
      <c r="Q37" s="234"/>
      <c r="R37" s="234"/>
      <c r="S37" s="234"/>
      <c r="T37" s="234"/>
      <c r="U37" s="234"/>
      <c r="V37" s="234"/>
      <c r="W37" s="234"/>
      <c r="X37" s="123"/>
      <c r="Y37" s="123"/>
      <c r="Z37" s="123"/>
      <c r="AA37" s="123"/>
      <c r="AB37" s="123"/>
    </row>
    <row r="38" spans="1:28" ht="15.75" customHeight="1" x14ac:dyDescent="0.2">
      <c r="G38" s="234"/>
      <c r="H38" s="234"/>
      <c r="I38" s="234"/>
      <c r="J38" s="234"/>
      <c r="K38" s="234"/>
      <c r="L38" s="234"/>
      <c r="M38" s="234"/>
      <c r="N38" s="234"/>
      <c r="O38" s="234"/>
      <c r="P38" s="234"/>
      <c r="Q38" s="234"/>
      <c r="R38" s="234"/>
      <c r="S38" s="234"/>
      <c r="T38" s="234"/>
      <c r="U38" s="234"/>
      <c r="V38" s="234"/>
      <c r="W38" s="234"/>
      <c r="X38" s="123"/>
      <c r="Y38" s="123"/>
      <c r="Z38" s="123"/>
      <c r="AA38" s="123"/>
      <c r="AB38" s="123"/>
    </row>
    <row r="39" spans="1:28" ht="15.75" customHeight="1" x14ac:dyDescent="0.2">
      <c r="G39" s="234"/>
      <c r="H39" s="234"/>
      <c r="I39" s="234"/>
      <c r="J39" s="234"/>
      <c r="K39" s="234"/>
      <c r="L39" s="234"/>
      <c r="M39" s="234"/>
      <c r="N39" s="234"/>
      <c r="O39" s="234"/>
      <c r="P39" s="234"/>
      <c r="Q39" s="234"/>
      <c r="R39" s="234"/>
      <c r="S39" s="234"/>
      <c r="T39" s="234"/>
      <c r="U39" s="234"/>
      <c r="V39" s="234"/>
      <c r="W39" s="234"/>
      <c r="X39" s="123"/>
      <c r="Y39" s="123"/>
      <c r="Z39" s="123"/>
      <c r="AA39" s="123"/>
      <c r="AB39" s="123"/>
    </row>
    <row r="40" spans="1:28" ht="15.75" customHeight="1" x14ac:dyDescent="0.2">
      <c r="G40" s="234"/>
      <c r="H40" s="234"/>
      <c r="I40" s="234"/>
      <c r="J40" s="234"/>
      <c r="K40" s="234"/>
      <c r="L40" s="234"/>
      <c r="M40" s="234"/>
      <c r="N40" s="234"/>
      <c r="O40" s="234"/>
      <c r="P40" s="234"/>
      <c r="Q40" s="234"/>
      <c r="R40" s="234"/>
      <c r="S40" s="234"/>
      <c r="T40" s="234"/>
      <c r="U40" s="234"/>
      <c r="V40" s="234"/>
      <c r="W40" s="234"/>
      <c r="X40" s="123"/>
      <c r="Y40" s="123"/>
      <c r="Z40" s="123"/>
      <c r="AA40" s="123"/>
      <c r="AB40" s="123"/>
    </row>
    <row r="41" spans="1:28" ht="15.75" customHeight="1" x14ac:dyDescent="0.2">
      <c r="G41" s="234"/>
      <c r="H41" s="234"/>
      <c r="I41" s="234"/>
      <c r="J41" s="234"/>
      <c r="K41" s="234"/>
      <c r="L41" s="234"/>
      <c r="M41" s="234"/>
      <c r="N41" s="234"/>
      <c r="O41" s="234"/>
      <c r="P41" s="234"/>
      <c r="Q41" s="234"/>
      <c r="R41" s="234"/>
      <c r="S41" s="234"/>
      <c r="T41" s="234"/>
      <c r="U41" s="234"/>
      <c r="V41" s="234"/>
      <c r="W41" s="234"/>
      <c r="X41" s="123"/>
      <c r="Y41" s="123"/>
      <c r="Z41" s="123"/>
      <c r="AA41" s="123"/>
      <c r="AB41" s="123"/>
    </row>
    <row r="42" spans="1:28" ht="15.75" customHeight="1" x14ac:dyDescent="0.2">
      <c r="G42" s="234"/>
      <c r="H42" s="234"/>
      <c r="I42" s="234"/>
      <c r="J42" s="234"/>
      <c r="K42" s="234"/>
      <c r="L42" s="234"/>
      <c r="M42" s="234"/>
      <c r="N42" s="234"/>
      <c r="O42" s="234"/>
      <c r="P42" s="234"/>
      <c r="Q42" s="234"/>
      <c r="R42" s="234"/>
      <c r="S42" s="234"/>
      <c r="T42" s="234"/>
      <c r="U42" s="234"/>
      <c r="V42" s="234"/>
      <c r="W42" s="234"/>
      <c r="X42" s="123"/>
      <c r="Y42" s="123"/>
      <c r="Z42" s="123"/>
      <c r="AA42" s="123"/>
      <c r="AB42" s="123"/>
    </row>
    <row r="43" spans="1:28" ht="15.75" customHeight="1" x14ac:dyDescent="0.2">
      <c r="G43" s="234"/>
      <c r="H43" s="234"/>
      <c r="I43" s="234"/>
      <c r="J43" s="234"/>
      <c r="K43" s="234"/>
      <c r="L43" s="234"/>
      <c r="M43" s="234"/>
      <c r="N43" s="234"/>
      <c r="O43" s="234"/>
      <c r="P43" s="234"/>
      <c r="Q43" s="234"/>
      <c r="R43" s="234"/>
      <c r="S43" s="234"/>
      <c r="T43" s="234"/>
      <c r="U43" s="234"/>
      <c r="V43" s="234"/>
      <c r="W43" s="234"/>
      <c r="X43" s="123"/>
      <c r="Y43" s="123"/>
      <c r="Z43" s="123"/>
      <c r="AA43" s="123"/>
      <c r="AB43" s="123"/>
    </row>
    <row r="44" spans="1:28" ht="15.75" customHeight="1" x14ac:dyDescent="0.2">
      <c r="G44" s="234"/>
      <c r="H44" s="234"/>
      <c r="I44" s="234"/>
      <c r="J44" s="234"/>
      <c r="K44" s="234"/>
      <c r="L44" s="234"/>
      <c r="M44" s="234"/>
      <c r="N44" s="234"/>
      <c r="O44" s="234"/>
      <c r="P44" s="234"/>
      <c r="Q44" s="234"/>
      <c r="R44" s="234"/>
      <c r="S44" s="234"/>
      <c r="T44" s="234"/>
      <c r="U44" s="234"/>
      <c r="V44" s="234"/>
      <c r="W44" s="234"/>
      <c r="X44" s="123"/>
      <c r="Y44" s="123"/>
      <c r="Z44" s="123"/>
      <c r="AA44" s="123"/>
      <c r="AB44" s="123"/>
    </row>
    <row r="45" spans="1:28" ht="15.75" customHeight="1" x14ac:dyDescent="0.2">
      <c r="G45" s="234"/>
      <c r="H45" s="234"/>
      <c r="I45" s="234"/>
      <c r="J45" s="234"/>
      <c r="K45" s="234"/>
      <c r="L45" s="234"/>
      <c r="M45" s="234"/>
      <c r="N45" s="234"/>
      <c r="O45" s="234"/>
      <c r="P45" s="234"/>
      <c r="Q45" s="234"/>
      <c r="R45" s="234"/>
      <c r="S45" s="234"/>
      <c r="T45" s="234"/>
      <c r="U45" s="234"/>
      <c r="V45" s="234"/>
      <c r="W45" s="234"/>
      <c r="X45" s="123"/>
      <c r="Y45" s="123"/>
      <c r="Z45" s="123"/>
      <c r="AA45" s="123"/>
      <c r="AB45" s="123"/>
    </row>
    <row r="46" spans="1:28" ht="15.75" customHeight="1" x14ac:dyDescent="0.2">
      <c r="G46" s="234"/>
      <c r="H46" s="234"/>
      <c r="I46" s="234"/>
      <c r="J46" s="234"/>
      <c r="K46" s="234"/>
      <c r="L46" s="234"/>
      <c r="M46" s="234"/>
      <c r="N46" s="234"/>
      <c r="O46" s="234"/>
      <c r="P46" s="234"/>
      <c r="Q46" s="234"/>
      <c r="R46" s="234"/>
      <c r="S46" s="234"/>
      <c r="T46" s="234"/>
      <c r="U46" s="234"/>
      <c r="V46" s="234"/>
      <c r="W46" s="234"/>
      <c r="X46" s="123"/>
      <c r="Y46" s="123"/>
      <c r="Z46" s="123"/>
      <c r="AA46" s="123"/>
      <c r="AB46" s="123"/>
    </row>
    <row r="47" spans="1:28" ht="15.75" customHeight="1" x14ac:dyDescent="0.2">
      <c r="G47" s="234"/>
      <c r="H47" s="234"/>
      <c r="I47" s="234"/>
      <c r="J47" s="234"/>
      <c r="K47" s="234"/>
      <c r="L47" s="234"/>
      <c r="M47" s="234"/>
      <c r="N47" s="234"/>
      <c r="O47" s="234"/>
      <c r="P47" s="234"/>
      <c r="Q47" s="234"/>
      <c r="R47" s="234"/>
      <c r="S47" s="234"/>
      <c r="T47" s="234"/>
      <c r="U47" s="234"/>
      <c r="V47" s="234"/>
      <c r="W47" s="234"/>
      <c r="X47" s="123"/>
      <c r="Y47" s="123"/>
      <c r="Z47" s="123"/>
      <c r="AA47" s="123"/>
      <c r="AB47" s="123"/>
    </row>
    <row r="48" spans="1:28" ht="15.75" customHeight="1" x14ac:dyDescent="0.2">
      <c r="G48" s="234"/>
      <c r="H48" s="234"/>
      <c r="I48" s="234"/>
      <c r="J48" s="234"/>
      <c r="K48" s="234"/>
      <c r="L48" s="234"/>
      <c r="M48" s="234"/>
      <c r="N48" s="234"/>
      <c r="O48" s="234"/>
      <c r="P48" s="234"/>
      <c r="Q48" s="234"/>
      <c r="R48" s="234"/>
      <c r="S48" s="234"/>
      <c r="T48" s="234"/>
      <c r="U48" s="234"/>
      <c r="V48" s="234"/>
      <c r="W48" s="234"/>
      <c r="X48" s="123"/>
      <c r="Y48" s="123"/>
      <c r="Z48" s="123"/>
      <c r="AA48" s="123"/>
      <c r="AB48" s="123"/>
    </row>
    <row r="49" spans="7:28" ht="15.75" customHeight="1" x14ac:dyDescent="0.2">
      <c r="G49" s="234"/>
      <c r="H49" s="234"/>
      <c r="I49" s="234"/>
      <c r="J49" s="234"/>
      <c r="K49" s="234"/>
      <c r="L49" s="234"/>
      <c r="M49" s="234"/>
      <c r="N49" s="234"/>
      <c r="O49" s="234"/>
      <c r="P49" s="234"/>
      <c r="Q49" s="234"/>
      <c r="R49" s="234"/>
      <c r="S49" s="234"/>
      <c r="T49" s="234"/>
      <c r="U49" s="234"/>
      <c r="V49" s="234"/>
      <c r="W49" s="234"/>
      <c r="X49" s="123"/>
      <c r="Y49" s="123"/>
      <c r="Z49" s="123"/>
      <c r="AA49" s="123"/>
      <c r="AB49" s="123"/>
    </row>
    <row r="50" spans="7:28" ht="15.75" customHeight="1" x14ac:dyDescent="0.2">
      <c r="G50" s="234"/>
      <c r="H50" s="234"/>
      <c r="I50" s="234"/>
      <c r="J50" s="234"/>
      <c r="K50" s="234"/>
      <c r="L50" s="234"/>
      <c r="M50" s="234"/>
      <c r="N50" s="234"/>
      <c r="O50" s="234"/>
      <c r="P50" s="234"/>
      <c r="Q50" s="234"/>
      <c r="R50" s="234"/>
      <c r="S50" s="234"/>
      <c r="T50" s="234"/>
      <c r="U50" s="234"/>
      <c r="V50" s="234"/>
      <c r="W50" s="234"/>
      <c r="X50" s="123"/>
      <c r="Y50" s="123"/>
      <c r="Z50" s="123"/>
      <c r="AA50" s="123"/>
      <c r="AB50" s="123"/>
    </row>
    <row r="51" spans="7:28" ht="15.75" customHeight="1" x14ac:dyDescent="0.2">
      <c r="G51" s="234"/>
      <c r="H51" s="234"/>
      <c r="I51" s="234"/>
      <c r="J51" s="234"/>
      <c r="K51" s="234"/>
      <c r="L51" s="234"/>
      <c r="M51" s="234"/>
      <c r="N51" s="234"/>
      <c r="O51" s="234"/>
      <c r="P51" s="234"/>
      <c r="Q51" s="234"/>
      <c r="R51" s="234"/>
      <c r="S51" s="234"/>
      <c r="T51" s="234"/>
      <c r="U51" s="234"/>
      <c r="V51" s="234"/>
      <c r="W51" s="234"/>
      <c r="X51" s="123"/>
      <c r="Y51" s="123"/>
      <c r="Z51" s="123"/>
      <c r="AA51" s="123"/>
      <c r="AB51" s="123"/>
    </row>
    <row r="52" spans="7:28" ht="15.75" customHeight="1" x14ac:dyDescent="0.2">
      <c r="G52" s="234"/>
      <c r="H52" s="234"/>
      <c r="I52" s="234"/>
      <c r="J52" s="234"/>
      <c r="K52" s="234"/>
      <c r="L52" s="234"/>
      <c r="M52" s="234"/>
      <c r="N52" s="234"/>
      <c r="O52" s="234"/>
      <c r="P52" s="234"/>
      <c r="Q52" s="234"/>
      <c r="R52" s="234"/>
      <c r="S52" s="234"/>
      <c r="T52" s="234"/>
      <c r="U52" s="234"/>
      <c r="V52" s="234"/>
      <c r="W52" s="234"/>
      <c r="X52" s="123"/>
      <c r="Y52" s="123"/>
      <c r="Z52" s="123"/>
      <c r="AA52" s="123"/>
      <c r="AB52" s="123"/>
    </row>
    <row r="53" spans="7:28" ht="15.75" customHeight="1" x14ac:dyDescent="0.2">
      <c r="G53" s="234"/>
      <c r="H53" s="234"/>
      <c r="I53" s="234"/>
      <c r="J53" s="234"/>
      <c r="K53" s="234"/>
      <c r="L53" s="234"/>
      <c r="M53" s="234"/>
      <c r="N53" s="234"/>
      <c r="O53" s="234"/>
      <c r="P53" s="234"/>
      <c r="Q53" s="234"/>
      <c r="R53" s="234"/>
      <c r="S53" s="234"/>
      <c r="T53" s="234"/>
      <c r="U53" s="234"/>
      <c r="V53" s="234"/>
      <c r="W53" s="234"/>
      <c r="X53" s="123"/>
      <c r="Y53" s="123"/>
      <c r="Z53" s="123"/>
      <c r="AA53" s="123"/>
      <c r="AB53" s="123"/>
    </row>
    <row r="54" spans="7:28" ht="15.75" customHeight="1" x14ac:dyDescent="0.2">
      <c r="G54" s="234"/>
      <c r="H54" s="234"/>
      <c r="I54" s="234"/>
      <c r="J54" s="234"/>
      <c r="K54" s="234"/>
      <c r="L54" s="234"/>
      <c r="M54" s="234"/>
      <c r="N54" s="234"/>
      <c r="O54" s="234"/>
      <c r="P54" s="234"/>
      <c r="Q54" s="234"/>
      <c r="R54" s="234"/>
      <c r="S54" s="234"/>
      <c r="T54" s="234"/>
      <c r="U54" s="234"/>
      <c r="V54" s="234"/>
      <c r="W54" s="234"/>
      <c r="X54" s="123"/>
      <c r="Y54" s="123"/>
      <c r="Z54" s="123"/>
      <c r="AA54" s="123"/>
      <c r="AB54" s="123"/>
    </row>
    <row r="55" spans="7:28" ht="15.75" customHeight="1" x14ac:dyDescent="0.2">
      <c r="G55" s="234"/>
      <c r="H55" s="234"/>
      <c r="I55" s="234"/>
      <c r="J55" s="234"/>
      <c r="K55" s="234"/>
      <c r="L55" s="234"/>
      <c r="M55" s="234"/>
      <c r="N55" s="234"/>
      <c r="O55" s="234"/>
      <c r="P55" s="234"/>
      <c r="Q55" s="234"/>
      <c r="R55" s="234"/>
      <c r="S55" s="234"/>
      <c r="T55" s="234"/>
      <c r="U55" s="234"/>
      <c r="V55" s="234"/>
      <c r="W55" s="234"/>
      <c r="X55" s="123"/>
      <c r="Y55" s="123"/>
      <c r="Z55" s="123"/>
      <c r="AA55" s="123"/>
      <c r="AB55" s="123"/>
    </row>
    <row r="56" spans="7:28" ht="15.75" customHeight="1" x14ac:dyDescent="0.2">
      <c r="G56" s="234"/>
      <c r="H56" s="234"/>
      <c r="I56" s="234"/>
      <c r="J56" s="234"/>
      <c r="K56" s="234"/>
      <c r="L56" s="234"/>
      <c r="M56" s="234"/>
      <c r="N56" s="234"/>
      <c r="O56" s="234"/>
      <c r="P56" s="234"/>
      <c r="Q56" s="234"/>
      <c r="R56" s="234"/>
      <c r="S56" s="234"/>
      <c r="T56" s="234"/>
      <c r="U56" s="234"/>
      <c r="V56" s="234"/>
      <c r="W56" s="234"/>
      <c r="X56" s="123"/>
      <c r="Y56" s="123"/>
      <c r="Z56" s="123"/>
      <c r="AA56" s="123"/>
      <c r="AB56" s="123"/>
    </row>
    <row r="57" spans="7:28" ht="15.75" customHeight="1" x14ac:dyDescent="0.2">
      <c r="G57" s="234"/>
      <c r="H57" s="234"/>
      <c r="I57" s="234"/>
      <c r="J57" s="234"/>
      <c r="K57" s="234"/>
      <c r="L57" s="234"/>
      <c r="M57" s="234"/>
      <c r="N57" s="234"/>
      <c r="O57" s="234"/>
      <c r="P57" s="234"/>
      <c r="Q57" s="234"/>
      <c r="R57" s="234"/>
      <c r="S57" s="234"/>
      <c r="T57" s="234"/>
      <c r="U57" s="234"/>
      <c r="V57" s="234"/>
      <c r="W57" s="234"/>
      <c r="X57" s="123"/>
      <c r="Y57" s="123"/>
      <c r="Z57" s="123"/>
      <c r="AA57" s="123"/>
      <c r="AB57" s="123"/>
    </row>
    <row r="58" spans="7:28" ht="15.75" customHeight="1" x14ac:dyDescent="0.2">
      <c r="G58" s="234"/>
      <c r="H58" s="234"/>
      <c r="I58" s="234"/>
      <c r="J58" s="234"/>
      <c r="K58" s="234"/>
      <c r="L58" s="234"/>
      <c r="M58" s="234"/>
      <c r="N58" s="234"/>
      <c r="O58" s="234"/>
      <c r="P58" s="234"/>
      <c r="Q58" s="234"/>
      <c r="R58" s="234"/>
      <c r="S58" s="234"/>
      <c r="T58" s="234"/>
      <c r="U58" s="234"/>
      <c r="V58" s="234"/>
      <c r="W58" s="234"/>
      <c r="X58" s="123"/>
      <c r="Y58" s="123"/>
      <c r="Z58" s="123"/>
      <c r="AA58" s="123"/>
      <c r="AB58" s="123"/>
    </row>
    <row r="59" spans="7:28" ht="15.75" customHeight="1" x14ac:dyDescent="0.2">
      <c r="G59" s="234"/>
      <c r="H59" s="234"/>
      <c r="I59" s="234"/>
      <c r="J59" s="234"/>
      <c r="K59" s="234"/>
      <c r="L59" s="234"/>
      <c r="M59" s="234"/>
      <c r="N59" s="234"/>
      <c r="O59" s="234"/>
      <c r="P59" s="234"/>
      <c r="Q59" s="234"/>
      <c r="R59" s="234"/>
      <c r="S59" s="234"/>
      <c r="T59" s="234"/>
      <c r="U59" s="234"/>
      <c r="V59" s="234"/>
      <c r="W59" s="234"/>
      <c r="X59" s="123"/>
      <c r="Y59" s="123"/>
      <c r="Z59" s="123"/>
      <c r="AA59" s="123"/>
      <c r="AB59" s="123"/>
    </row>
    <row r="60" spans="7:28" ht="15.75" customHeight="1" x14ac:dyDescent="0.2">
      <c r="G60" s="234"/>
      <c r="H60" s="234"/>
      <c r="I60" s="234"/>
      <c r="J60" s="234"/>
      <c r="K60" s="234"/>
      <c r="L60" s="234"/>
      <c r="M60" s="234"/>
      <c r="N60" s="234"/>
      <c r="O60" s="234"/>
      <c r="P60" s="234"/>
      <c r="Q60" s="234"/>
      <c r="R60" s="234"/>
      <c r="S60" s="234"/>
      <c r="T60" s="234"/>
      <c r="U60" s="234"/>
      <c r="V60" s="234"/>
      <c r="W60" s="234"/>
      <c r="X60" s="123"/>
      <c r="Y60" s="123"/>
      <c r="Z60" s="123"/>
      <c r="AA60" s="123"/>
      <c r="AB60" s="123"/>
    </row>
    <row r="61" spans="7:28" ht="15.75" customHeight="1" x14ac:dyDescent="0.2">
      <c r="G61" s="234"/>
      <c r="H61" s="234"/>
      <c r="I61" s="234"/>
      <c r="J61" s="234"/>
      <c r="K61" s="234"/>
      <c r="L61" s="234"/>
      <c r="M61" s="234"/>
      <c r="N61" s="234"/>
      <c r="O61" s="234"/>
      <c r="P61" s="234"/>
      <c r="Q61" s="234"/>
      <c r="R61" s="234"/>
      <c r="S61" s="234"/>
      <c r="T61" s="234"/>
      <c r="U61" s="234"/>
      <c r="V61" s="234"/>
      <c r="W61" s="234"/>
      <c r="X61" s="123"/>
      <c r="Y61" s="123"/>
      <c r="Z61" s="123"/>
      <c r="AA61" s="123"/>
      <c r="AB61" s="123"/>
    </row>
    <row r="62" spans="7:28" ht="15.75" customHeight="1" x14ac:dyDescent="0.2">
      <c r="G62" s="234"/>
      <c r="H62" s="234"/>
      <c r="I62" s="234"/>
      <c r="J62" s="234"/>
      <c r="K62" s="234"/>
      <c r="L62" s="234"/>
      <c r="M62" s="234"/>
      <c r="N62" s="234"/>
      <c r="O62" s="234"/>
      <c r="P62" s="234"/>
      <c r="Q62" s="234"/>
      <c r="R62" s="234"/>
      <c r="S62" s="234"/>
      <c r="T62" s="234"/>
      <c r="U62" s="234"/>
      <c r="V62" s="234"/>
      <c r="W62" s="234"/>
      <c r="X62" s="123"/>
      <c r="Y62" s="123"/>
      <c r="Z62" s="123"/>
      <c r="AA62" s="123"/>
      <c r="AB62" s="123"/>
    </row>
    <row r="63" spans="7:28" ht="15.75" customHeight="1" x14ac:dyDescent="0.2">
      <c r="G63" s="234"/>
      <c r="H63" s="234"/>
      <c r="I63" s="234"/>
      <c r="J63" s="234"/>
      <c r="K63" s="234"/>
      <c r="L63" s="234"/>
      <c r="M63" s="234"/>
      <c r="N63" s="234"/>
      <c r="O63" s="234"/>
      <c r="P63" s="234"/>
      <c r="Q63" s="234"/>
      <c r="R63" s="234"/>
      <c r="S63" s="234"/>
      <c r="T63" s="234"/>
      <c r="U63" s="234"/>
      <c r="V63" s="234"/>
      <c r="W63" s="234"/>
      <c r="X63" s="123"/>
      <c r="Y63" s="123"/>
      <c r="Z63" s="123"/>
      <c r="AA63" s="123"/>
      <c r="AB63" s="123"/>
    </row>
    <row r="64" spans="7:28" ht="15.75" customHeight="1" x14ac:dyDescent="0.2">
      <c r="G64" s="234"/>
      <c r="H64" s="234"/>
      <c r="I64" s="234"/>
      <c r="J64" s="234"/>
      <c r="K64" s="234"/>
      <c r="L64" s="234"/>
      <c r="M64" s="234"/>
      <c r="N64" s="234"/>
      <c r="O64" s="234"/>
      <c r="P64" s="234"/>
      <c r="Q64" s="234"/>
      <c r="R64" s="234"/>
      <c r="S64" s="234"/>
      <c r="T64" s="234"/>
      <c r="U64" s="234"/>
      <c r="V64" s="234"/>
      <c r="W64" s="234"/>
      <c r="X64" s="123"/>
      <c r="Y64" s="123"/>
      <c r="Z64" s="123"/>
      <c r="AA64" s="123"/>
      <c r="AB64" s="123"/>
    </row>
    <row r="65" spans="7:28" ht="15.75" customHeight="1" x14ac:dyDescent="0.2">
      <c r="G65" s="234"/>
      <c r="H65" s="234"/>
      <c r="I65" s="234"/>
      <c r="J65" s="234"/>
      <c r="K65" s="234"/>
      <c r="L65" s="234"/>
      <c r="M65" s="234"/>
      <c r="N65" s="234"/>
      <c r="O65" s="234"/>
      <c r="P65" s="234"/>
      <c r="Q65" s="234"/>
      <c r="R65" s="234"/>
      <c r="S65" s="234"/>
      <c r="T65" s="234"/>
      <c r="U65" s="234"/>
      <c r="V65" s="234"/>
      <c r="W65" s="234"/>
      <c r="X65" s="123"/>
      <c r="Y65" s="123"/>
      <c r="Z65" s="123"/>
      <c r="AA65" s="123"/>
      <c r="AB65" s="123"/>
    </row>
    <row r="66" spans="7:28" ht="15.75" customHeight="1" x14ac:dyDescent="0.2">
      <c r="G66" s="123"/>
      <c r="H66" s="123"/>
      <c r="I66" s="123"/>
      <c r="J66" s="123"/>
      <c r="K66" s="123"/>
      <c r="L66" s="123"/>
      <c r="M66" s="123"/>
      <c r="N66" s="123"/>
      <c r="O66" s="123"/>
      <c r="P66" s="123"/>
      <c r="Q66" s="123"/>
      <c r="R66" s="123"/>
      <c r="S66" s="123"/>
      <c r="T66" s="123"/>
      <c r="U66" s="123"/>
      <c r="V66" s="123"/>
      <c r="W66" s="123"/>
      <c r="X66" s="123"/>
      <c r="Y66" s="123"/>
      <c r="Z66" s="123"/>
      <c r="AA66" s="123"/>
      <c r="AB66" s="123"/>
    </row>
    <row r="67" spans="7:28" ht="15.75" customHeight="1" x14ac:dyDescent="0.2"/>
    <row r="68" spans="7:28" ht="15.75" customHeight="1" x14ac:dyDescent="0.2"/>
    <row r="69" spans="7:28" ht="15.75" customHeight="1" x14ac:dyDescent="0.2"/>
    <row r="70" spans="7:28" ht="15.75" customHeight="1" x14ac:dyDescent="0.2"/>
    <row r="71" spans="7:28" ht="15.75" customHeight="1" x14ac:dyDescent="0.2"/>
    <row r="72" spans="7:28" ht="15.75" customHeight="1" x14ac:dyDescent="0.2"/>
    <row r="73" spans="7:28" ht="15.75" customHeight="1" x14ac:dyDescent="0.2"/>
    <row r="74" spans="7:28" ht="15.75" customHeight="1" x14ac:dyDescent="0.2"/>
    <row r="75" spans="7:28" ht="15.75" customHeight="1" x14ac:dyDescent="0.2"/>
    <row r="76" spans="7:28" ht="15.75" customHeight="1" x14ac:dyDescent="0.2"/>
    <row r="77" spans="7:28" ht="15.75" customHeight="1" x14ac:dyDescent="0.2"/>
    <row r="78" spans="7:28" ht="15.75" customHeight="1" x14ac:dyDescent="0.2"/>
    <row r="79" spans="7:28" ht="15.75" customHeight="1" x14ac:dyDescent="0.2"/>
    <row r="80" spans="7: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sheetData>
  <mergeCells count="1">
    <mergeCell ref="A2:E3"/>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J1000"/>
  <sheetViews>
    <sheetView workbookViewId="0"/>
  </sheetViews>
  <sheetFormatPr baseColWidth="10" defaultColWidth="11.1640625" defaultRowHeight="15" customHeight="1" x14ac:dyDescent="0.2"/>
  <cols>
    <col min="1" max="1" width="13.83203125" customWidth="1"/>
    <col min="2" max="2" width="18.33203125" customWidth="1"/>
    <col min="3" max="3" width="26.83203125" customWidth="1"/>
    <col min="4" max="4" width="18.33203125" customWidth="1"/>
    <col min="5" max="5" width="16.33203125" customWidth="1"/>
    <col min="6" max="6" width="13.83203125" customWidth="1"/>
    <col min="7" max="8" width="13.33203125" customWidth="1"/>
    <col min="9" max="22" width="11.6640625" customWidth="1"/>
    <col min="23" max="23" width="12.1640625" customWidth="1"/>
    <col min="24" max="24" width="11" customWidth="1"/>
    <col min="25" max="25" width="11.33203125" customWidth="1"/>
    <col min="27" max="31" width="11.6640625" customWidth="1"/>
    <col min="32" max="32" width="12.33203125" customWidth="1"/>
    <col min="33" max="33" width="11.33203125" customWidth="1"/>
    <col min="34" max="34" width="12" customWidth="1"/>
    <col min="35" max="47" width="11.6640625" customWidth="1"/>
    <col min="48" max="48" width="13.83203125" customWidth="1"/>
    <col min="49" max="58" width="11.6640625" customWidth="1"/>
    <col min="59" max="59" width="12.83203125" customWidth="1"/>
    <col min="60" max="60" width="16.1640625" customWidth="1"/>
    <col min="61" max="66" width="10.6640625" customWidth="1"/>
    <col min="67" max="67" width="15.33203125" customWidth="1"/>
    <col min="68" max="75" width="10.6640625" customWidth="1"/>
    <col min="76" max="76" width="14.1640625" customWidth="1"/>
    <col min="77" max="77" width="15.1640625" customWidth="1"/>
    <col min="78" max="78" width="15.83203125" customWidth="1"/>
    <col min="79" max="85" width="10.6640625" customWidth="1"/>
    <col min="86" max="86" width="14.1640625" customWidth="1"/>
    <col min="87" max="89" width="14.33203125" customWidth="1"/>
    <col min="90" max="90" width="14.1640625" customWidth="1"/>
    <col min="91" max="92" width="10.6640625" customWidth="1"/>
    <col min="93" max="93" width="14.83203125" customWidth="1"/>
    <col min="94" max="95" width="10.6640625" customWidth="1"/>
    <col min="96" max="97" width="13.33203125" customWidth="1"/>
    <col min="98" max="173" width="10.6640625" customWidth="1"/>
    <col min="174" max="174" width="9.83203125" customWidth="1"/>
    <col min="175" max="175" width="10.1640625" customWidth="1"/>
    <col min="176" max="179" width="10.6640625" customWidth="1"/>
    <col min="180" max="180" width="17.33203125" customWidth="1"/>
    <col min="181" max="212" width="10.6640625" customWidth="1"/>
    <col min="213" max="213" width="18.33203125" customWidth="1"/>
    <col min="214" max="218" width="10.6640625" customWidth="1"/>
    <col min="219" max="219" width="15.83203125" customWidth="1"/>
    <col min="220" max="348" width="10.6640625" customWidth="1"/>
  </cols>
  <sheetData>
    <row r="1" spans="1:348" ht="15.75" customHeight="1" x14ac:dyDescent="0.2">
      <c r="A1" s="235"/>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5"/>
      <c r="AX1" s="235"/>
      <c r="AY1" s="235"/>
      <c r="AZ1" s="235"/>
      <c r="BA1" s="235"/>
      <c r="BB1" s="235"/>
      <c r="BC1" s="235"/>
      <c r="BD1" s="235"/>
      <c r="BE1" s="235"/>
      <c r="BF1" s="235"/>
      <c r="BG1" s="235"/>
      <c r="BH1" s="235"/>
      <c r="BI1" s="235"/>
      <c r="BJ1" s="235"/>
      <c r="BK1" s="235"/>
      <c r="BL1" s="235"/>
      <c r="BM1" s="235"/>
      <c r="BN1" s="235"/>
      <c r="BO1" s="235"/>
      <c r="BP1" s="235"/>
      <c r="BQ1" s="235"/>
      <c r="BR1" s="235"/>
      <c r="BS1" s="235"/>
      <c r="BT1" s="235"/>
      <c r="BU1" s="235"/>
      <c r="BV1" s="235"/>
      <c r="BW1" s="235"/>
      <c r="BX1" s="235"/>
      <c r="BY1" s="235"/>
      <c r="BZ1" s="235"/>
      <c r="CA1" s="235"/>
      <c r="CB1" s="235"/>
      <c r="CC1" s="235"/>
      <c r="CD1" s="235"/>
      <c r="CE1" s="235"/>
      <c r="CF1" s="235"/>
      <c r="CG1" s="235"/>
      <c r="CH1" s="235"/>
      <c r="CI1" s="235"/>
      <c r="CJ1" s="235"/>
      <c r="CK1" s="235"/>
      <c r="CL1" s="235"/>
      <c r="CM1" s="235"/>
      <c r="CN1" s="235"/>
      <c r="CO1" s="235"/>
      <c r="CP1" s="235"/>
      <c r="CQ1" s="235"/>
      <c r="CR1" s="235"/>
      <c r="CS1" s="235"/>
      <c r="CT1" s="235"/>
      <c r="CU1" s="235"/>
      <c r="CV1" s="235"/>
      <c r="CW1" s="235"/>
      <c r="CX1" s="235"/>
      <c r="CY1" s="235"/>
      <c r="CZ1" s="235"/>
      <c r="DA1" s="235"/>
      <c r="DB1" s="235"/>
      <c r="DC1" s="235"/>
      <c r="DD1" s="235"/>
      <c r="DE1" s="235"/>
      <c r="DF1" s="235"/>
    </row>
    <row r="2" spans="1:348" ht="15.75" customHeight="1" x14ac:dyDescent="0.2">
      <c r="A2" s="235"/>
      <c r="B2" s="235"/>
      <c r="C2" s="235"/>
      <c r="D2" s="378" t="s">
        <v>3898</v>
      </c>
      <c r="E2" s="379"/>
      <c r="F2" s="379"/>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5"/>
      <c r="AM2" s="235"/>
      <c r="AN2" s="235"/>
      <c r="AO2" s="235"/>
      <c r="AP2" s="235"/>
      <c r="AQ2" s="235"/>
      <c r="AR2" s="235"/>
      <c r="AS2" s="235"/>
      <c r="AT2" s="235"/>
      <c r="AU2" s="235"/>
      <c r="AV2" s="235"/>
      <c r="AW2" s="235"/>
      <c r="AX2" s="235"/>
      <c r="AY2" s="235"/>
      <c r="AZ2" s="235"/>
      <c r="BA2" s="235"/>
      <c r="BB2" s="235"/>
      <c r="BC2" s="235"/>
      <c r="BD2" s="235"/>
      <c r="BE2" s="235"/>
      <c r="BF2" s="235"/>
      <c r="BG2" s="235"/>
      <c r="BH2" s="235"/>
      <c r="BI2" s="235"/>
      <c r="BJ2" s="235"/>
      <c r="BK2" s="235"/>
      <c r="BL2" s="235"/>
      <c r="BM2" s="235"/>
      <c r="BN2" s="235"/>
      <c r="BO2" s="235"/>
      <c r="BP2" s="235"/>
      <c r="BQ2" s="235"/>
      <c r="BR2" s="235"/>
      <c r="BS2" s="235"/>
      <c r="BT2" s="235"/>
      <c r="BU2" s="235"/>
      <c r="BV2" s="235"/>
      <c r="BW2" s="235"/>
      <c r="BX2" s="235"/>
      <c r="BY2" s="235"/>
      <c r="BZ2" s="235"/>
      <c r="CA2" s="235"/>
      <c r="CB2" s="235"/>
      <c r="CC2" s="235"/>
      <c r="CD2" s="235"/>
      <c r="CE2" s="235"/>
      <c r="CF2" s="235"/>
      <c r="CG2" s="235"/>
      <c r="CH2" s="235"/>
      <c r="CI2" s="235"/>
      <c r="CJ2" s="235"/>
      <c r="CK2" s="235"/>
      <c r="CL2" s="235"/>
      <c r="CM2" s="235"/>
      <c r="CN2" s="235"/>
      <c r="CO2" s="235"/>
      <c r="CP2" s="235"/>
      <c r="CQ2" s="235"/>
      <c r="CR2" s="235"/>
      <c r="CS2" s="235"/>
      <c r="CT2" s="235"/>
      <c r="CU2" s="235"/>
      <c r="CV2" s="235"/>
      <c r="CW2" s="235"/>
      <c r="CX2" s="235"/>
      <c r="CY2" s="235"/>
      <c r="CZ2" s="235"/>
      <c r="DA2" s="235"/>
      <c r="DB2" s="235"/>
      <c r="DC2" s="235"/>
      <c r="DD2" s="235"/>
      <c r="DE2" s="235"/>
      <c r="DF2" s="235"/>
    </row>
    <row r="3" spans="1:348" ht="15.75" customHeight="1" x14ac:dyDescent="0.2">
      <c r="A3" s="235"/>
      <c r="B3" s="235"/>
      <c r="C3" s="235"/>
      <c r="D3" s="235"/>
      <c r="E3" s="235"/>
      <c r="F3" s="235"/>
      <c r="G3" s="235"/>
      <c r="H3" s="235"/>
      <c r="I3" s="235"/>
      <c r="J3" s="235"/>
      <c r="K3" s="235"/>
      <c r="L3" s="235"/>
      <c r="M3" s="235"/>
      <c r="N3" s="235"/>
      <c r="O3" s="235"/>
      <c r="P3" s="235"/>
      <c r="Q3" s="235"/>
      <c r="R3" s="235"/>
      <c r="S3" s="235"/>
      <c r="T3" s="235"/>
      <c r="U3" s="235"/>
      <c r="V3" s="235"/>
      <c r="W3" s="235"/>
      <c r="X3" s="235"/>
      <c r="Y3" s="235"/>
      <c r="Z3" s="235"/>
      <c r="AA3" s="235"/>
      <c r="AB3" s="235"/>
      <c r="AC3" s="235"/>
      <c r="AD3" s="235"/>
      <c r="AE3" s="235"/>
      <c r="AF3" s="235"/>
      <c r="AG3" s="235"/>
      <c r="AH3" s="235"/>
      <c r="AI3" s="235"/>
      <c r="AJ3" s="235"/>
      <c r="AK3" s="235"/>
      <c r="AL3" s="235"/>
      <c r="AM3" s="235"/>
      <c r="AN3" s="235"/>
      <c r="AO3" s="235"/>
      <c r="AP3" s="235"/>
      <c r="AQ3" s="235"/>
      <c r="AR3" s="235"/>
      <c r="AS3" s="235"/>
      <c r="AT3" s="235"/>
      <c r="AU3" s="235"/>
      <c r="AV3" s="235"/>
      <c r="AW3" s="235"/>
      <c r="AX3" s="235"/>
      <c r="AY3" s="235"/>
      <c r="AZ3" s="235"/>
      <c r="BA3" s="235"/>
      <c r="BB3" s="235"/>
      <c r="BC3" s="235"/>
      <c r="BD3" s="235"/>
      <c r="BE3" s="235"/>
      <c r="BF3" s="235"/>
      <c r="BG3" s="235"/>
      <c r="BH3" s="235"/>
      <c r="BI3" s="235"/>
      <c r="BJ3" s="235"/>
      <c r="BK3" s="235"/>
      <c r="BL3" s="235"/>
      <c r="BM3" s="235"/>
      <c r="BN3" s="235"/>
      <c r="BO3" s="235"/>
      <c r="BP3" s="235"/>
      <c r="BQ3" s="235"/>
      <c r="BR3" s="235"/>
      <c r="BS3" s="235"/>
      <c r="BT3" s="235"/>
      <c r="BU3" s="235"/>
      <c r="BV3" s="235"/>
      <c r="BW3" s="235"/>
      <c r="BX3" s="235"/>
      <c r="BY3" s="235"/>
      <c r="BZ3" s="235"/>
      <c r="CA3" s="235"/>
      <c r="CB3" s="235"/>
      <c r="CC3" s="235"/>
      <c r="CD3" s="235"/>
      <c r="CE3" s="235"/>
      <c r="CF3" s="235"/>
      <c r="CG3" s="235"/>
      <c r="CH3" s="235"/>
      <c r="CI3" s="235"/>
      <c r="CJ3" s="235"/>
      <c r="CK3" s="235"/>
      <c r="CL3" s="235"/>
      <c r="CM3" s="235"/>
      <c r="CN3" s="235"/>
      <c r="CO3" s="235"/>
      <c r="CP3" s="235"/>
      <c r="CQ3" s="235"/>
      <c r="CR3" s="235"/>
      <c r="CS3" s="235"/>
      <c r="CT3" s="235"/>
      <c r="CU3" s="235"/>
      <c r="CV3" s="235"/>
      <c r="CW3" s="235"/>
      <c r="CX3" s="235"/>
      <c r="CY3" s="235"/>
      <c r="CZ3" s="235"/>
      <c r="DA3" s="235"/>
      <c r="DB3" s="235"/>
      <c r="DC3" s="235"/>
      <c r="DD3" s="235"/>
      <c r="DE3" s="235"/>
      <c r="DF3" s="235"/>
    </row>
    <row r="4" spans="1:348" ht="14.25" customHeight="1" x14ac:dyDescent="0.2">
      <c r="A4" s="235"/>
      <c r="B4" s="235"/>
      <c r="C4" s="380" t="s">
        <v>3899</v>
      </c>
      <c r="D4" s="356"/>
      <c r="E4" s="357"/>
      <c r="F4" s="236"/>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row>
    <row r="5" spans="1:348" ht="14.25" customHeight="1" x14ac:dyDescent="0.2">
      <c r="A5" s="235"/>
      <c r="B5" s="235"/>
      <c r="C5" s="381" t="s">
        <v>3900</v>
      </c>
      <c r="D5" s="356"/>
      <c r="E5" s="357"/>
      <c r="F5" s="236"/>
      <c r="G5" s="235"/>
      <c r="H5" s="235"/>
      <c r="I5" s="235"/>
      <c r="J5" s="235"/>
      <c r="K5" s="235"/>
      <c r="L5" s="235"/>
      <c r="M5" s="235"/>
      <c r="N5" s="235"/>
      <c r="O5" s="235"/>
      <c r="P5" s="235"/>
      <c r="Q5" s="235"/>
      <c r="R5" s="235"/>
      <c r="S5" s="235"/>
      <c r="T5" s="235"/>
      <c r="U5" s="235"/>
      <c r="V5" s="235"/>
      <c r="W5" s="235"/>
      <c r="X5" s="235"/>
      <c r="Y5" s="235"/>
      <c r="Z5" s="235"/>
      <c r="AA5" s="235"/>
      <c r="AB5" s="235"/>
      <c r="AC5" s="235"/>
      <c r="AD5" s="235"/>
      <c r="AE5" s="235"/>
      <c r="AF5" s="235"/>
      <c r="AG5" s="235"/>
      <c r="AH5" s="235"/>
      <c r="AI5" s="235"/>
      <c r="AJ5" s="235"/>
      <c r="AK5" s="235"/>
      <c r="AL5" s="235"/>
      <c r="AM5" s="235"/>
      <c r="AN5" s="235"/>
      <c r="AO5" s="235"/>
      <c r="AP5" s="235"/>
      <c r="AQ5" s="235"/>
      <c r="AR5" s="235"/>
      <c r="AS5" s="235"/>
      <c r="AT5" s="235"/>
      <c r="AU5" s="235"/>
      <c r="AV5" s="235"/>
      <c r="AW5" s="235"/>
      <c r="AX5" s="235"/>
      <c r="AY5" s="235"/>
      <c r="AZ5" s="235"/>
      <c r="BA5" s="235"/>
      <c r="BB5" s="235"/>
      <c r="BC5" s="235"/>
      <c r="BD5" s="235"/>
      <c r="BE5" s="235"/>
      <c r="BF5" s="235"/>
      <c r="BG5" s="235"/>
      <c r="BH5" s="235"/>
      <c r="BI5" s="235"/>
      <c r="BJ5" s="235"/>
      <c r="BK5" s="235"/>
      <c r="BL5" s="235"/>
      <c r="BM5" s="235"/>
      <c r="BN5" s="235"/>
      <c r="BO5" s="235"/>
      <c r="BP5" s="235"/>
      <c r="BQ5" s="235"/>
      <c r="BR5" s="235"/>
      <c r="BS5" s="235"/>
      <c r="BT5" s="235"/>
      <c r="BU5" s="235"/>
      <c r="BV5" s="235"/>
      <c r="BW5" s="235"/>
      <c r="BX5" s="235"/>
      <c r="BY5" s="235"/>
      <c r="BZ5" s="235"/>
      <c r="CA5" s="235"/>
      <c r="CB5" s="235"/>
      <c r="CC5" s="235"/>
      <c r="CD5" s="235"/>
      <c r="CE5" s="235"/>
      <c r="CF5" s="235"/>
      <c r="CG5" s="235"/>
      <c r="CH5" s="235"/>
      <c r="CI5" s="235"/>
      <c r="CJ5" s="235"/>
      <c r="CK5" s="235"/>
      <c r="CL5" s="235"/>
      <c r="CM5" s="235"/>
      <c r="CN5" s="235"/>
      <c r="CO5" s="235"/>
      <c r="CP5" s="235"/>
      <c r="CQ5" s="235"/>
      <c r="CR5" s="235"/>
      <c r="CS5" s="235"/>
      <c r="CT5" s="235"/>
      <c r="CU5" s="235"/>
      <c r="CV5" s="235"/>
      <c r="CW5" s="235"/>
      <c r="CX5" s="235"/>
      <c r="CY5" s="235"/>
      <c r="CZ5" s="235"/>
      <c r="DA5" s="235"/>
      <c r="DB5" s="235"/>
      <c r="DC5" s="235"/>
      <c r="DD5" s="235"/>
      <c r="DE5" s="235"/>
      <c r="DF5" s="235"/>
    </row>
    <row r="6" spans="1:348" ht="51" customHeight="1" x14ac:dyDescent="0.2">
      <c r="A6" s="237"/>
      <c r="B6" s="237"/>
      <c r="C6" s="237"/>
      <c r="D6" s="237"/>
      <c r="E6" s="237"/>
      <c r="F6" s="238" t="s">
        <v>3580</v>
      </c>
      <c r="G6" s="377" t="s">
        <v>3581</v>
      </c>
      <c r="H6" s="357"/>
      <c r="I6" s="376" t="s">
        <v>3582</v>
      </c>
      <c r="J6" s="357"/>
      <c r="K6" s="377" t="s">
        <v>3583</v>
      </c>
      <c r="L6" s="357"/>
      <c r="M6" s="377" t="s">
        <v>3584</v>
      </c>
      <c r="N6" s="357"/>
      <c r="O6" s="377" t="s">
        <v>3585</v>
      </c>
      <c r="P6" s="357"/>
      <c r="Q6" s="377" t="s">
        <v>3586</v>
      </c>
      <c r="R6" s="357"/>
      <c r="S6" s="377" t="s">
        <v>3586</v>
      </c>
      <c r="T6" s="357"/>
      <c r="U6" s="377" t="s">
        <v>3586</v>
      </c>
      <c r="V6" s="357"/>
      <c r="W6" s="377" t="s">
        <v>3587</v>
      </c>
      <c r="X6" s="357"/>
      <c r="Y6" s="377" t="s">
        <v>3587</v>
      </c>
      <c r="Z6" s="357"/>
      <c r="AA6" s="377" t="s">
        <v>3587</v>
      </c>
      <c r="AB6" s="357"/>
      <c r="AC6" s="377" t="s">
        <v>3587</v>
      </c>
      <c r="AD6" s="357"/>
      <c r="AE6" s="377" t="s">
        <v>3588</v>
      </c>
      <c r="AF6" s="357"/>
      <c r="AG6" s="377" t="s">
        <v>3588</v>
      </c>
      <c r="AH6" s="357"/>
      <c r="AI6" s="377" t="s">
        <v>3588</v>
      </c>
      <c r="AJ6" s="357"/>
      <c r="AK6" s="377" t="s">
        <v>3588</v>
      </c>
      <c r="AL6" s="357"/>
      <c r="AM6" s="376" t="s">
        <v>3589</v>
      </c>
      <c r="AN6" s="357"/>
      <c r="AO6" s="376" t="s">
        <v>3590</v>
      </c>
      <c r="AP6" s="357"/>
      <c r="AQ6" s="376" t="s">
        <v>3591</v>
      </c>
      <c r="AR6" s="357"/>
      <c r="AS6" s="376" t="s">
        <v>3591</v>
      </c>
      <c r="AT6" s="357"/>
      <c r="AU6" s="377" t="s">
        <v>3592</v>
      </c>
      <c r="AV6" s="357"/>
      <c r="AW6" s="377" t="s">
        <v>3592</v>
      </c>
      <c r="AX6" s="357"/>
      <c r="AY6" s="377" t="s">
        <v>3592</v>
      </c>
      <c r="AZ6" s="357"/>
      <c r="BA6" s="376" t="s">
        <v>3593</v>
      </c>
      <c r="BB6" s="357"/>
      <c r="BC6" s="377" t="s">
        <v>3594</v>
      </c>
      <c r="BD6" s="357"/>
      <c r="BE6" s="376" t="s">
        <v>3901</v>
      </c>
      <c r="BF6" s="357"/>
      <c r="BG6" s="376" t="s">
        <v>3902</v>
      </c>
      <c r="BH6" s="357"/>
      <c r="BI6" s="376" t="s">
        <v>3597</v>
      </c>
      <c r="BJ6" s="357"/>
      <c r="BK6" s="376" t="s">
        <v>3598</v>
      </c>
      <c r="BL6" s="357"/>
      <c r="BM6" s="376" t="s">
        <v>3599</v>
      </c>
      <c r="BN6" s="357"/>
      <c r="BO6" s="376" t="s">
        <v>3600</v>
      </c>
      <c r="BP6" s="357"/>
      <c r="BQ6" s="376" t="s">
        <v>3601</v>
      </c>
      <c r="BR6" s="357"/>
      <c r="BS6" s="376" t="s">
        <v>3602</v>
      </c>
      <c r="BT6" s="357"/>
      <c r="BU6" s="376" t="s">
        <v>3603</v>
      </c>
      <c r="BV6" s="357"/>
      <c r="BW6" s="376" t="s">
        <v>3604</v>
      </c>
      <c r="BX6" s="357"/>
      <c r="BY6" s="376" t="s">
        <v>3605</v>
      </c>
      <c r="BZ6" s="357"/>
      <c r="CA6" s="376" t="s">
        <v>3605</v>
      </c>
      <c r="CB6" s="357"/>
      <c r="CC6" s="376" t="s">
        <v>3606</v>
      </c>
      <c r="CD6" s="357"/>
      <c r="CE6" s="376" t="s">
        <v>3607</v>
      </c>
      <c r="CF6" s="357"/>
      <c r="CG6" s="377" t="s">
        <v>3608</v>
      </c>
      <c r="CH6" s="357"/>
      <c r="CI6" s="377" t="s">
        <v>3608</v>
      </c>
      <c r="CJ6" s="357"/>
      <c r="CK6" s="377" t="s">
        <v>3609</v>
      </c>
      <c r="CL6" s="357"/>
      <c r="CM6" s="377" t="s">
        <v>3610</v>
      </c>
      <c r="CN6" s="357"/>
      <c r="CO6" s="377" t="s">
        <v>3610</v>
      </c>
      <c r="CP6" s="357"/>
      <c r="CQ6" s="377" t="s">
        <v>3610</v>
      </c>
      <c r="CR6" s="357"/>
      <c r="CS6" s="377" t="s">
        <v>3610</v>
      </c>
      <c r="CT6" s="357"/>
      <c r="CU6" s="376" t="s">
        <v>3611</v>
      </c>
      <c r="CV6" s="357"/>
      <c r="CW6" s="377" t="s">
        <v>3612</v>
      </c>
      <c r="CX6" s="357"/>
      <c r="CY6" s="377" t="s">
        <v>3612</v>
      </c>
      <c r="CZ6" s="357"/>
      <c r="DA6" s="377" t="s">
        <v>3612</v>
      </c>
      <c r="DB6" s="357"/>
      <c r="DC6" s="376" t="s">
        <v>3613</v>
      </c>
      <c r="DD6" s="357"/>
      <c r="DE6" s="376" t="s">
        <v>3614</v>
      </c>
      <c r="DF6" s="357"/>
      <c r="DG6" s="376" t="s">
        <v>3615</v>
      </c>
      <c r="DH6" s="357"/>
      <c r="DI6" s="377" t="s">
        <v>3616</v>
      </c>
      <c r="DJ6" s="357"/>
      <c r="DK6" s="377" t="s">
        <v>3617</v>
      </c>
      <c r="DL6" s="357"/>
      <c r="DM6" s="377" t="s">
        <v>3617</v>
      </c>
      <c r="DN6" s="357"/>
      <c r="DO6" s="377" t="s">
        <v>3617</v>
      </c>
      <c r="DP6" s="357"/>
      <c r="DQ6" s="377" t="s">
        <v>3617</v>
      </c>
      <c r="DR6" s="357"/>
      <c r="DS6" s="376" t="s">
        <v>3618</v>
      </c>
      <c r="DT6" s="357"/>
      <c r="DU6" s="384" t="s">
        <v>3619</v>
      </c>
      <c r="DV6" s="357"/>
      <c r="DW6" s="376" t="s">
        <v>3620</v>
      </c>
      <c r="DX6" s="357"/>
      <c r="DY6" s="377" t="s">
        <v>3621</v>
      </c>
      <c r="DZ6" s="357"/>
      <c r="EA6" s="377" t="s">
        <v>3621</v>
      </c>
      <c r="EB6" s="357"/>
      <c r="EC6" s="377" t="s">
        <v>3621</v>
      </c>
      <c r="ED6" s="357"/>
      <c r="EE6" s="377" t="s">
        <v>3622</v>
      </c>
      <c r="EF6" s="357"/>
      <c r="EG6" s="377" t="s">
        <v>3623</v>
      </c>
      <c r="EH6" s="357"/>
      <c r="EI6" s="376" t="s">
        <v>3624</v>
      </c>
      <c r="EJ6" s="357"/>
      <c r="EK6" s="377" t="s">
        <v>3623</v>
      </c>
      <c r="EL6" s="357"/>
      <c r="EM6" s="377" t="s">
        <v>3623</v>
      </c>
      <c r="EN6" s="357"/>
      <c r="EO6" s="376" t="s">
        <v>3625</v>
      </c>
      <c r="EP6" s="357"/>
      <c r="EQ6" s="376" t="s">
        <v>3625</v>
      </c>
      <c r="ER6" s="357"/>
      <c r="ES6" s="376" t="s">
        <v>3625</v>
      </c>
      <c r="ET6" s="357"/>
      <c r="EU6" s="376" t="s">
        <v>3625</v>
      </c>
      <c r="EV6" s="357"/>
      <c r="EW6" s="376" t="s">
        <v>3626</v>
      </c>
      <c r="EX6" s="357"/>
      <c r="EY6" s="377" t="s">
        <v>3018</v>
      </c>
      <c r="EZ6" s="357"/>
      <c r="FA6" s="376" t="s">
        <v>3627</v>
      </c>
      <c r="FB6" s="357"/>
      <c r="FC6" s="376" t="s">
        <v>3627</v>
      </c>
      <c r="FD6" s="357"/>
      <c r="FE6" s="376" t="s">
        <v>2962</v>
      </c>
      <c r="FF6" s="357"/>
      <c r="FG6" s="376" t="s">
        <v>2962</v>
      </c>
      <c r="FH6" s="357"/>
      <c r="FI6" s="376" t="s">
        <v>3628</v>
      </c>
      <c r="FJ6" s="357"/>
      <c r="FK6" s="376" t="s">
        <v>3628</v>
      </c>
      <c r="FL6" s="357"/>
      <c r="FM6" s="376" t="s">
        <v>3629</v>
      </c>
      <c r="FN6" s="357"/>
      <c r="FO6" s="376" t="s">
        <v>3629</v>
      </c>
      <c r="FP6" s="357"/>
      <c r="FQ6" s="383" t="s">
        <v>3630</v>
      </c>
      <c r="FR6" s="357"/>
      <c r="FS6" s="376" t="s">
        <v>3631</v>
      </c>
      <c r="FT6" s="357"/>
      <c r="FU6" s="376" t="s">
        <v>3631</v>
      </c>
      <c r="FV6" s="357"/>
      <c r="FW6" s="376" t="s">
        <v>3632</v>
      </c>
      <c r="FX6" s="357"/>
      <c r="FY6" s="376" t="s">
        <v>3633</v>
      </c>
      <c r="FZ6" s="357"/>
      <c r="GA6" s="376" t="s">
        <v>3634</v>
      </c>
      <c r="GB6" s="357"/>
      <c r="GC6" s="376" t="s">
        <v>3635</v>
      </c>
      <c r="GD6" s="357"/>
      <c r="GE6" s="376" t="s">
        <v>3635</v>
      </c>
      <c r="GF6" s="357"/>
      <c r="GG6" s="376" t="s">
        <v>3636</v>
      </c>
      <c r="GH6" s="357"/>
      <c r="GI6" s="376" t="s">
        <v>3636</v>
      </c>
      <c r="GJ6" s="357"/>
      <c r="GK6" s="376" t="s">
        <v>3636</v>
      </c>
      <c r="GL6" s="357"/>
      <c r="GM6" s="376" t="s">
        <v>3636</v>
      </c>
      <c r="GN6" s="357"/>
      <c r="GO6" s="376" t="s">
        <v>3636</v>
      </c>
      <c r="GP6" s="357"/>
      <c r="GQ6" s="376" t="s">
        <v>3637</v>
      </c>
      <c r="GR6" s="357"/>
      <c r="GS6" s="376" t="s">
        <v>3637</v>
      </c>
      <c r="GT6" s="357"/>
      <c r="GU6" s="376" t="s">
        <v>3639</v>
      </c>
      <c r="GV6" s="357"/>
      <c r="GW6" s="376" t="s">
        <v>3639</v>
      </c>
      <c r="GX6" s="357"/>
      <c r="GY6" s="376" t="s">
        <v>3640</v>
      </c>
      <c r="GZ6" s="357"/>
      <c r="HA6" s="376" t="s">
        <v>3642</v>
      </c>
      <c r="HB6" s="357"/>
      <c r="HC6" s="376" t="s">
        <v>3642</v>
      </c>
      <c r="HD6" s="357"/>
      <c r="HE6" s="376" t="s">
        <v>3643</v>
      </c>
      <c r="HF6" s="357"/>
      <c r="HG6" s="376" t="s">
        <v>3643</v>
      </c>
      <c r="HH6" s="357"/>
      <c r="HI6" s="376" t="s">
        <v>3643</v>
      </c>
      <c r="HJ6" s="357"/>
      <c r="HK6" s="376" t="s">
        <v>3645</v>
      </c>
      <c r="HL6" s="357"/>
      <c r="HM6" s="376" t="s">
        <v>3645</v>
      </c>
      <c r="HN6" s="357"/>
      <c r="HO6" s="376" t="s">
        <v>3645</v>
      </c>
      <c r="HP6" s="357"/>
      <c r="HQ6" s="376" t="s">
        <v>3645</v>
      </c>
      <c r="HR6" s="357"/>
      <c r="HS6" s="376" t="s">
        <v>3645</v>
      </c>
      <c r="HT6" s="357"/>
      <c r="HU6" s="376" t="s">
        <v>3646</v>
      </c>
      <c r="HV6" s="357"/>
      <c r="HW6" s="376" t="s">
        <v>3647</v>
      </c>
      <c r="HX6" s="357"/>
      <c r="HY6" s="376" t="s">
        <v>3647</v>
      </c>
      <c r="HZ6" s="357"/>
      <c r="IA6" s="376" t="s">
        <v>3647</v>
      </c>
      <c r="IB6" s="357"/>
      <c r="IC6" s="376" t="s">
        <v>3648</v>
      </c>
      <c r="ID6" s="357"/>
      <c r="IE6" s="376" t="s">
        <v>3648</v>
      </c>
      <c r="IF6" s="357"/>
      <c r="IG6" s="376" t="s">
        <v>3648</v>
      </c>
      <c r="IH6" s="357"/>
      <c r="II6" s="376" t="s">
        <v>3648</v>
      </c>
      <c r="IJ6" s="357"/>
      <c r="IK6" s="376" t="s">
        <v>3648</v>
      </c>
      <c r="IL6" s="357"/>
      <c r="IM6" s="376" t="s">
        <v>3649</v>
      </c>
      <c r="IN6" s="357"/>
      <c r="IO6" s="376" t="s">
        <v>3649</v>
      </c>
      <c r="IP6" s="357"/>
      <c r="IQ6" s="376" t="s">
        <v>3650</v>
      </c>
      <c r="IR6" s="357"/>
      <c r="IS6" s="376" t="s">
        <v>3650</v>
      </c>
      <c r="IT6" s="357"/>
      <c r="IU6" s="376" t="s">
        <v>3651</v>
      </c>
      <c r="IV6" s="357"/>
      <c r="IW6" s="376" t="s">
        <v>3651</v>
      </c>
      <c r="IX6" s="357"/>
      <c r="IY6" s="376" t="s">
        <v>3652</v>
      </c>
      <c r="IZ6" s="357"/>
      <c r="JA6" s="376" t="s">
        <v>3652</v>
      </c>
      <c r="JB6" s="357"/>
      <c r="JC6" s="376" t="s">
        <v>3652</v>
      </c>
      <c r="JD6" s="357"/>
      <c r="JE6" s="376" t="s">
        <v>3652</v>
      </c>
      <c r="JF6" s="357"/>
      <c r="JG6" s="376" t="s">
        <v>3653</v>
      </c>
      <c r="JH6" s="357"/>
      <c r="JI6" s="376" t="s">
        <v>3653</v>
      </c>
      <c r="JJ6" s="357"/>
      <c r="JK6" s="376" t="s">
        <v>3654</v>
      </c>
      <c r="JL6" s="357"/>
      <c r="JM6" s="376" t="s">
        <v>3654</v>
      </c>
      <c r="JN6" s="357"/>
      <c r="JO6" s="376" t="s">
        <v>3655</v>
      </c>
      <c r="JP6" s="357"/>
      <c r="JQ6" s="376" t="s">
        <v>3655</v>
      </c>
      <c r="JR6" s="357"/>
      <c r="JS6" s="376" t="s">
        <v>3655</v>
      </c>
      <c r="JT6" s="357"/>
      <c r="JU6" s="376" t="s">
        <v>3655</v>
      </c>
      <c r="JV6" s="357"/>
      <c r="JW6" s="376" t="s">
        <v>3655</v>
      </c>
      <c r="JX6" s="357"/>
      <c r="JY6" s="376" t="s">
        <v>3655</v>
      </c>
      <c r="JZ6" s="357"/>
      <c r="KA6" s="376" t="s">
        <v>3655</v>
      </c>
      <c r="KB6" s="357"/>
      <c r="KC6" s="376" t="s">
        <v>3656</v>
      </c>
      <c r="KD6" s="357"/>
      <c r="KE6" s="376" t="s">
        <v>3656</v>
      </c>
      <c r="KF6" s="357"/>
      <c r="KG6" s="376" t="s">
        <v>3657</v>
      </c>
      <c r="KH6" s="357"/>
      <c r="KI6" s="376" t="s">
        <v>3658</v>
      </c>
      <c r="KJ6" s="357"/>
      <c r="KK6" s="376" t="s">
        <v>3659</v>
      </c>
      <c r="KL6" s="357"/>
      <c r="KM6" s="376" t="s">
        <v>3660</v>
      </c>
      <c r="KN6" s="357"/>
      <c r="KO6" s="376" t="s">
        <v>3660</v>
      </c>
      <c r="KP6" s="357"/>
      <c r="KQ6" s="376" t="s">
        <v>3660</v>
      </c>
      <c r="KR6" s="357"/>
      <c r="KS6" s="376" t="s">
        <v>3660</v>
      </c>
      <c r="KT6" s="357"/>
      <c r="KU6" s="376" t="s">
        <v>3661</v>
      </c>
      <c r="KV6" s="357"/>
      <c r="KW6" s="377" t="s">
        <v>3662</v>
      </c>
      <c r="KX6" s="357"/>
      <c r="KY6" s="376" t="s">
        <v>3663</v>
      </c>
      <c r="KZ6" s="357"/>
      <c r="LA6" s="376" t="s">
        <v>3664</v>
      </c>
      <c r="LB6" s="357"/>
      <c r="LC6" s="376" t="s">
        <v>3665</v>
      </c>
      <c r="LD6" s="357"/>
      <c r="LE6" s="376" t="s">
        <v>3666</v>
      </c>
      <c r="LF6" s="357"/>
      <c r="LG6" s="376" t="s">
        <v>3667</v>
      </c>
      <c r="LH6" s="357"/>
      <c r="LI6" s="376" t="s">
        <v>3668</v>
      </c>
      <c r="LJ6" s="357"/>
      <c r="LK6" s="376" t="s">
        <v>3669</v>
      </c>
      <c r="LL6" s="357"/>
      <c r="LM6" s="376" t="s">
        <v>3670</v>
      </c>
      <c r="LN6" s="357"/>
      <c r="LO6" s="376" t="s">
        <v>3671</v>
      </c>
      <c r="LP6" s="357"/>
      <c r="LQ6" s="377" t="s">
        <v>3672</v>
      </c>
      <c r="LR6" s="357"/>
      <c r="LS6" s="377" t="s">
        <v>3673</v>
      </c>
      <c r="LT6" s="357"/>
      <c r="LU6" s="376" t="s">
        <v>3674</v>
      </c>
      <c r="LV6" s="357"/>
      <c r="LW6" s="376" t="s">
        <v>3675</v>
      </c>
      <c r="LX6" s="357"/>
      <c r="LY6" s="376" t="s">
        <v>3676</v>
      </c>
      <c r="LZ6" s="357"/>
      <c r="MA6" s="376" t="s">
        <v>3677</v>
      </c>
      <c r="MB6" s="357"/>
      <c r="MC6" s="382" t="s">
        <v>3903</v>
      </c>
      <c r="MD6" s="357"/>
      <c r="ME6" s="382" t="s">
        <v>3904</v>
      </c>
      <c r="MF6" s="357"/>
      <c r="MG6" s="382" t="s">
        <v>3905</v>
      </c>
      <c r="MH6" s="357"/>
      <c r="MI6" s="382" t="s">
        <v>3906</v>
      </c>
      <c r="MJ6" s="357"/>
    </row>
    <row r="7" spans="1:348" ht="15.75" customHeight="1" x14ac:dyDescent="0.2">
      <c r="A7" s="239" t="s">
        <v>3907</v>
      </c>
      <c r="B7" s="239" t="s">
        <v>1</v>
      </c>
      <c r="C7" s="239" t="s">
        <v>3</v>
      </c>
      <c r="D7" s="239" t="s">
        <v>3908</v>
      </c>
      <c r="E7" s="240" t="s">
        <v>3909</v>
      </c>
      <c r="F7" s="241" t="s">
        <v>12</v>
      </c>
      <c r="G7" s="366" t="s">
        <v>3682</v>
      </c>
      <c r="H7" s="357"/>
      <c r="I7" s="366" t="s">
        <v>3683</v>
      </c>
      <c r="J7" s="357"/>
      <c r="K7" s="366" t="s">
        <v>3684</v>
      </c>
      <c r="L7" s="357"/>
      <c r="M7" s="366" t="s">
        <v>3685</v>
      </c>
      <c r="N7" s="357"/>
      <c r="O7" s="366" t="s">
        <v>3686</v>
      </c>
      <c r="P7" s="357"/>
      <c r="Q7" s="366" t="s">
        <v>3687</v>
      </c>
      <c r="R7" s="357"/>
      <c r="S7" s="366" t="s">
        <v>3688</v>
      </c>
      <c r="T7" s="357"/>
      <c r="U7" s="366" t="s">
        <v>3689</v>
      </c>
      <c r="V7" s="357"/>
      <c r="W7" s="366" t="s">
        <v>3690</v>
      </c>
      <c r="X7" s="357"/>
      <c r="Y7" s="366" t="s">
        <v>3691</v>
      </c>
      <c r="Z7" s="357"/>
      <c r="AA7" s="366" t="s">
        <v>3692</v>
      </c>
      <c r="AB7" s="357"/>
      <c r="AC7" s="366" t="s">
        <v>3693</v>
      </c>
      <c r="AD7" s="357"/>
      <c r="AE7" s="366" t="s">
        <v>3694</v>
      </c>
      <c r="AF7" s="357"/>
      <c r="AG7" s="366" t="s">
        <v>3695</v>
      </c>
      <c r="AH7" s="357"/>
      <c r="AI7" s="366" t="s">
        <v>3696</v>
      </c>
      <c r="AJ7" s="357"/>
      <c r="AK7" s="366" t="s">
        <v>3697</v>
      </c>
      <c r="AL7" s="357"/>
      <c r="AM7" s="366" t="s">
        <v>3698</v>
      </c>
      <c r="AN7" s="357"/>
      <c r="AO7" s="366" t="s">
        <v>3699</v>
      </c>
      <c r="AP7" s="357"/>
      <c r="AQ7" s="366" t="s">
        <v>3700</v>
      </c>
      <c r="AR7" s="357"/>
      <c r="AS7" s="366" t="s">
        <v>3701</v>
      </c>
      <c r="AT7" s="357"/>
      <c r="AU7" s="366" t="s">
        <v>3702</v>
      </c>
      <c r="AV7" s="357"/>
      <c r="AW7" s="366" t="s">
        <v>3703</v>
      </c>
      <c r="AX7" s="357"/>
      <c r="AY7" s="366" t="s">
        <v>3704</v>
      </c>
      <c r="AZ7" s="357"/>
      <c r="BA7" s="366" t="s">
        <v>3705</v>
      </c>
      <c r="BB7" s="357"/>
      <c r="BC7" s="366" t="s">
        <v>3706</v>
      </c>
      <c r="BD7" s="357"/>
      <c r="BE7" s="366" t="s">
        <v>3707</v>
      </c>
      <c r="BF7" s="357"/>
      <c r="BG7" s="366" t="s">
        <v>3708</v>
      </c>
      <c r="BH7" s="357"/>
      <c r="BI7" s="366" t="s">
        <v>3709</v>
      </c>
      <c r="BJ7" s="357"/>
      <c r="BK7" s="366" t="s">
        <v>3710</v>
      </c>
      <c r="BL7" s="357"/>
      <c r="BM7" s="366" t="s">
        <v>3711</v>
      </c>
      <c r="BN7" s="357"/>
      <c r="BO7" s="366" t="s">
        <v>3712</v>
      </c>
      <c r="BP7" s="357"/>
      <c r="BQ7" s="366" t="s">
        <v>3713</v>
      </c>
      <c r="BR7" s="357"/>
      <c r="BS7" s="366" t="s">
        <v>3714</v>
      </c>
      <c r="BT7" s="357"/>
      <c r="BU7" s="366" t="s">
        <v>3715</v>
      </c>
      <c r="BV7" s="357"/>
      <c r="BW7" s="366" t="s">
        <v>3716</v>
      </c>
      <c r="BX7" s="357"/>
      <c r="BY7" s="366" t="s">
        <v>3717</v>
      </c>
      <c r="BZ7" s="357"/>
      <c r="CA7" s="366" t="s">
        <v>3718</v>
      </c>
      <c r="CB7" s="357"/>
      <c r="CC7" s="366" t="s">
        <v>3719</v>
      </c>
      <c r="CD7" s="357"/>
      <c r="CE7" s="366" t="s">
        <v>3720</v>
      </c>
      <c r="CF7" s="357"/>
      <c r="CG7" s="366" t="s">
        <v>3721</v>
      </c>
      <c r="CH7" s="357"/>
      <c r="CI7" s="366" t="s">
        <v>3722</v>
      </c>
      <c r="CJ7" s="357"/>
      <c r="CK7" s="366" t="s">
        <v>3723</v>
      </c>
      <c r="CL7" s="357"/>
      <c r="CM7" s="366" t="s">
        <v>3724</v>
      </c>
      <c r="CN7" s="357"/>
      <c r="CO7" s="366" t="s">
        <v>3725</v>
      </c>
      <c r="CP7" s="357"/>
      <c r="CQ7" s="366" t="s">
        <v>3726</v>
      </c>
      <c r="CR7" s="357"/>
      <c r="CS7" s="366" t="s">
        <v>3727</v>
      </c>
      <c r="CT7" s="357"/>
      <c r="CU7" s="366" t="s">
        <v>3728</v>
      </c>
      <c r="CV7" s="357"/>
      <c r="CW7" s="366" t="s">
        <v>3729</v>
      </c>
      <c r="CX7" s="357"/>
      <c r="CY7" s="366" t="s">
        <v>3730</v>
      </c>
      <c r="CZ7" s="357"/>
      <c r="DA7" s="366" t="s">
        <v>3731</v>
      </c>
      <c r="DB7" s="357"/>
      <c r="DC7" s="366" t="s">
        <v>3732</v>
      </c>
      <c r="DD7" s="357"/>
      <c r="DE7" s="366" t="s">
        <v>3733</v>
      </c>
      <c r="DF7" s="357"/>
      <c r="DG7" s="366" t="s">
        <v>3734</v>
      </c>
      <c r="DH7" s="357"/>
      <c r="DI7" s="366" t="s">
        <v>3735</v>
      </c>
      <c r="DJ7" s="357"/>
      <c r="DK7" s="366" t="s">
        <v>3736</v>
      </c>
      <c r="DL7" s="357"/>
      <c r="DM7" s="366" t="s">
        <v>3737</v>
      </c>
      <c r="DN7" s="357"/>
      <c r="DO7" s="366" t="s">
        <v>3738</v>
      </c>
      <c r="DP7" s="357"/>
      <c r="DQ7" s="366" t="s">
        <v>3739</v>
      </c>
      <c r="DR7" s="357"/>
      <c r="DS7" s="366" t="s">
        <v>3740</v>
      </c>
      <c r="DT7" s="357"/>
      <c r="DU7" s="366" t="s">
        <v>3741</v>
      </c>
      <c r="DV7" s="357"/>
      <c r="DW7" s="366" t="s">
        <v>3742</v>
      </c>
      <c r="DX7" s="357"/>
      <c r="DY7" s="366" t="s">
        <v>3743</v>
      </c>
      <c r="DZ7" s="357"/>
      <c r="EA7" s="366" t="s">
        <v>3744</v>
      </c>
      <c r="EB7" s="357"/>
      <c r="EC7" s="366" t="s">
        <v>3745</v>
      </c>
      <c r="ED7" s="357"/>
      <c r="EE7" s="366" t="s">
        <v>3746</v>
      </c>
      <c r="EF7" s="357"/>
      <c r="EG7" s="366" t="s">
        <v>3747</v>
      </c>
      <c r="EH7" s="357"/>
      <c r="EI7" s="366" t="s">
        <v>3748</v>
      </c>
      <c r="EJ7" s="357"/>
      <c r="EK7" s="366" t="s">
        <v>3749</v>
      </c>
      <c r="EL7" s="357"/>
      <c r="EM7" s="366" t="s">
        <v>3750</v>
      </c>
      <c r="EN7" s="357"/>
      <c r="EO7" s="366" t="s">
        <v>3751</v>
      </c>
      <c r="EP7" s="357"/>
      <c r="EQ7" s="366" t="s">
        <v>3752</v>
      </c>
      <c r="ER7" s="357"/>
      <c r="ES7" s="366" t="s">
        <v>3753</v>
      </c>
      <c r="ET7" s="357"/>
      <c r="EU7" s="366" t="s">
        <v>3754</v>
      </c>
      <c r="EV7" s="357"/>
      <c r="EW7" s="366" t="s">
        <v>3755</v>
      </c>
      <c r="EX7" s="357"/>
      <c r="EY7" s="366" t="s">
        <v>3756</v>
      </c>
      <c r="EZ7" s="357"/>
      <c r="FA7" s="366" t="s">
        <v>3757</v>
      </c>
      <c r="FB7" s="357"/>
      <c r="FC7" s="366" t="s">
        <v>3758</v>
      </c>
      <c r="FD7" s="357"/>
      <c r="FE7" s="366" t="s">
        <v>3759</v>
      </c>
      <c r="FF7" s="357"/>
      <c r="FG7" s="366" t="s">
        <v>3760</v>
      </c>
      <c r="FH7" s="357"/>
      <c r="FI7" s="366" t="s">
        <v>3761</v>
      </c>
      <c r="FJ7" s="357"/>
      <c r="FK7" s="366" t="s">
        <v>3762</v>
      </c>
      <c r="FL7" s="357"/>
      <c r="FM7" s="366" t="s">
        <v>3763</v>
      </c>
      <c r="FN7" s="357"/>
      <c r="FO7" s="366" t="s">
        <v>3764</v>
      </c>
      <c r="FP7" s="357"/>
      <c r="FQ7" s="366" t="s">
        <v>2798</v>
      </c>
      <c r="FR7" s="357"/>
      <c r="FS7" s="366" t="s">
        <v>3765</v>
      </c>
      <c r="FT7" s="357"/>
      <c r="FU7" s="366" t="s">
        <v>3766</v>
      </c>
      <c r="FV7" s="357"/>
      <c r="FW7" s="366" t="s">
        <v>3767</v>
      </c>
      <c r="FX7" s="357"/>
      <c r="FY7" s="366" t="s">
        <v>2798</v>
      </c>
      <c r="FZ7" s="357"/>
      <c r="GA7" s="366" t="s">
        <v>3768</v>
      </c>
      <c r="GB7" s="357"/>
      <c r="GC7" s="366" t="s">
        <v>3765</v>
      </c>
      <c r="GD7" s="357"/>
      <c r="GE7" s="366" t="s">
        <v>2983</v>
      </c>
      <c r="GF7" s="357"/>
      <c r="GG7" s="366" t="s">
        <v>3769</v>
      </c>
      <c r="GH7" s="357"/>
      <c r="GI7" s="366" t="s">
        <v>2998</v>
      </c>
      <c r="GJ7" s="357"/>
      <c r="GK7" s="366" t="s">
        <v>3770</v>
      </c>
      <c r="GL7" s="357"/>
      <c r="GM7" s="366" t="s">
        <v>3771</v>
      </c>
      <c r="GN7" s="357"/>
      <c r="GO7" s="366" t="s">
        <v>3772</v>
      </c>
      <c r="GP7" s="357"/>
      <c r="GQ7" s="366" t="s">
        <v>3773</v>
      </c>
      <c r="GR7" s="357"/>
      <c r="GS7" s="366" t="s">
        <v>3004</v>
      </c>
      <c r="GT7" s="357"/>
      <c r="GU7" s="370" t="s">
        <v>3774</v>
      </c>
      <c r="GV7" s="357"/>
      <c r="GW7" s="366" t="s">
        <v>3775</v>
      </c>
      <c r="GX7" s="357"/>
      <c r="GY7" s="366" t="s">
        <v>3776</v>
      </c>
      <c r="GZ7" s="357"/>
      <c r="HA7" s="366" t="s">
        <v>3777</v>
      </c>
      <c r="HB7" s="357"/>
      <c r="HC7" s="366" t="s">
        <v>3778</v>
      </c>
      <c r="HD7" s="357"/>
      <c r="HE7" s="366" t="s">
        <v>3779</v>
      </c>
      <c r="HF7" s="357"/>
      <c r="HG7" s="366" t="s">
        <v>3780</v>
      </c>
      <c r="HH7" s="357"/>
      <c r="HI7" s="366" t="s">
        <v>3781</v>
      </c>
      <c r="HJ7" s="357"/>
      <c r="HK7" s="366" t="s">
        <v>3782</v>
      </c>
      <c r="HL7" s="357"/>
      <c r="HM7" s="366" t="s">
        <v>3783</v>
      </c>
      <c r="HN7" s="357"/>
      <c r="HO7" s="366" t="s">
        <v>3784</v>
      </c>
      <c r="HP7" s="357"/>
      <c r="HQ7" s="366" t="s">
        <v>3785</v>
      </c>
      <c r="HR7" s="357"/>
      <c r="HS7" s="366" t="s">
        <v>3783</v>
      </c>
      <c r="HT7" s="357"/>
      <c r="HU7" s="366" t="s">
        <v>3786</v>
      </c>
      <c r="HV7" s="357"/>
      <c r="HW7" s="366" t="s">
        <v>3787</v>
      </c>
      <c r="HX7" s="357"/>
      <c r="HY7" s="366" t="s">
        <v>3788</v>
      </c>
      <c r="HZ7" s="357"/>
      <c r="IA7" s="366" t="s">
        <v>3789</v>
      </c>
      <c r="IB7" s="357"/>
      <c r="IC7" s="366" t="s">
        <v>3790</v>
      </c>
      <c r="ID7" s="357"/>
      <c r="IE7" s="366" t="s">
        <v>3791</v>
      </c>
      <c r="IF7" s="357"/>
      <c r="IG7" s="366" t="s">
        <v>3792</v>
      </c>
      <c r="IH7" s="357"/>
      <c r="II7" s="366" t="s">
        <v>3793</v>
      </c>
      <c r="IJ7" s="357"/>
      <c r="IK7" s="366" t="s">
        <v>3794</v>
      </c>
      <c r="IL7" s="357"/>
      <c r="IM7" s="366" t="s">
        <v>2987</v>
      </c>
      <c r="IN7" s="357"/>
      <c r="IO7" s="366" t="s">
        <v>2678</v>
      </c>
      <c r="IP7" s="357"/>
      <c r="IQ7" s="366" t="s">
        <v>3795</v>
      </c>
      <c r="IR7" s="357"/>
      <c r="IS7" s="366" t="s">
        <v>2789</v>
      </c>
      <c r="IT7" s="357"/>
      <c r="IU7" s="366" t="s">
        <v>3796</v>
      </c>
      <c r="IV7" s="357"/>
      <c r="IW7" s="366" t="s">
        <v>3797</v>
      </c>
      <c r="IX7" s="357"/>
      <c r="IY7" s="370" t="s">
        <v>3910</v>
      </c>
      <c r="IZ7" s="357"/>
      <c r="JA7" s="366" t="s">
        <v>3799</v>
      </c>
      <c r="JB7" s="357"/>
      <c r="JC7" s="366" t="s">
        <v>3800</v>
      </c>
      <c r="JD7" s="357"/>
      <c r="JE7" s="366" t="s">
        <v>3801</v>
      </c>
      <c r="JF7" s="357"/>
      <c r="JG7" s="366" t="s">
        <v>2991</v>
      </c>
      <c r="JH7" s="357"/>
      <c r="JI7" s="366" t="s">
        <v>3802</v>
      </c>
      <c r="JJ7" s="357"/>
      <c r="JK7" s="366" t="s">
        <v>3803</v>
      </c>
      <c r="JL7" s="357"/>
      <c r="JM7" s="366" t="s">
        <v>3804</v>
      </c>
      <c r="JN7" s="357"/>
      <c r="JO7" s="370" t="s">
        <v>3805</v>
      </c>
      <c r="JP7" s="357"/>
      <c r="JQ7" s="366" t="s">
        <v>3806</v>
      </c>
      <c r="JR7" s="357"/>
      <c r="JS7" s="366" t="s">
        <v>3807</v>
      </c>
      <c r="JT7" s="357"/>
      <c r="JU7" s="366" t="s">
        <v>3808</v>
      </c>
      <c r="JV7" s="357"/>
      <c r="JW7" s="366" t="s">
        <v>3809</v>
      </c>
      <c r="JX7" s="357"/>
      <c r="JY7" s="366" t="s">
        <v>3810</v>
      </c>
      <c r="JZ7" s="357"/>
      <c r="KA7" s="366" t="s">
        <v>3811</v>
      </c>
      <c r="KB7" s="357"/>
      <c r="KC7" s="366" t="s">
        <v>3812</v>
      </c>
      <c r="KD7" s="357"/>
      <c r="KE7" s="366" t="s">
        <v>3813</v>
      </c>
      <c r="KF7" s="357"/>
      <c r="KG7" s="366" t="s">
        <v>3814</v>
      </c>
      <c r="KH7" s="357"/>
      <c r="KI7" s="366" t="s">
        <v>3815</v>
      </c>
      <c r="KJ7" s="357"/>
      <c r="KK7" s="366" t="s">
        <v>3816</v>
      </c>
      <c r="KL7" s="357"/>
      <c r="KM7" s="366" t="s">
        <v>3817</v>
      </c>
      <c r="KN7" s="357"/>
      <c r="KO7" s="366" t="s">
        <v>3818</v>
      </c>
      <c r="KP7" s="357"/>
      <c r="KQ7" s="366" t="s">
        <v>3819</v>
      </c>
      <c r="KR7" s="357"/>
      <c r="KS7" s="366" t="s">
        <v>3820</v>
      </c>
      <c r="KT7" s="357"/>
      <c r="KU7" s="366" t="s">
        <v>3821</v>
      </c>
      <c r="KV7" s="357"/>
      <c r="KW7" s="366" t="s">
        <v>3822</v>
      </c>
      <c r="KX7" s="357"/>
      <c r="KY7" s="366" t="s">
        <v>3823</v>
      </c>
      <c r="KZ7" s="357"/>
      <c r="LA7" s="366" t="s">
        <v>3824</v>
      </c>
      <c r="LB7" s="357"/>
      <c r="LC7" s="366" t="s">
        <v>3825</v>
      </c>
      <c r="LD7" s="357"/>
      <c r="LE7" s="366" t="s">
        <v>3826</v>
      </c>
      <c r="LF7" s="357"/>
      <c r="LG7" s="366" t="s">
        <v>3827</v>
      </c>
      <c r="LH7" s="357"/>
      <c r="LI7" s="366" t="s">
        <v>3828</v>
      </c>
      <c r="LJ7" s="357"/>
      <c r="LK7" s="366" t="s">
        <v>3829</v>
      </c>
      <c r="LL7" s="357"/>
      <c r="LM7" s="366" t="s">
        <v>3830</v>
      </c>
      <c r="LN7" s="357"/>
      <c r="LO7" s="366" t="s">
        <v>3831</v>
      </c>
      <c r="LP7" s="357"/>
      <c r="LQ7" s="366" t="s">
        <v>3832</v>
      </c>
      <c r="LR7" s="357"/>
      <c r="LS7" s="366" t="s">
        <v>3833</v>
      </c>
      <c r="LT7" s="357"/>
      <c r="LU7" s="366" t="s">
        <v>3834</v>
      </c>
      <c r="LV7" s="357"/>
      <c r="LW7" s="366" t="s">
        <v>3835</v>
      </c>
      <c r="LX7" s="357"/>
      <c r="LY7" s="366" t="s">
        <v>3836</v>
      </c>
      <c r="LZ7" s="357"/>
      <c r="MA7" s="366" t="s">
        <v>3837</v>
      </c>
      <c r="MB7" s="357"/>
      <c r="MC7" s="375" t="s">
        <v>3911</v>
      </c>
      <c r="MD7" s="357"/>
      <c r="ME7" s="375" t="s">
        <v>3912</v>
      </c>
      <c r="MF7" s="357"/>
      <c r="MG7" s="375" t="s">
        <v>3913</v>
      </c>
      <c r="MH7" s="357"/>
      <c r="MI7" s="375" t="s">
        <v>3914</v>
      </c>
      <c r="MJ7" s="357"/>
    </row>
    <row r="8" spans="1:348" ht="15.75" customHeight="1" x14ac:dyDescent="0.2">
      <c r="A8" s="239"/>
      <c r="B8" s="239"/>
      <c r="C8" s="239"/>
      <c r="D8" s="239"/>
      <c r="E8" s="240"/>
      <c r="F8" s="241" t="s">
        <v>3915</v>
      </c>
      <c r="G8" s="368"/>
      <c r="H8" s="357"/>
      <c r="I8" s="368"/>
      <c r="J8" s="357"/>
      <c r="K8" s="368" t="s">
        <v>3583</v>
      </c>
      <c r="L8" s="357"/>
      <c r="M8" s="368" t="s">
        <v>3583</v>
      </c>
      <c r="N8" s="357"/>
      <c r="O8" s="368" t="s">
        <v>3583</v>
      </c>
      <c r="P8" s="357"/>
      <c r="Q8" s="368"/>
      <c r="R8" s="357"/>
      <c r="S8" s="368"/>
      <c r="T8" s="357"/>
      <c r="U8" s="368"/>
      <c r="V8" s="357"/>
      <c r="W8" s="368"/>
      <c r="X8" s="357"/>
      <c r="Y8" s="368"/>
      <c r="Z8" s="357"/>
      <c r="AA8" s="368"/>
      <c r="AB8" s="357"/>
      <c r="AC8" s="368"/>
      <c r="AD8" s="357"/>
      <c r="AE8" s="368"/>
      <c r="AF8" s="357"/>
      <c r="AG8" s="368"/>
      <c r="AH8" s="357"/>
      <c r="AI8" s="368"/>
      <c r="AJ8" s="357"/>
      <c r="AK8" s="368"/>
      <c r="AL8" s="357"/>
      <c r="AM8" s="370" t="s">
        <v>3839</v>
      </c>
      <c r="AN8" s="357"/>
      <c r="AO8" s="366" t="s">
        <v>3840</v>
      </c>
      <c r="AP8" s="357"/>
      <c r="AQ8" s="370" t="s">
        <v>3841</v>
      </c>
      <c r="AR8" s="357"/>
      <c r="AS8" s="370" t="s">
        <v>3841</v>
      </c>
      <c r="AT8" s="357"/>
      <c r="AU8" s="368"/>
      <c r="AV8" s="357"/>
      <c r="AW8" s="368"/>
      <c r="AX8" s="357"/>
      <c r="AY8" s="368"/>
      <c r="AZ8" s="357"/>
      <c r="BA8" s="368"/>
      <c r="BB8" s="357"/>
      <c r="BC8" s="368"/>
      <c r="BD8" s="357"/>
      <c r="BE8" s="369" t="s">
        <v>3842</v>
      </c>
      <c r="BF8" s="357"/>
      <c r="BG8" s="366" t="s">
        <v>3843</v>
      </c>
      <c r="BH8" s="357"/>
      <c r="BI8" s="366" t="s">
        <v>3843</v>
      </c>
      <c r="BJ8" s="357"/>
      <c r="BK8" s="366" t="s">
        <v>3843</v>
      </c>
      <c r="BL8" s="357"/>
      <c r="BM8" s="366" t="s">
        <v>3843</v>
      </c>
      <c r="BN8" s="357"/>
      <c r="BO8" s="366" t="s">
        <v>3843</v>
      </c>
      <c r="BP8" s="357"/>
      <c r="BQ8" s="366" t="s">
        <v>3843</v>
      </c>
      <c r="BR8" s="357"/>
      <c r="BS8" s="366" t="s">
        <v>3843</v>
      </c>
      <c r="BT8" s="357"/>
      <c r="BU8" s="366" t="s">
        <v>3843</v>
      </c>
      <c r="BV8" s="357"/>
      <c r="BW8" s="368"/>
      <c r="BX8" s="357"/>
      <c r="BY8" s="368"/>
      <c r="BZ8" s="357"/>
      <c r="CA8" s="368"/>
      <c r="CB8" s="357"/>
      <c r="CC8" s="368"/>
      <c r="CD8" s="357"/>
      <c r="CE8" s="368"/>
      <c r="CF8" s="357"/>
      <c r="CG8" s="368"/>
      <c r="CH8" s="357"/>
      <c r="CI8" s="368"/>
      <c r="CJ8" s="357"/>
      <c r="CK8" s="368"/>
      <c r="CL8" s="357"/>
      <c r="CM8" s="368"/>
      <c r="CN8" s="357"/>
      <c r="CO8" s="368"/>
      <c r="CP8" s="357"/>
      <c r="CQ8" s="368"/>
      <c r="CR8" s="357"/>
      <c r="CS8" s="368"/>
      <c r="CT8" s="357"/>
      <c r="CU8" s="368"/>
      <c r="CV8" s="357"/>
      <c r="CW8" s="368"/>
      <c r="CX8" s="357"/>
      <c r="CY8" s="368"/>
      <c r="CZ8" s="357"/>
      <c r="DA8" s="368"/>
      <c r="DB8" s="357"/>
      <c r="DC8" s="368"/>
      <c r="DD8" s="357"/>
      <c r="DE8" s="368"/>
      <c r="DF8" s="357"/>
      <c r="DG8" s="368"/>
      <c r="DH8" s="357"/>
      <c r="DI8" s="368"/>
      <c r="DJ8" s="357"/>
      <c r="DK8" s="368"/>
      <c r="DL8" s="357"/>
      <c r="DM8" s="368"/>
      <c r="DN8" s="357"/>
      <c r="DO8" s="368"/>
      <c r="DP8" s="357"/>
      <c r="DQ8" s="368"/>
      <c r="DR8" s="357"/>
      <c r="DS8" s="368"/>
      <c r="DT8" s="357"/>
      <c r="DU8" s="368"/>
      <c r="DV8" s="357"/>
      <c r="DW8" s="368"/>
      <c r="DX8" s="357"/>
      <c r="DY8" s="368"/>
      <c r="DZ8" s="357"/>
      <c r="EA8" s="368"/>
      <c r="EB8" s="357"/>
      <c r="EC8" s="368"/>
      <c r="ED8" s="357"/>
      <c r="EE8" s="368"/>
      <c r="EF8" s="357"/>
      <c r="EG8" s="368"/>
      <c r="EH8" s="357"/>
      <c r="EI8" s="368"/>
      <c r="EJ8" s="357"/>
      <c r="EK8" s="368"/>
      <c r="EL8" s="357"/>
      <c r="EM8" s="368"/>
      <c r="EN8" s="357"/>
      <c r="EO8" s="368"/>
      <c r="EP8" s="357"/>
      <c r="EQ8" s="368"/>
      <c r="ER8" s="357"/>
      <c r="ES8" s="368"/>
      <c r="ET8" s="357"/>
      <c r="EU8" s="368"/>
      <c r="EV8" s="357"/>
      <c r="EW8" s="368"/>
      <c r="EX8" s="357"/>
      <c r="EY8" s="368"/>
      <c r="EZ8" s="357"/>
      <c r="FA8" s="369" t="s">
        <v>3844</v>
      </c>
      <c r="FB8" s="357"/>
      <c r="FC8" s="369" t="s">
        <v>3844</v>
      </c>
      <c r="FD8" s="357"/>
      <c r="FE8" s="369" t="s">
        <v>3844</v>
      </c>
      <c r="FF8" s="357"/>
      <c r="FG8" s="369" t="s">
        <v>3844</v>
      </c>
      <c r="FH8" s="357"/>
      <c r="FI8" s="368"/>
      <c r="FJ8" s="357"/>
      <c r="FK8" s="368"/>
      <c r="FL8" s="357"/>
      <c r="FM8" s="368"/>
      <c r="FN8" s="357"/>
      <c r="FO8" s="368"/>
      <c r="FP8" s="357"/>
      <c r="FQ8" s="370" t="s">
        <v>3036</v>
      </c>
      <c r="FR8" s="357"/>
      <c r="FS8" s="370" t="s">
        <v>3036</v>
      </c>
      <c r="FT8" s="357"/>
      <c r="FU8" s="366" t="s">
        <v>3036</v>
      </c>
      <c r="FV8" s="357"/>
      <c r="FW8" s="366" t="s">
        <v>3845</v>
      </c>
      <c r="FX8" s="357"/>
      <c r="FY8" s="366" t="s">
        <v>3845</v>
      </c>
      <c r="FZ8" s="357"/>
      <c r="GA8" s="366" t="s">
        <v>3845</v>
      </c>
      <c r="GB8" s="357"/>
      <c r="GC8" s="366" t="s">
        <v>3845</v>
      </c>
      <c r="GD8" s="357"/>
      <c r="GE8" s="366" t="s">
        <v>3845</v>
      </c>
      <c r="GF8" s="357"/>
      <c r="GG8" s="368"/>
      <c r="GH8" s="357"/>
      <c r="GI8" s="368"/>
      <c r="GJ8" s="357"/>
      <c r="GK8" s="368"/>
      <c r="GL8" s="357"/>
      <c r="GM8" s="368"/>
      <c r="GN8" s="357"/>
      <c r="GO8" s="368"/>
      <c r="GP8" s="357"/>
      <c r="GQ8" s="368"/>
      <c r="GR8" s="357"/>
      <c r="GS8" s="368"/>
      <c r="GT8" s="357"/>
      <c r="GU8" s="370" t="s">
        <v>3846</v>
      </c>
      <c r="GV8" s="357"/>
      <c r="GW8" s="366" t="s">
        <v>3846</v>
      </c>
      <c r="GX8" s="357"/>
      <c r="GY8" s="366" t="s">
        <v>3846</v>
      </c>
      <c r="GZ8" s="357"/>
      <c r="HA8" s="366" t="s">
        <v>3847</v>
      </c>
      <c r="HB8" s="357"/>
      <c r="HC8" s="366" t="s">
        <v>3847</v>
      </c>
      <c r="HD8" s="357"/>
      <c r="HE8" s="366" t="s">
        <v>3848</v>
      </c>
      <c r="HF8" s="357"/>
      <c r="HG8" s="366" t="s">
        <v>3848</v>
      </c>
      <c r="HH8" s="357"/>
      <c r="HI8" s="366" t="s">
        <v>3848</v>
      </c>
      <c r="HJ8" s="357"/>
      <c r="HK8" s="366" t="s">
        <v>3849</v>
      </c>
      <c r="HL8" s="357"/>
      <c r="HM8" s="366" t="s">
        <v>3849</v>
      </c>
      <c r="HN8" s="357"/>
      <c r="HO8" s="366" t="s">
        <v>3849</v>
      </c>
      <c r="HP8" s="357"/>
      <c r="HQ8" s="366" t="s">
        <v>3849</v>
      </c>
      <c r="HR8" s="357"/>
      <c r="HS8" s="366" t="s">
        <v>3849</v>
      </c>
      <c r="HT8" s="357"/>
      <c r="HU8" s="366" t="s">
        <v>3850</v>
      </c>
      <c r="HV8" s="357"/>
      <c r="HW8" s="368"/>
      <c r="HX8" s="357"/>
      <c r="HY8" s="368"/>
      <c r="HZ8" s="357"/>
      <c r="IA8" s="368"/>
      <c r="IB8" s="357"/>
      <c r="IC8" s="366" t="s">
        <v>3851</v>
      </c>
      <c r="ID8" s="357"/>
      <c r="IE8" s="366" t="s">
        <v>3851</v>
      </c>
      <c r="IF8" s="357"/>
      <c r="IG8" s="366" t="s">
        <v>3851</v>
      </c>
      <c r="IH8" s="357"/>
      <c r="II8" s="366" t="s">
        <v>3851</v>
      </c>
      <c r="IJ8" s="357"/>
      <c r="IK8" s="366" t="s">
        <v>3851</v>
      </c>
      <c r="IL8" s="357"/>
      <c r="IM8" s="366" t="s">
        <v>3851</v>
      </c>
      <c r="IN8" s="357"/>
      <c r="IO8" s="366" t="s">
        <v>3851</v>
      </c>
      <c r="IP8" s="357"/>
      <c r="IQ8" s="368"/>
      <c r="IR8" s="357"/>
      <c r="IS8" s="368"/>
      <c r="IT8" s="357"/>
      <c r="IU8" s="368"/>
      <c r="IV8" s="357"/>
      <c r="IW8" s="368"/>
      <c r="IX8" s="357"/>
      <c r="IY8" s="370" t="s">
        <v>3852</v>
      </c>
      <c r="IZ8" s="357"/>
      <c r="JA8" s="366" t="s">
        <v>3852</v>
      </c>
      <c r="JB8" s="357"/>
      <c r="JC8" s="366" t="s">
        <v>3852</v>
      </c>
      <c r="JD8" s="357"/>
      <c r="JE8" s="366" t="s">
        <v>3852</v>
      </c>
      <c r="JF8" s="357"/>
      <c r="JG8" s="368"/>
      <c r="JH8" s="357"/>
      <c r="JI8" s="368"/>
      <c r="JJ8" s="357"/>
      <c r="JK8" s="368"/>
      <c r="JL8" s="357"/>
      <c r="JM8" s="368"/>
      <c r="JN8" s="357"/>
      <c r="JO8" s="370" t="s">
        <v>3853</v>
      </c>
      <c r="JP8" s="357"/>
      <c r="JQ8" s="366" t="s">
        <v>3853</v>
      </c>
      <c r="JR8" s="357"/>
      <c r="JS8" s="366" t="s">
        <v>3853</v>
      </c>
      <c r="JT8" s="357"/>
      <c r="JU8" s="366" t="s">
        <v>3853</v>
      </c>
      <c r="JV8" s="357"/>
      <c r="JW8" s="366" t="s">
        <v>3853</v>
      </c>
      <c r="JX8" s="357"/>
      <c r="JY8" s="366" t="s">
        <v>3853</v>
      </c>
      <c r="JZ8" s="357"/>
      <c r="KA8" s="366" t="s">
        <v>3853</v>
      </c>
      <c r="KB8" s="357"/>
      <c r="KC8" s="368"/>
      <c r="KD8" s="357"/>
      <c r="KE8" s="368"/>
      <c r="KF8" s="357"/>
      <c r="KG8" s="368"/>
      <c r="KH8" s="357"/>
      <c r="KI8" s="368"/>
      <c r="KJ8" s="357"/>
      <c r="KK8" s="368"/>
      <c r="KL8" s="357"/>
      <c r="KM8" s="368"/>
      <c r="KN8" s="357"/>
      <c r="KO8" s="368"/>
      <c r="KP8" s="357"/>
      <c r="KQ8" s="368"/>
      <c r="KR8" s="357"/>
      <c r="KS8" s="368"/>
      <c r="KT8" s="357"/>
      <c r="KU8" s="368"/>
      <c r="KV8" s="357"/>
      <c r="KW8" s="368"/>
      <c r="KX8" s="357"/>
      <c r="KY8" s="368"/>
      <c r="KZ8" s="357"/>
      <c r="LA8" s="368"/>
      <c r="LB8" s="357"/>
      <c r="LC8" s="368"/>
      <c r="LD8" s="357"/>
      <c r="LE8" s="368"/>
      <c r="LF8" s="357"/>
      <c r="LG8" s="368"/>
      <c r="LH8" s="357"/>
      <c r="LI8" s="368"/>
      <c r="LJ8" s="357"/>
      <c r="LK8" s="368"/>
      <c r="LL8" s="357"/>
      <c r="LM8" s="368"/>
      <c r="LN8" s="357"/>
      <c r="LO8" s="368"/>
      <c r="LP8" s="357"/>
      <c r="LQ8" s="368"/>
      <c r="LR8" s="357"/>
      <c r="LS8" s="368"/>
      <c r="LT8" s="357"/>
      <c r="LU8" s="368"/>
      <c r="LV8" s="357"/>
      <c r="LW8" s="368"/>
      <c r="LX8" s="357"/>
      <c r="LY8" s="368"/>
      <c r="LZ8" s="357"/>
      <c r="MA8" s="368"/>
      <c r="MB8" s="357"/>
      <c r="MC8" s="368"/>
      <c r="MD8" s="357"/>
      <c r="ME8" s="368"/>
      <c r="MF8" s="357"/>
      <c r="MG8" s="368"/>
      <c r="MH8" s="357"/>
      <c r="MI8" s="368"/>
      <c r="MJ8" s="357"/>
    </row>
    <row r="9" spans="1:348" ht="77.25" customHeight="1" x14ac:dyDescent="0.2">
      <c r="A9" s="242" t="s">
        <v>2781</v>
      </c>
      <c r="B9" s="242" t="str">
        <f>VLOOKUP(A9,'Allergènes 81'!$A$2:$F$65,2,0)</f>
        <v>Hydrolat Fleur d'Oranger BIO (conservé)</v>
      </c>
      <c r="C9" s="242" t="str">
        <f>VLOOKUP(A9,'Allergènes 81'!$A$2:$E$36,3,0)</f>
        <v>Citrus Aurantium Amara Flower water 98%
Aqua 1%
Leuconostoc/Radish Root Ferment Filtrate 1%</v>
      </c>
      <c r="D9" s="242" t="str">
        <f>VLOOKUP(A9,'Allergènes 81'!$A$2:$E$36,4,0)</f>
        <v>Hydrolat Fleur d'Oranger BIO (conservé)</v>
      </c>
      <c r="E9" s="242">
        <v>25</v>
      </c>
      <c r="F9" s="243"/>
      <c r="G9" s="244">
        <f>VLOOKUP(A9,'Allergènes 81'!A2:K68,7,0)</f>
        <v>0</v>
      </c>
      <c r="H9" s="245">
        <f>(E9*G9)/100</f>
        <v>0</v>
      </c>
      <c r="I9" s="246">
        <f>VLOOKUP(A9,'Allergènes 81'!A2:K68,8,0)</f>
        <v>0</v>
      </c>
      <c r="J9" s="245">
        <f>(E9*I9)/100</f>
        <v>0</v>
      </c>
      <c r="K9" s="246">
        <f>VLOOKUP(A9,'Allergènes 81'!A2:FR67,9,0)</f>
        <v>0</v>
      </c>
      <c r="L9" s="245">
        <f>(E9*K9)/100</f>
        <v>0</v>
      </c>
      <c r="M9" s="246">
        <f>VLOOKUP(A9,'Allergènes 81'!A2:FR67,10,0)</f>
        <v>0</v>
      </c>
      <c r="N9" s="247">
        <f>(E9*M9)/100</f>
        <v>0</v>
      </c>
      <c r="O9" s="198">
        <f>VLOOKUP(A9,'Allergènes 81'!A2:FR67,11,0)</f>
        <v>0</v>
      </c>
      <c r="P9" s="245">
        <f>(E9*O9)/100</f>
        <v>0</v>
      </c>
      <c r="Q9" s="246">
        <f>VLOOKUP(A9,'Allergènes 81'!A2:FR67,12,0)</f>
        <v>0</v>
      </c>
      <c r="R9" s="245">
        <f>(F9*Q9)/100</f>
        <v>0</v>
      </c>
      <c r="S9" s="246">
        <f>VLOOKUP(A9,'Allergènes 81'!A2:FR67,13,0)</f>
        <v>0</v>
      </c>
      <c r="T9" s="245">
        <f>(F9*S9)/100</f>
        <v>0</v>
      </c>
      <c r="U9" s="246">
        <f>VLOOKUP(A9,'Allergènes 81'!A2:FR67,14,0)</f>
        <v>0</v>
      </c>
      <c r="V9" s="245">
        <f>(E9*U9)/100</f>
        <v>0</v>
      </c>
      <c r="W9" s="246">
        <f>VLOOKUP(A9,'Allergènes 81'!A2:FR67,15,0)</f>
        <v>0</v>
      </c>
      <c r="X9" s="245">
        <f>(E9*W9)/100</f>
        <v>0</v>
      </c>
      <c r="Y9" s="246">
        <f>VLOOKUP(A9,'Allergènes 81'!A2:FR67,16,0)</f>
        <v>0</v>
      </c>
      <c r="Z9" s="245">
        <f>(E9*Y9)/100</f>
        <v>0</v>
      </c>
      <c r="AA9" s="246">
        <f>VLOOKUP(A9,'Allergènes 81'!A2:FR67,17,0)</f>
        <v>0</v>
      </c>
      <c r="AB9" s="247">
        <f>(E9*AA9)/100</f>
        <v>0</v>
      </c>
      <c r="AC9" s="246">
        <f>VLOOKUP(A9,'Allergènes 81'!A2:FR67,18,0)</f>
        <v>0</v>
      </c>
      <c r="AD9" s="245">
        <f>(E9*AA9)/100</f>
        <v>0</v>
      </c>
      <c r="AE9" s="246">
        <f>VLOOKUP(A9,'Allergènes 81'!A2:FR67,19,0)</f>
        <v>0</v>
      </c>
      <c r="AF9" s="245">
        <f>(E9*AE9)/100</f>
        <v>0</v>
      </c>
      <c r="AG9" s="246">
        <f>VLOOKUP(A9,'Allergènes 81'!A2:FR67,20,0)</f>
        <v>0</v>
      </c>
      <c r="AH9" s="245">
        <f>(E9*AG9)/100</f>
        <v>0</v>
      </c>
      <c r="AI9" s="246">
        <f>VLOOKUP(A9,'Allergènes 81'!A2:FR67,21,0)</f>
        <v>0</v>
      </c>
      <c r="AJ9" s="245">
        <f>(E9*AI9)/100</f>
        <v>0</v>
      </c>
      <c r="AK9" s="246">
        <f>VLOOKUP(A9,'Allergènes 81'!A2:FR67,22,0)</f>
        <v>0</v>
      </c>
      <c r="AL9" s="245">
        <f>(E9*AK9)/100</f>
        <v>0</v>
      </c>
      <c r="AM9" s="246">
        <f>VLOOKUP(A9,'Allergènes 81'!A2:FR67,23,0)</f>
        <v>0</v>
      </c>
      <c r="AN9" s="245">
        <f>(E9*AM9)/100</f>
        <v>0</v>
      </c>
      <c r="AO9" s="246">
        <f>VLOOKUP(A9,'Allergènes 81'!A2:FR67,24,0)</f>
        <v>0</v>
      </c>
      <c r="AP9" s="245">
        <f>(E9*AO9)/100</f>
        <v>0</v>
      </c>
      <c r="AQ9" s="246">
        <f>VLOOKUP(A9,'Allergènes 81'!A2:FR67,25,0)</f>
        <v>0</v>
      </c>
      <c r="AR9" s="245">
        <f>(E9*AQ9)/100</f>
        <v>0</v>
      </c>
      <c r="AS9" s="246">
        <f>VLOOKUP(A9,'Allergènes 81'!A2:FR67,26,0)</f>
        <v>0</v>
      </c>
      <c r="AT9" s="245">
        <f>(E9*AS9)/100</f>
        <v>0</v>
      </c>
      <c r="AU9" s="246">
        <f>VLOOKUP(A9,'Allergènes 81'!A2:FR67,27,0)</f>
        <v>0</v>
      </c>
      <c r="AV9" s="245">
        <f>(E9*AU9)/100</f>
        <v>0</v>
      </c>
      <c r="AW9" s="246">
        <f>VLOOKUP(A9,'Allergènes 81'!A2:FR67,28,0)</f>
        <v>0</v>
      </c>
      <c r="AX9" s="245">
        <f>(E9*AW9)/100</f>
        <v>0</v>
      </c>
      <c r="AY9" s="246">
        <f>VLOOKUP(A9,'Allergènes 81'!A2:FR67,29,0)</f>
        <v>0</v>
      </c>
      <c r="AZ9" s="245">
        <f>(E9*AY9)/100</f>
        <v>0</v>
      </c>
      <c r="BA9" s="246">
        <f>VLOOKUP(A9,'Allergènes 81'!A2:FR67,30,0)</f>
        <v>0</v>
      </c>
      <c r="BB9" s="245">
        <f>(E9*BA9)/100</f>
        <v>0</v>
      </c>
      <c r="BC9" s="246">
        <f>VLOOKUP(A9,'Allergènes 81'!A2:FR67,31,0)</f>
        <v>0</v>
      </c>
      <c r="BD9" s="245">
        <f>(E9*BC9)/100</f>
        <v>0</v>
      </c>
      <c r="BE9" s="246">
        <f>VLOOKUP(A9,'Allergènes 81'!A2:FR67,32,0)</f>
        <v>0</v>
      </c>
      <c r="BF9" s="245">
        <f>(E9*BE9)/100</f>
        <v>0</v>
      </c>
      <c r="BG9" s="246">
        <f>VLOOKUP(A9,'Allergènes 81'!A2:FR67,33,0)</f>
        <v>0</v>
      </c>
      <c r="BH9" s="245">
        <f>(E9*BG9)/100</f>
        <v>0</v>
      </c>
      <c r="BI9" s="246">
        <f>VLOOKUP(A9,'Allergènes 81'!A2:FR67,34,0)</f>
        <v>0</v>
      </c>
      <c r="BJ9" s="245">
        <f>(E9*BI9)/100</f>
        <v>0</v>
      </c>
      <c r="BK9" s="246">
        <f>VLOOKUP(A9,'Allergènes 81'!A2:FR67,35,0)</f>
        <v>0</v>
      </c>
      <c r="BL9" s="245">
        <f>(E9*BK9)/100</f>
        <v>0</v>
      </c>
      <c r="BM9" s="246">
        <f>VLOOKUP(A9,'Allergènes 81'!A2:FR67,36,0)</f>
        <v>0</v>
      </c>
      <c r="BN9" s="245">
        <f>(E9*BK9)/100</f>
        <v>0</v>
      </c>
      <c r="BO9" s="246">
        <f>VLOOKUP(A9,'Allergènes 81'!A2:FR67,37,0)</f>
        <v>0</v>
      </c>
      <c r="BP9" s="245">
        <f>(E9*BO9)/100</f>
        <v>0</v>
      </c>
      <c r="BQ9" s="246">
        <f>VLOOKUP(A9,'Allergènes 81'!A2:FR67,38,0)</f>
        <v>0</v>
      </c>
      <c r="BR9" s="245">
        <f>(E9*BQ9)/100</f>
        <v>0</v>
      </c>
      <c r="BS9" s="246">
        <f>VLOOKUP(A9,'Allergènes 81'!A2:FR67,39,0)</f>
        <v>0</v>
      </c>
      <c r="BT9" s="245">
        <f>(E9*BS9)/100</f>
        <v>0</v>
      </c>
      <c r="BU9" s="246">
        <f>VLOOKUP(A9,'Allergènes 81'!A2:FR67,40,0)</f>
        <v>0</v>
      </c>
      <c r="BV9" s="245">
        <f>(E9*BU9)/100</f>
        <v>0</v>
      </c>
      <c r="BW9" s="246">
        <f>VLOOKUP(A9,'Allergènes 81'!A2:FR67,41,0)</f>
        <v>0</v>
      </c>
      <c r="BX9" s="245">
        <f>(E9*BW9)/100</f>
        <v>0</v>
      </c>
      <c r="BY9" s="246">
        <f>VLOOKUP(A9,'Allergènes 81'!A2:FR67,42,0)</f>
        <v>0</v>
      </c>
      <c r="BZ9" s="245">
        <f>(E9*BY9)/100</f>
        <v>0</v>
      </c>
      <c r="CA9" s="246">
        <f>VLOOKUP(A9,'Allergènes 81'!A2:FR67,43,0)</f>
        <v>0</v>
      </c>
      <c r="CB9" s="245">
        <f>(E9*CA9)/100</f>
        <v>0</v>
      </c>
      <c r="CC9" s="246">
        <f>VLOOKUP(A9,'Allergènes 81'!A2:FR67,44,0)</f>
        <v>0</v>
      </c>
      <c r="CD9" s="245">
        <f>(E9*CC9)/100</f>
        <v>0</v>
      </c>
      <c r="CE9" s="246">
        <f>VLOOKUP(A9,'Allergènes 81'!A2:FR67,45,0)</f>
        <v>0</v>
      </c>
      <c r="CF9" s="245">
        <f>(E9*CE9)/100</f>
        <v>0</v>
      </c>
      <c r="CG9" s="246">
        <f>VLOOKUP(A9,'Allergènes 81'!A2:FR67,46,0)</f>
        <v>0</v>
      </c>
      <c r="CH9" s="245">
        <f>(E9*CG9)/100</f>
        <v>0</v>
      </c>
      <c r="CI9" s="246">
        <f>VLOOKUP(A9,'Allergènes 81'!A2:FR67,47,0)</f>
        <v>0</v>
      </c>
      <c r="CJ9" s="245">
        <f>(E9*CI9)/100</f>
        <v>0</v>
      </c>
      <c r="CK9" s="246">
        <f>VLOOKUP(A9,'Allergènes 81'!A2:FR67,48,0)</f>
        <v>0</v>
      </c>
      <c r="CL9" s="245">
        <f>(E9*CK9)/100</f>
        <v>0</v>
      </c>
      <c r="CM9" s="246">
        <f>VLOOKUP(A9,'Allergènes 81'!A2:FR67,49,0)</f>
        <v>0</v>
      </c>
      <c r="CN9" s="245">
        <f>(E9*CM9)/100</f>
        <v>0</v>
      </c>
      <c r="CO9" s="246">
        <f>VLOOKUP(A9,'Allergènes 81'!A2:FR67,50,0)</f>
        <v>0</v>
      </c>
      <c r="CP9" s="245">
        <f>(E9*CO9)/100</f>
        <v>0</v>
      </c>
      <c r="CQ9" s="246">
        <f>VLOOKUP(A9,'Allergènes 81'!A2:FR67,51,0)</f>
        <v>0</v>
      </c>
      <c r="CR9" s="245">
        <f>(E9*CQ9)/100</f>
        <v>0</v>
      </c>
      <c r="CS9" s="246">
        <f>VLOOKUP(A9,'Allergènes 81'!A2:FR67,52,0)</f>
        <v>0</v>
      </c>
      <c r="CT9" s="245">
        <f>(E9*CS9)/100</f>
        <v>0</v>
      </c>
      <c r="CU9" s="246">
        <f>VLOOKUP(A9,'Allergènes 81'!A2:FR67,53,0)</f>
        <v>0</v>
      </c>
      <c r="CV9" s="245">
        <f>(E9*CU9)/100</f>
        <v>0</v>
      </c>
      <c r="CW9" s="246">
        <f>VLOOKUP(A9,'Allergènes 81'!A2:FR67,54,0)</f>
        <v>0</v>
      </c>
      <c r="CX9" s="245">
        <f>(E9*CW9)/100</f>
        <v>0</v>
      </c>
      <c r="CY9" s="246">
        <f>VLOOKUP(A9,'Allergènes 81'!A2:FR67,55,0)</f>
        <v>0</v>
      </c>
      <c r="CZ9" s="245">
        <f>(E9*CY9)/100</f>
        <v>0</v>
      </c>
      <c r="DA9" s="246">
        <f>VLOOKUP(A9,'Allergènes 81'!A2:FR67,56,0)</f>
        <v>0</v>
      </c>
      <c r="DB9" s="245">
        <f>(E9*DA9)/100</f>
        <v>0</v>
      </c>
      <c r="DC9" s="248">
        <f>VLOOKUP(A9,'Allergènes 81'!A2:FR67,57,0)</f>
        <v>0</v>
      </c>
      <c r="DD9" s="249">
        <f>(E9*DC9)/100</f>
        <v>0</v>
      </c>
      <c r="DE9" s="248">
        <f>VLOOKUP(A9,'Allergènes 81'!A2:FR67,58,0)</f>
        <v>0</v>
      </c>
      <c r="DF9" s="245">
        <f>(E9*DE9)/100</f>
        <v>0</v>
      </c>
      <c r="DG9" s="198">
        <f>VLOOKUP(A9,'Allergènes 81'!A2:FR67,59,0)</f>
        <v>0</v>
      </c>
      <c r="DH9" s="247">
        <f>(E9*DG9)/100</f>
        <v>0</v>
      </c>
      <c r="DI9" s="198">
        <f>VLOOKUP(A9,'Allergènes 81'!A2:FR67,60,0)</f>
        <v>0</v>
      </c>
      <c r="DJ9" s="247">
        <f>(E9*DI9)/100</f>
        <v>0</v>
      </c>
      <c r="DK9" s="198">
        <f>VLOOKUP(A9,'Allergènes 81'!A2:FR67,61,0)</f>
        <v>0</v>
      </c>
      <c r="DL9" s="247">
        <f>(E9*DK9)/100</f>
        <v>0</v>
      </c>
      <c r="DM9" s="198">
        <f>VLOOKUP(A9,'Allergènes 81'!A2:FR67,62,0)</f>
        <v>0</v>
      </c>
      <c r="DN9" s="247">
        <f>(E9*DM9)/100</f>
        <v>0</v>
      </c>
      <c r="DO9" s="198">
        <f>VLOOKUP(A9,'Allergènes 81'!A2:FR67,63,0)</f>
        <v>0</v>
      </c>
      <c r="DP9" s="247">
        <f>(E9*DO9)/100</f>
        <v>0</v>
      </c>
      <c r="DQ9" s="198">
        <f>VLOOKUP(A9,'Allergènes 81'!A2:FR67,64,0)</f>
        <v>0</v>
      </c>
      <c r="DR9" s="247">
        <f>(E9*DQ9)/100</f>
        <v>0</v>
      </c>
      <c r="DS9" s="198">
        <f>VLOOKUP(A9,'Allergènes 81'!A2:FR67,65,0)</f>
        <v>0</v>
      </c>
      <c r="DT9" s="247">
        <f>(E9*DS9)/100</f>
        <v>0</v>
      </c>
      <c r="DU9" s="198">
        <f>VLOOKUP(A9,'Allergènes 81'!A2:FR67,66,0)</f>
        <v>0</v>
      </c>
      <c r="DV9" s="247">
        <f>(E9*DU9)/100</f>
        <v>0</v>
      </c>
      <c r="DW9" s="198">
        <f>VLOOKUP(A9,'Allergènes 81'!A2:FR67,67,0)</f>
        <v>0</v>
      </c>
      <c r="DX9" s="247">
        <f>(E9*DW9)/100</f>
        <v>0</v>
      </c>
      <c r="DY9" s="198">
        <f>VLOOKUP(A9,'Allergènes 81'!A2:FR67,68,0)</f>
        <v>0</v>
      </c>
      <c r="DZ9" s="247">
        <f>(E9*DY9)/100</f>
        <v>0</v>
      </c>
      <c r="EA9" s="198">
        <f>VLOOKUP(A9,'Allergènes 81'!A2:FR67,69,0)</f>
        <v>0</v>
      </c>
      <c r="EB9" s="247">
        <f>(E9*EA9)/100</f>
        <v>0</v>
      </c>
      <c r="EC9" s="198">
        <f>VLOOKUP(A9,'Allergènes 81'!A2:FR67,70,0)</f>
        <v>0</v>
      </c>
      <c r="ED9" s="247">
        <f>(E9*EC9)/100</f>
        <v>0</v>
      </c>
      <c r="EE9" s="198">
        <f>VLOOKUP(A9,'Allergènes 81'!A2:FR67,71,0)</f>
        <v>0</v>
      </c>
      <c r="EF9" s="247">
        <f>(E9*EE9)/100</f>
        <v>0</v>
      </c>
      <c r="EG9" s="198">
        <f>VLOOKUP(A9,'Allergènes 81'!A2:FR67,72,0)</f>
        <v>1.4999999999999999E-2</v>
      </c>
      <c r="EH9" s="247">
        <f>(E9*EG9)/100</f>
        <v>3.7499999999999999E-3</v>
      </c>
      <c r="EI9" s="198">
        <f>VLOOKUP(A9,'Allergènes 81'!A2:FR67,73,0)</f>
        <v>0</v>
      </c>
      <c r="EJ9" s="250">
        <f>(E9*EI9)/100</f>
        <v>0</v>
      </c>
      <c r="EK9" s="251">
        <f>VLOOKUP(A9,'Allergènes 81'!A2:FR67,74,0)</f>
        <v>0</v>
      </c>
      <c r="EL9" s="250">
        <f>(E9*EK9)/100</f>
        <v>0</v>
      </c>
      <c r="EM9" s="251">
        <f>VLOOKUP(A9,'Allergènes 81'!A2:FR67,75,0)</f>
        <v>0</v>
      </c>
      <c r="EN9" s="250">
        <f>(E9*EM9)/100</f>
        <v>0</v>
      </c>
      <c r="EO9" s="251">
        <f>VLOOKUP(A9,'Allergènes 81'!A2:FR67,76,0)</f>
        <v>0</v>
      </c>
      <c r="EP9" s="250">
        <f>(E9*EO9)/100</f>
        <v>0</v>
      </c>
      <c r="EQ9" s="251">
        <f>VLOOKUP(A9,'Allergènes 81'!A2:FR67,77,0)</f>
        <v>0</v>
      </c>
      <c r="ER9" s="250">
        <f>(E9*EQ9)/100</f>
        <v>0</v>
      </c>
      <c r="ES9" s="251">
        <f>VLOOKUP(A9,'Allergènes 81'!A2:FR67,78,0)</f>
        <v>0</v>
      </c>
      <c r="ET9" s="250">
        <f>(E9*ES9)/100</f>
        <v>0</v>
      </c>
      <c r="EU9" s="251">
        <f>VLOOKUP(A9,'Allergènes 81'!A2:FR67,79,0)</f>
        <v>0</v>
      </c>
      <c r="EV9" s="250">
        <f>(E9*EU9)/100</f>
        <v>0</v>
      </c>
      <c r="EW9" s="251">
        <f>VLOOKUP(A9,'Allergènes 81'!A2:FR67,80,0)</f>
        <v>0</v>
      </c>
      <c r="EX9" s="250">
        <f>(E9*EW9)/100</f>
        <v>0</v>
      </c>
      <c r="EY9" s="251">
        <f>VLOOKUP(A9,'Allergènes 81'!A2:FR67,81,0)</f>
        <v>0</v>
      </c>
      <c r="EZ9" s="250">
        <f>(E9*EY9)/100</f>
        <v>0</v>
      </c>
      <c r="FA9" s="251">
        <f>VLOOKUP(A9,'Allergènes 81'!A2:FR67,82,0)</f>
        <v>0</v>
      </c>
      <c r="FB9" s="250">
        <f>(E9*FA9)/100</f>
        <v>0</v>
      </c>
      <c r="FC9" s="251">
        <f>VLOOKUP(A9,'Allergènes 81'!A2:FR67,83,0)</f>
        <v>0</v>
      </c>
      <c r="FD9" s="250">
        <f>(E9*FC9)/100</f>
        <v>0</v>
      </c>
      <c r="FE9" s="251">
        <f>VLOOKUP(A9,'Allergènes 81'!A2:FR67,84,0)</f>
        <v>0</v>
      </c>
      <c r="FF9" s="250">
        <f>(E9*FE9)/100</f>
        <v>0</v>
      </c>
      <c r="FG9" s="251">
        <f>VLOOKUP(A9,'Allergènes 81'!A2:FR67,85,0)</f>
        <v>0</v>
      </c>
      <c r="FH9" s="250">
        <f>(E9*FG9)/100</f>
        <v>0</v>
      </c>
      <c r="FI9" s="251">
        <f>VLOOKUP(A9,'Allergènes 81'!A2:FR67,86,0)</f>
        <v>0</v>
      </c>
      <c r="FJ9" s="250">
        <f>(E9*FI9)/100</f>
        <v>0</v>
      </c>
      <c r="FK9" s="251">
        <f>VLOOKUP(A9,'Allergènes 81'!A2:FR67,87,0)</f>
        <v>0</v>
      </c>
      <c r="FL9" s="250">
        <f>(E9*FK9)/100</f>
        <v>0</v>
      </c>
      <c r="FM9" s="251">
        <f>VLOOKUP(A9,'Allergènes 81'!A2:FR67,88,0)</f>
        <v>0</v>
      </c>
      <c r="FN9" s="250">
        <f>(E9*FM9)/100</f>
        <v>0</v>
      </c>
      <c r="FO9" s="251">
        <f>VLOOKUP(A9,'Allergènes 81'!A2:FR67,89,0)</f>
        <v>0</v>
      </c>
      <c r="FP9" s="250">
        <f>(E9*FO9)/100</f>
        <v>0</v>
      </c>
      <c r="FQ9" s="251">
        <f>VLOOKUP(A9,'Allergènes 81'!A2:FR67,90,0)</f>
        <v>0.03</v>
      </c>
      <c r="FR9" s="250">
        <f>(E9*FQ9)/100</f>
        <v>7.4999999999999997E-3</v>
      </c>
      <c r="FS9" s="251">
        <f>VLOOKUP(A9,'Allergènes 81'!A2:FR67,91,0)</f>
        <v>0</v>
      </c>
      <c r="FT9" s="250">
        <f>(E9*FS9)/100</f>
        <v>0</v>
      </c>
      <c r="FU9" s="251">
        <f>VLOOKUP(A9,'Allergènes 81'!A2:FR67,92,0)</f>
        <v>0</v>
      </c>
      <c r="FV9" s="250">
        <f>(E9*FU9)/100</f>
        <v>0</v>
      </c>
      <c r="FW9" s="251">
        <f>VLOOKUP(A9,'Allergènes 81'!A2:FR67,93,0)</f>
        <v>0</v>
      </c>
      <c r="FX9" s="250">
        <f>(E9*FW9)/100</f>
        <v>0</v>
      </c>
      <c r="FY9" s="251">
        <f>VLOOKUP(A9,'Allergènes 81'!A2:FR67,94,0)</f>
        <v>0</v>
      </c>
      <c r="FZ9" s="250">
        <f>(E9*FY9)/100</f>
        <v>0</v>
      </c>
      <c r="GA9" s="251">
        <f>VLOOKUP(A9,'Allergènes 81'!A2:FR67,95,0)</f>
        <v>0</v>
      </c>
      <c r="GB9" s="250">
        <f>(E9*GA9)/100</f>
        <v>0</v>
      </c>
      <c r="GC9" s="251">
        <f>VLOOKUP(A9,'Allergènes 81'!A2:FR67,96,0)</f>
        <v>0</v>
      </c>
      <c r="GD9" s="250">
        <f>(E9*GC9)/100</f>
        <v>0</v>
      </c>
      <c r="GE9" s="251">
        <f>VLOOKUP(A9,'Allergènes 81'!A2:FR67,97,0)</f>
        <v>0</v>
      </c>
      <c r="GF9" s="250">
        <f>(E9*GE9)/100</f>
        <v>0</v>
      </c>
      <c r="GG9" s="251">
        <f>VLOOKUP(A9,'Allergènes 81'!A2:FR67,98,0)</f>
        <v>0</v>
      </c>
      <c r="GH9" s="250">
        <f>(E9*GG9)/100</f>
        <v>0</v>
      </c>
      <c r="GI9" s="251">
        <f>VLOOKUP(A9,'Allergènes 81'!A2:FR67,99,0)</f>
        <v>0</v>
      </c>
      <c r="GJ9" s="250">
        <f>(E9*GI9)/100</f>
        <v>0</v>
      </c>
      <c r="GK9" s="251">
        <f>VLOOKUP(A9,'Allergènes 81'!A2:FR67,100,0)</f>
        <v>0</v>
      </c>
      <c r="GL9" s="250">
        <f>(E9*GK9)/100</f>
        <v>0</v>
      </c>
      <c r="GM9" s="251">
        <f>VLOOKUP(A9,'Allergènes 81'!A2:FR67,101,0)</f>
        <v>0</v>
      </c>
      <c r="GN9" s="250">
        <f>(E9*GM9)/100</f>
        <v>0</v>
      </c>
      <c r="GO9" s="251">
        <f>VLOOKUP(A9,'Allergènes 81'!A2:FR67,102,0)</f>
        <v>0</v>
      </c>
      <c r="GP9" s="250">
        <f>(E9*GO9)/100</f>
        <v>0</v>
      </c>
      <c r="GQ9" s="251">
        <f>VLOOKUP(A9,'Allergènes 81'!A2:FR67,103,0)</f>
        <v>0</v>
      </c>
      <c r="GR9" s="250">
        <f>(E9*GQ9)/100</f>
        <v>0</v>
      </c>
      <c r="GS9" s="251">
        <f>VLOOKUP(A9,'Allergènes 81'!A2:FR67,104,0)</f>
        <v>0</v>
      </c>
      <c r="GT9" s="250">
        <f>(E9*GS9)/100</f>
        <v>0</v>
      </c>
      <c r="GU9" s="251">
        <f>VLOOKUP(A9,'Allergènes 81'!A2:FR67,105,0)</f>
        <v>0</v>
      </c>
      <c r="GV9" s="250">
        <f>(E9*GU9)/100</f>
        <v>0</v>
      </c>
      <c r="GW9" s="251">
        <f>VLOOKUP(A9,'Allergènes 81'!A2:FR67,106,0)</f>
        <v>0</v>
      </c>
      <c r="GX9" s="250">
        <f>(E9*GW9)/100</f>
        <v>0</v>
      </c>
      <c r="GY9" s="251">
        <f>VLOOKUP(A9,'Allergènes 81'!A2:FR67,107,0)</f>
        <v>0</v>
      </c>
      <c r="GZ9" s="250">
        <f>(E9*GY9)/100</f>
        <v>0</v>
      </c>
      <c r="HA9" s="251">
        <f>VLOOKUP(A9,'Allergènes 81'!A2:FR67,108,0)</f>
        <v>0</v>
      </c>
      <c r="HB9" s="250">
        <f>(E9*HA9)/100</f>
        <v>0</v>
      </c>
      <c r="HC9" s="251">
        <f>VLOOKUP(A9,'Allergènes 81'!A2:FR67,109,0)</f>
        <v>0</v>
      </c>
      <c r="HD9" s="250">
        <f>(E9*HC9)/100</f>
        <v>0</v>
      </c>
      <c r="HE9" s="251">
        <f>VLOOKUP(A9,'Allergènes 81'!A2:FR67,110,0)</f>
        <v>0</v>
      </c>
      <c r="HF9" s="250">
        <f>(E9*HE9)/100</f>
        <v>0</v>
      </c>
      <c r="HG9" s="251">
        <f>VLOOKUP(A9,'Allergènes 81'!A2:FR67,111,0)</f>
        <v>0</v>
      </c>
      <c r="HH9" s="250">
        <f>(E9*HG9)/100</f>
        <v>0</v>
      </c>
      <c r="HI9" s="251">
        <f>VLOOKUP(A9,'Allergènes 81'!A2:FR67,112,0)</f>
        <v>0</v>
      </c>
      <c r="HJ9" s="250">
        <f>(E9*HI9)/100</f>
        <v>0</v>
      </c>
      <c r="HK9" s="251">
        <f>VLOOKUP(A9,'Allergènes 81'!A2:FR67,113,0)</f>
        <v>0</v>
      </c>
      <c r="HL9" s="250">
        <f>(E9*HK9)/100</f>
        <v>0</v>
      </c>
      <c r="HM9" s="251">
        <f>VLOOKUP(A9,'Allergènes 81'!A2:FR67,114,0)</f>
        <v>0</v>
      </c>
      <c r="HN9" s="250">
        <f>(E9*HM9)/100</f>
        <v>0</v>
      </c>
      <c r="HO9" s="251">
        <f>VLOOKUP(A9,'Allergènes 81'!A2:FR67,115,0)</f>
        <v>0</v>
      </c>
      <c r="HP9" s="250">
        <f>(E9*HO9)/100</f>
        <v>0</v>
      </c>
      <c r="HQ9" s="251">
        <f>VLOOKUP(A9,'Allergènes 81'!A2:FR67,116,0)</f>
        <v>0</v>
      </c>
      <c r="HR9" s="250">
        <f>(E9*HQ9)/100</f>
        <v>0</v>
      </c>
      <c r="HS9" s="251">
        <f>VLOOKUP(A9,'Allergènes 81'!A2:FR67,117,0)</f>
        <v>0</v>
      </c>
      <c r="HT9" s="250">
        <f>(E9*HS9)/100</f>
        <v>0</v>
      </c>
      <c r="HU9" s="251">
        <f>VLOOKUP(A9,'Allergènes 81'!A2:FR67,118,0)</f>
        <v>0</v>
      </c>
      <c r="HV9" s="250">
        <f>(E9*HU9)/100</f>
        <v>0</v>
      </c>
      <c r="HW9" s="251">
        <f>VLOOKUP(A9,'Allergènes 81'!A2:FR67,119,0)</f>
        <v>0</v>
      </c>
      <c r="HX9" s="250">
        <f>(E9*HW9)/100</f>
        <v>0</v>
      </c>
      <c r="HY9" s="251">
        <f>VLOOKUP(A9,'Allergènes 81'!A2:FR67,120,0)</f>
        <v>0</v>
      </c>
      <c r="HZ9" s="250">
        <f>(E9*HY9)/100</f>
        <v>0</v>
      </c>
      <c r="IA9" s="251">
        <f>VLOOKUP(A9,'Allergènes 81'!A2:FR67,121,0)</f>
        <v>0</v>
      </c>
      <c r="IB9" s="250">
        <f>(E9*IA9)/100</f>
        <v>0</v>
      </c>
      <c r="IC9" s="251">
        <f>VLOOKUP(A9,'Allergènes 81'!A2:FR67,122,0)</f>
        <v>0</v>
      </c>
      <c r="ID9" s="250">
        <f>(E9*IC9)/100</f>
        <v>0</v>
      </c>
      <c r="IE9" s="251">
        <f>VLOOKUP(A9,'Allergènes 81'!A2:FR67,123,0)</f>
        <v>0</v>
      </c>
      <c r="IF9" s="250">
        <f>(E9*IE9)/100</f>
        <v>0</v>
      </c>
      <c r="IG9" s="251">
        <f>VLOOKUP(A9,'Allergènes 81'!A2:FR67,124,0)</f>
        <v>0</v>
      </c>
      <c r="IH9" s="250">
        <f>(E9*IG9)/100</f>
        <v>0</v>
      </c>
      <c r="II9" s="251">
        <f>VLOOKUP(A9,'Allergènes 81'!A2:FR67,125,0)</f>
        <v>0</v>
      </c>
      <c r="IJ9" s="250">
        <f>(E9*II9)/100</f>
        <v>0</v>
      </c>
      <c r="IK9" s="251">
        <f>VLOOKUP(A9,'Allergènes 81'!A2:FR67,126,0)</f>
        <v>0</v>
      </c>
      <c r="IL9" s="250">
        <f>(E9*IK9)/100</f>
        <v>0</v>
      </c>
      <c r="IM9" s="251">
        <f>VLOOKUP(A9,'Allergènes 81'!A2:FR67,127,0)</f>
        <v>0</v>
      </c>
      <c r="IN9" s="250">
        <f>(E9*IM9)/100</f>
        <v>0</v>
      </c>
      <c r="IO9" s="251">
        <f>VLOOKUP(A9,'Allergènes 81'!A2:FR67,128,0)</f>
        <v>0</v>
      </c>
      <c r="IP9" s="250">
        <f>(E9*IO9)/100</f>
        <v>0</v>
      </c>
      <c r="IQ9" s="251">
        <f>VLOOKUP(A9,'Allergènes 81'!A2:FR67,129,0)</f>
        <v>0</v>
      </c>
      <c r="IR9" s="250">
        <f>(E9*IQ9)/100</f>
        <v>0</v>
      </c>
      <c r="IS9" s="251">
        <f>VLOOKUP(A9,'Allergènes 81'!A2:FR67,130,0)</f>
        <v>0</v>
      </c>
      <c r="IT9" s="250">
        <f>(E9*IS9)/100</f>
        <v>0</v>
      </c>
      <c r="IU9" s="251">
        <f>VLOOKUP(A9,'Allergènes 81'!A2:FR67,131,0)</f>
        <v>0</v>
      </c>
      <c r="IV9" s="250">
        <f>(E9*IU9)/100</f>
        <v>0</v>
      </c>
      <c r="IW9" s="251">
        <f>VLOOKUP(A9,'Allergènes 81'!A2:FR67,132,0)</f>
        <v>0</v>
      </c>
      <c r="IX9" s="250">
        <f>(E9*IW9)/100</f>
        <v>0</v>
      </c>
      <c r="IY9" s="251">
        <f>VLOOKUP(A9,'Allergènes 81'!A2:FR67,133,0)</f>
        <v>0</v>
      </c>
      <c r="IZ9" s="250">
        <f>(E9*IY9)/100</f>
        <v>0</v>
      </c>
      <c r="JA9" s="251">
        <f>VLOOKUP(A9,'Allergènes 81'!A2:FR67,134,0)</f>
        <v>0</v>
      </c>
      <c r="JB9" s="250">
        <f>(E9*JA9)/100</f>
        <v>0</v>
      </c>
      <c r="JC9" s="251">
        <f>VLOOKUP(A9,'Allergènes 81'!A2:FR67,135,0)</f>
        <v>0</v>
      </c>
      <c r="JD9" s="250">
        <f>(E9*JC9)/100</f>
        <v>0</v>
      </c>
      <c r="JE9" s="251">
        <f>VLOOKUP(A9,'Allergènes 81'!A2:FR67,136,0)</f>
        <v>0</v>
      </c>
      <c r="JF9" s="250">
        <f>(E9*JE9)/100</f>
        <v>0</v>
      </c>
      <c r="JG9" s="251">
        <f>VLOOKUP(A9,'Allergènes 81'!A2:FR67,137,0)</f>
        <v>0</v>
      </c>
      <c r="JH9" s="250">
        <f>(E9*JG9)/100</f>
        <v>0</v>
      </c>
      <c r="JI9" s="251">
        <f>VLOOKUP(A9,'Allergènes 81'!A2:FR67,138,0)</f>
        <v>0</v>
      </c>
      <c r="JJ9" s="250">
        <f>(E9*JI9)/100</f>
        <v>0</v>
      </c>
      <c r="JK9" s="251">
        <f>VLOOKUP(A9,'Allergènes 81'!A2:FR67,139,0)</f>
        <v>0</v>
      </c>
      <c r="JL9" s="250">
        <f>(E9*JK9)/100</f>
        <v>0</v>
      </c>
      <c r="JM9" s="251">
        <f>VLOOKUP(A9,'Allergènes 81'!A2:FR67,140,0)</f>
        <v>0</v>
      </c>
      <c r="JN9" s="250">
        <f>(E9*JM9)/100</f>
        <v>0</v>
      </c>
      <c r="JO9" s="251">
        <f>VLOOKUP(A9,'Allergènes 81'!A2:FR67,141,0)</f>
        <v>0</v>
      </c>
      <c r="JP9" s="250">
        <f>(E9*JO9)/100</f>
        <v>0</v>
      </c>
      <c r="JQ9" s="251">
        <f>VLOOKUP(A9,'Allergènes 81'!A2:FR67,142,0)</f>
        <v>0</v>
      </c>
      <c r="JR9" s="250">
        <f>(E9*JQ9)/100</f>
        <v>0</v>
      </c>
      <c r="JS9" s="251">
        <f>VLOOKUP(A9,'Allergènes 81'!A2:FR67,143,0)</f>
        <v>0</v>
      </c>
      <c r="JT9" s="250">
        <f>(E9*JS9)/100</f>
        <v>0</v>
      </c>
      <c r="JU9" s="251">
        <f>VLOOKUP(A9,'Allergènes 81'!A2:FR67,144,0)</f>
        <v>0</v>
      </c>
      <c r="JV9" s="250">
        <f>(E9*JU9)/100</f>
        <v>0</v>
      </c>
      <c r="JW9" s="251">
        <f>VLOOKUP(A9,'Allergènes 81'!A2:FR67,145,0)</f>
        <v>0</v>
      </c>
      <c r="JX9" s="250">
        <f>(E9*JW9)/100</f>
        <v>0</v>
      </c>
      <c r="JY9" s="251">
        <f>VLOOKUP(A9,'Allergènes 81'!A2:FR67,146,0)</f>
        <v>0</v>
      </c>
      <c r="JZ9" s="250">
        <f>(E9*JY9)/100</f>
        <v>0</v>
      </c>
      <c r="KA9" s="251">
        <f>VLOOKUP(A9,'Allergènes 81'!A2:FR67,147,0)</f>
        <v>0</v>
      </c>
      <c r="KB9" s="250">
        <f>(E9*KA9)/100</f>
        <v>0</v>
      </c>
      <c r="KC9" s="251">
        <f>VLOOKUP(A9,'Allergènes 81'!A2:FR67,148,0)</f>
        <v>0</v>
      </c>
      <c r="KD9" s="250">
        <f>(E9*KC9)/100</f>
        <v>0</v>
      </c>
      <c r="KE9" s="251">
        <f>VLOOKUP(A9,'Allergènes 81'!A2:FR67,149,0)</f>
        <v>0</v>
      </c>
      <c r="KF9" s="250">
        <f>(E9*KE9)/100</f>
        <v>0</v>
      </c>
      <c r="KG9" s="251">
        <f>VLOOKUP(A9,'Allergènes 81'!A2:FR67,150,0)</f>
        <v>0</v>
      </c>
      <c r="KH9" s="250">
        <f>(E9*KG9)/100</f>
        <v>0</v>
      </c>
      <c r="KI9" s="251">
        <f>VLOOKUP(A9,'Allergènes 81'!A2:FR67,151,0)</f>
        <v>1E-4</v>
      </c>
      <c r="KJ9" s="250">
        <f>(E9*KI9)/100</f>
        <v>2.5000000000000001E-5</v>
      </c>
      <c r="KK9" s="251">
        <f>VLOOKUP(A9,'Allergènes 81'!A2:FR67,152,0)</f>
        <v>0</v>
      </c>
      <c r="KL9" s="250">
        <f>(E9*KK9)/100</f>
        <v>0</v>
      </c>
      <c r="KM9" s="251">
        <f>VLOOKUP(A9,'Allergènes 81'!A2:FR67,153,0)</f>
        <v>0</v>
      </c>
      <c r="KN9" s="250">
        <f>(E9*KM9)/100</f>
        <v>0</v>
      </c>
      <c r="KO9" s="251">
        <f>VLOOKUP(A9,'Allergènes 81'!A2:FR67,154,0)</f>
        <v>0</v>
      </c>
      <c r="KP9" s="250">
        <f>(E9*KO9)/100</f>
        <v>0</v>
      </c>
      <c r="KQ9" s="251">
        <f>VLOOKUP(A9,'Allergènes 81'!A2:FR67,155,0)</f>
        <v>0</v>
      </c>
      <c r="KR9" s="250">
        <f>(E9*KQ9)/100</f>
        <v>0</v>
      </c>
      <c r="KS9" s="251">
        <f>VLOOKUP(A9,'Allergènes 81'!A2:FR67,156,0)</f>
        <v>0</v>
      </c>
      <c r="KT9" s="250">
        <f>(E9*KS9)/100</f>
        <v>0</v>
      </c>
      <c r="KU9" s="251">
        <f>VLOOKUP(A9,'Allergènes 81'!A2:FR67,157,0)</f>
        <v>0</v>
      </c>
      <c r="KV9" s="250">
        <f>(E9*KU9)/100</f>
        <v>0</v>
      </c>
      <c r="KW9" s="251">
        <f>VLOOKUP(A9,'Allergènes 81'!A2:FR67,158,0)</f>
        <v>0</v>
      </c>
      <c r="KX9" s="250">
        <f>(E9*KW9)/100</f>
        <v>0</v>
      </c>
      <c r="KY9" s="251">
        <f>VLOOKUP(A9,'Allergènes 81'!A2:FR67,159,0)</f>
        <v>0</v>
      </c>
      <c r="KZ9" s="250">
        <f>(E9*KY9)/100</f>
        <v>0</v>
      </c>
      <c r="LA9" s="251">
        <f>VLOOKUP(A9,'Allergènes 81'!A2:FR67,160,0)</f>
        <v>0</v>
      </c>
      <c r="LB9" s="250">
        <f>(E9*LA9)/100</f>
        <v>0</v>
      </c>
      <c r="LC9" s="251">
        <f>VLOOKUP(A9,'Allergènes 81'!A2:FR67,161,0)</f>
        <v>0</v>
      </c>
      <c r="LD9" s="250">
        <f>(E9*LC9)/100</f>
        <v>0</v>
      </c>
      <c r="LE9" s="251">
        <f>VLOOKUP(A9,'Allergènes 81'!A2:FR67,162,0)</f>
        <v>0</v>
      </c>
      <c r="LF9" s="250">
        <f>(E9*LE9)/100</f>
        <v>0</v>
      </c>
      <c r="LG9" s="251">
        <f>VLOOKUP(A9,'Allergènes 81'!A2:FR67,163,0)</f>
        <v>0</v>
      </c>
      <c r="LH9" s="250">
        <f>(E9*LG9)/100</f>
        <v>0</v>
      </c>
      <c r="LI9" s="251">
        <f>VLOOKUP(A9,'Allergènes 81'!A2:FR67,164,0)</f>
        <v>0</v>
      </c>
      <c r="LJ9" s="250">
        <f>(E9*LI9)/100</f>
        <v>0</v>
      </c>
      <c r="LK9" s="251">
        <f>VLOOKUP(A9,'Allergènes 81'!A2:FR67,165,0)</f>
        <v>2.9999999999999997E-4</v>
      </c>
      <c r="LL9" s="250">
        <f>(E9*LK9)/100</f>
        <v>7.4999999999999993E-5</v>
      </c>
      <c r="LM9" s="251">
        <f>VLOOKUP(A9,'Allergènes 81'!A2:FR67,166,0)</f>
        <v>0</v>
      </c>
      <c r="LN9" s="250">
        <f>(E9*LM9)/100</f>
        <v>0</v>
      </c>
      <c r="LO9" s="251">
        <f>VLOOKUP(A9,'Allergènes 81'!A2:FR67,167,0)</f>
        <v>0</v>
      </c>
      <c r="LP9" s="250">
        <f>(E9*LO9)/100</f>
        <v>0</v>
      </c>
      <c r="LQ9" s="251">
        <f>VLOOKUP(A9,'Allergènes 81'!A2:FR67,168,0)</f>
        <v>0</v>
      </c>
      <c r="LR9" s="250">
        <f>(E9*LQ9)/100</f>
        <v>0</v>
      </c>
      <c r="LS9" s="251">
        <f>VLOOKUP(A9,'Allergènes 81'!A2:FR67,169,0)</f>
        <v>2.5000000000000001E-2</v>
      </c>
      <c r="LT9" s="250">
        <f>(E9*LS9)/100</f>
        <v>6.2500000000000003E-3</v>
      </c>
      <c r="LU9" s="251">
        <f>VLOOKUP(A9,'Allergènes 81'!A2:FR67,170,0)</f>
        <v>0</v>
      </c>
      <c r="LV9" s="250">
        <f>(E9*LU9)/100</f>
        <v>0</v>
      </c>
      <c r="LW9" s="251">
        <f>VLOOKUP(A9,'Allergènes 81'!A2:FR67,171,0)</f>
        <v>0</v>
      </c>
      <c r="LX9" s="250">
        <f>(E9*LW9)/100</f>
        <v>0</v>
      </c>
      <c r="LY9" s="251">
        <f>VLOOKUP(A9,'Allergènes 81'!A2:FR67,172,0)</f>
        <v>0</v>
      </c>
      <c r="LZ9" s="250">
        <f>(E9*LY9)/100</f>
        <v>0</v>
      </c>
      <c r="MA9" s="251">
        <f>VLOOKUP(A9,'Allergènes 81'!A2:FR67,173,0)</f>
        <v>0</v>
      </c>
      <c r="MB9" s="250">
        <f>(E9*MA9)/100</f>
        <v>0</v>
      </c>
      <c r="MC9" s="251">
        <f>VLOOKUP(A9,'Allergènes 81'!A2:FR67,174,0)</f>
        <v>0</v>
      </c>
      <c r="MD9" s="251">
        <f>(E9*MA9)/100</f>
        <v>0</v>
      </c>
      <c r="ME9" s="251" t="e">
        <f>VLOOKUP(A9,'Allergènes 81'!A2:FR67,175,0)</f>
        <v>#REF!</v>
      </c>
      <c r="MF9" s="251">
        <f>(E9*MA9)/100</f>
        <v>0</v>
      </c>
      <c r="MG9" s="251" t="e">
        <f>VLOOKUP($A$9,'Allergènes 81'!$A$2:$FQ$34,176,0)</f>
        <v>#N/A</v>
      </c>
      <c r="MH9" s="251">
        <f>(E9*MA9)/100</f>
        <v>0</v>
      </c>
      <c r="MI9" s="251" t="e">
        <f>VLOOKUP($A$9,'Allergènes 81'!$A$2:$FQ$34,177,0)</f>
        <v>#N/A</v>
      </c>
      <c r="MJ9" s="251">
        <f>(E9*MA9)/100</f>
        <v>0</v>
      </c>
    </row>
    <row r="10" spans="1:348" ht="15.75" customHeight="1" x14ac:dyDescent="0.2">
      <c r="A10" s="123"/>
      <c r="B10" s="123"/>
      <c r="C10" s="123"/>
      <c r="D10" s="123"/>
      <c r="F10" s="123"/>
      <c r="G10" s="123"/>
      <c r="H10" s="123"/>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123"/>
      <c r="AZ10" s="123"/>
      <c r="BA10" s="123"/>
      <c r="BB10" s="123"/>
      <c r="BC10" s="123"/>
      <c r="BD10" s="123"/>
      <c r="BE10" s="123"/>
      <c r="BF10" s="123"/>
      <c r="BG10" s="123"/>
      <c r="BH10" s="123"/>
      <c r="BI10" s="123"/>
      <c r="BJ10" s="123"/>
      <c r="BK10" s="123"/>
      <c r="BL10" s="123"/>
      <c r="BM10" s="123"/>
      <c r="BN10" s="123"/>
      <c r="BO10" s="123"/>
      <c r="BP10" s="123"/>
      <c r="BQ10" s="123"/>
      <c r="BR10" s="123"/>
      <c r="BS10" s="123"/>
      <c r="BT10" s="123"/>
      <c r="BU10" s="123"/>
      <c r="BV10" s="123"/>
      <c r="BW10" s="123"/>
      <c r="BX10" s="123"/>
      <c r="BY10" s="123"/>
      <c r="BZ10" s="123"/>
      <c r="CA10" s="123"/>
      <c r="CB10" s="123"/>
      <c r="CC10" s="123"/>
      <c r="CD10" s="123"/>
      <c r="CE10" s="123"/>
      <c r="CF10" s="123"/>
      <c r="CG10" s="123"/>
      <c r="CH10" s="123"/>
      <c r="CI10" s="123"/>
      <c r="CJ10" s="123"/>
      <c r="CK10" s="123"/>
      <c r="CL10" s="123"/>
      <c r="CM10" s="123"/>
      <c r="CN10" s="123"/>
      <c r="CO10" s="123"/>
      <c r="CP10" s="123"/>
      <c r="CQ10" s="123"/>
      <c r="CR10" s="123"/>
      <c r="CS10" s="123"/>
      <c r="CT10" s="123"/>
      <c r="CU10" s="123"/>
      <c r="CV10" s="123"/>
      <c r="CW10" s="123"/>
      <c r="CX10" s="123"/>
      <c r="CY10" s="123"/>
      <c r="CZ10" s="123"/>
      <c r="DA10" s="123"/>
      <c r="DB10" s="123"/>
    </row>
    <row r="11" spans="1:348" ht="15" customHeight="1" x14ac:dyDescent="0.2">
      <c r="A11" s="123"/>
      <c r="B11" s="123"/>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c r="BQ11" s="123"/>
      <c r="BR11" s="123"/>
      <c r="BS11" s="123"/>
      <c r="BT11" s="123"/>
      <c r="BU11" s="123"/>
      <c r="BV11" s="123"/>
      <c r="BW11" s="123"/>
      <c r="BX11" s="123"/>
      <c r="BY11" s="123"/>
      <c r="BZ11" s="123"/>
      <c r="CA11" s="123"/>
      <c r="CB11" s="123"/>
      <c r="CC11" s="123"/>
      <c r="CD11" s="123"/>
      <c r="CE11" s="123"/>
      <c r="CF11" s="123"/>
      <c r="CG11" s="123"/>
      <c r="CH11" s="123"/>
      <c r="CI11" s="123"/>
      <c r="CJ11" s="123"/>
      <c r="CK11" s="123"/>
      <c r="CL11" s="123"/>
      <c r="CM11" s="123"/>
      <c r="CN11" s="123"/>
      <c r="CO11" s="123"/>
      <c r="CP11" s="123"/>
      <c r="CQ11" s="123"/>
      <c r="CR11" s="123"/>
      <c r="CS11" s="123"/>
      <c r="CT11" s="123"/>
      <c r="CU11" s="123"/>
      <c r="CV11" s="123"/>
      <c r="CW11" s="123"/>
      <c r="CX11" s="123"/>
      <c r="CY11" s="123"/>
      <c r="CZ11" s="123"/>
      <c r="DA11" s="123"/>
      <c r="DB11" s="123"/>
    </row>
    <row r="12" spans="1:348" ht="48" customHeight="1" x14ac:dyDescent="0.2">
      <c r="A12" s="252"/>
      <c r="B12" s="252"/>
      <c r="C12" s="371" t="s">
        <v>3916</v>
      </c>
      <c r="D12" s="372"/>
      <c r="E12" s="373"/>
      <c r="F12" s="84"/>
      <c r="G12" s="367">
        <f t="array" ref="G12">SUM(IFERROR(H9,))</f>
        <v>0</v>
      </c>
      <c r="H12" s="357"/>
      <c r="I12" s="367">
        <f t="array" ref="I12">SUM(IFERROR(J9,))</f>
        <v>0</v>
      </c>
      <c r="J12" s="357"/>
      <c r="K12" s="367">
        <f t="array" ref="K12">SUM(IFERROR(L9,))</f>
        <v>0</v>
      </c>
      <c r="L12" s="357"/>
      <c r="M12" s="367">
        <f t="array" ref="M12">SUM(IFERROR(N9,))</f>
        <v>0</v>
      </c>
      <c r="N12" s="357"/>
      <c r="O12" s="367">
        <f t="array" ref="O12">SUM(IFERROR(P9,))</f>
        <v>0</v>
      </c>
      <c r="P12" s="357"/>
      <c r="Q12" s="367">
        <f t="array" ref="Q12">SUM(IFERROR(R9,))</f>
        <v>0</v>
      </c>
      <c r="R12" s="357"/>
      <c r="S12" s="367">
        <f t="array" ref="S12">SUM(IFERROR(T9,))</f>
        <v>0</v>
      </c>
      <c r="T12" s="357"/>
      <c r="U12" s="367">
        <f t="array" ref="U12">SUM(IFERROR(V9,))</f>
        <v>0</v>
      </c>
      <c r="V12" s="357"/>
      <c r="W12" s="367">
        <f t="array" ref="W12">SUM(IFERROR(X9,))</f>
        <v>0</v>
      </c>
      <c r="X12" s="357"/>
      <c r="Y12" s="367">
        <f t="array" ref="Y12">SUM(IFERROR(Z9,))</f>
        <v>0</v>
      </c>
      <c r="Z12" s="357"/>
      <c r="AA12" s="367">
        <f t="array" ref="AA12">SUM(IFERROR(AB9,))</f>
        <v>0</v>
      </c>
      <c r="AB12" s="357"/>
      <c r="AC12" s="367">
        <f t="array" ref="AC12">SUM(IFERROR(AD9,))</f>
        <v>0</v>
      </c>
      <c r="AD12" s="357"/>
      <c r="AE12" s="367">
        <f t="array" ref="AE12">SUM(IFERROR(AF9,))</f>
        <v>0</v>
      </c>
      <c r="AF12" s="357"/>
      <c r="AG12" s="367">
        <f t="array" ref="AG12">SUM(IFERROR(AH9,))</f>
        <v>0</v>
      </c>
      <c r="AH12" s="357"/>
      <c r="AI12" s="367">
        <f t="array" ref="AI12">SUM(IFERROR(AJ9,))</f>
        <v>0</v>
      </c>
      <c r="AJ12" s="357"/>
      <c r="AK12" s="367">
        <f t="array" ref="AK12">SUM(IFERROR(AL9,))</f>
        <v>0</v>
      </c>
      <c r="AL12" s="357"/>
      <c r="AM12" s="367">
        <f t="array" ref="AM12">SUM(IFERROR(AN9,))</f>
        <v>0</v>
      </c>
      <c r="AN12" s="357"/>
      <c r="AO12" s="367">
        <f t="array" ref="AO12">SUM(IFERROR(AP9,))</f>
        <v>0</v>
      </c>
      <c r="AP12" s="357"/>
      <c r="AQ12" s="367">
        <f t="array" ref="AQ12">SUM(IFERROR(AR9,))</f>
        <v>0</v>
      </c>
      <c r="AR12" s="357"/>
      <c r="AS12" s="367">
        <f t="array" ref="AS12">SUM(IFERROR(AT9,))</f>
        <v>0</v>
      </c>
      <c r="AT12" s="357"/>
      <c r="AU12" s="367">
        <f t="array" ref="AU12">SUM(IFERROR(AV9,))</f>
        <v>0</v>
      </c>
      <c r="AV12" s="357"/>
      <c r="AW12" s="367">
        <f t="array" ref="AW12">SUM(IFERROR(AX9,))</f>
        <v>0</v>
      </c>
      <c r="AX12" s="357"/>
      <c r="AY12" s="367">
        <f t="array" ref="AY12">SUM(IFERROR(AZ9,))</f>
        <v>0</v>
      </c>
      <c r="AZ12" s="357"/>
      <c r="BA12" s="367">
        <f t="array" ref="BA12">SUM(IFERROR(BB9,))</f>
        <v>0</v>
      </c>
      <c r="BB12" s="357"/>
      <c r="BC12" s="367">
        <f t="array" ref="BC12">SUM(IFERROR(BD9,))</f>
        <v>0</v>
      </c>
      <c r="BD12" s="357"/>
      <c r="BE12" s="367">
        <f t="array" ref="BE12">SUM(IFERROR(BF9,))</f>
        <v>0</v>
      </c>
      <c r="BF12" s="357"/>
      <c r="BG12" s="367">
        <f t="array" ref="BG12">SUM(IFERROR(BH9,))</f>
        <v>0</v>
      </c>
      <c r="BH12" s="357"/>
      <c r="BI12" s="367">
        <f t="array" ref="BI12">SUM(IFERROR(BJ9,))</f>
        <v>0</v>
      </c>
      <c r="BJ12" s="357"/>
      <c r="BK12" s="367">
        <f t="array" ref="BK12">SUM(IFERROR(BL9,))</f>
        <v>0</v>
      </c>
      <c r="BL12" s="357"/>
      <c r="BM12" s="367">
        <f t="array" ref="BM12">SUM(IFERROR(BN9,))</f>
        <v>0</v>
      </c>
      <c r="BN12" s="357"/>
      <c r="BO12" s="367">
        <f t="array" ref="BO12">SUM(IFERROR(BP9,))</f>
        <v>0</v>
      </c>
      <c r="BP12" s="357"/>
      <c r="BQ12" s="367">
        <f t="array" ref="BQ12">SUM(IFERROR(BR9,))</f>
        <v>0</v>
      </c>
      <c r="BR12" s="357"/>
      <c r="BS12" s="367">
        <f t="array" ref="BS12">SUM(IFERROR(BT9,))</f>
        <v>0</v>
      </c>
      <c r="BT12" s="357"/>
      <c r="BU12" s="367">
        <f t="array" ref="BU12">SUM(IFERROR(BV9,))</f>
        <v>0</v>
      </c>
      <c r="BV12" s="357"/>
      <c r="BW12" s="367">
        <f t="array" ref="BW12">SUM(IFERROR(BX9,))</f>
        <v>0</v>
      </c>
      <c r="BX12" s="357"/>
      <c r="BY12" s="367">
        <f t="array" ref="BY12">SUM(IFERROR(BZ9,))</f>
        <v>0</v>
      </c>
      <c r="BZ12" s="357"/>
      <c r="CA12" s="367">
        <f t="array" ref="CA12">SUM(IFERROR(CB9,))</f>
        <v>0</v>
      </c>
      <c r="CB12" s="357"/>
      <c r="CC12" s="367">
        <f t="array" ref="CC12">SUM(IFERROR(CD9,))</f>
        <v>0</v>
      </c>
      <c r="CD12" s="357"/>
      <c r="CE12" s="367">
        <f t="array" ref="CE12">SUM(IFERROR(CF9,))</f>
        <v>0</v>
      </c>
      <c r="CF12" s="357"/>
      <c r="CG12" s="367">
        <f t="array" ref="CG12">SUM(IFERROR(CH9,))</f>
        <v>0</v>
      </c>
      <c r="CH12" s="357"/>
      <c r="CI12" s="367">
        <f t="array" ref="CI12">SUM(IFERROR(CJ9,))</f>
        <v>0</v>
      </c>
      <c r="CJ12" s="357"/>
      <c r="CK12" s="367">
        <f t="array" ref="CK12">SUM(IFERROR(CL9,))</f>
        <v>0</v>
      </c>
      <c r="CL12" s="357"/>
      <c r="CM12" s="367">
        <f t="array" ref="CM12">SUM(IFERROR(CN9,))</f>
        <v>0</v>
      </c>
      <c r="CN12" s="357"/>
      <c r="CO12" s="367">
        <f t="array" ref="CO12">SUM(IFERROR(CP9,))</f>
        <v>0</v>
      </c>
      <c r="CP12" s="357"/>
      <c r="CQ12" s="367">
        <f t="array" ref="CQ12">SUM(IFERROR(CR9,))</f>
        <v>0</v>
      </c>
      <c r="CR12" s="357"/>
      <c r="CS12" s="367">
        <f t="array" ref="CS12">SUM(IFERROR(CT9,))</f>
        <v>0</v>
      </c>
      <c r="CT12" s="357"/>
      <c r="CU12" s="367">
        <f t="array" ref="CU12">SUM(IFERROR(CV9,))</f>
        <v>0</v>
      </c>
      <c r="CV12" s="357"/>
      <c r="CW12" s="367">
        <f t="array" ref="CW12">SUM(IFERROR(CX9,))</f>
        <v>0</v>
      </c>
      <c r="CX12" s="357"/>
      <c r="CY12" s="367">
        <f t="array" ref="CY12">SUM(IFERROR(CZ9,))</f>
        <v>0</v>
      </c>
      <c r="CZ12" s="357"/>
      <c r="DA12" s="367">
        <f t="array" ref="DA12">SUM(IFERROR(DB9,))</f>
        <v>0</v>
      </c>
      <c r="DB12" s="357"/>
      <c r="DC12" s="367">
        <f t="array" ref="DC12">SUM(IFERROR(DD9,))</f>
        <v>0</v>
      </c>
      <c r="DD12" s="357"/>
      <c r="DE12" s="367">
        <f t="array" ref="DE12">SUM(IFERROR(DF9,))</f>
        <v>0</v>
      </c>
      <c r="DF12" s="357"/>
      <c r="DG12" s="367">
        <f t="array" ref="DG12">SUM(IFERROR(DH9,))</f>
        <v>0</v>
      </c>
      <c r="DH12" s="357"/>
      <c r="DI12" s="367">
        <f t="array" ref="DI12">SUM(IFERROR(DJ9,))</f>
        <v>0</v>
      </c>
      <c r="DJ12" s="357"/>
      <c r="DK12" s="367">
        <f t="array" ref="DK12">SUM(IFERROR(DL9,))</f>
        <v>0</v>
      </c>
      <c r="DL12" s="357"/>
      <c r="DM12" s="367">
        <f t="array" ref="DM12">SUM(IFERROR(DN9,))</f>
        <v>0</v>
      </c>
      <c r="DN12" s="357"/>
      <c r="DO12" s="367">
        <f t="array" ref="DO12">SUM(IFERROR(DP9,))</f>
        <v>0</v>
      </c>
      <c r="DP12" s="357"/>
      <c r="DQ12" s="367">
        <f t="array" ref="DQ12">SUM(IFERROR(DR9,))</f>
        <v>0</v>
      </c>
      <c r="DR12" s="357"/>
      <c r="DS12" s="367">
        <f t="array" ref="DS12">SUM(IFERROR(DT9,))</f>
        <v>0</v>
      </c>
      <c r="DT12" s="357"/>
      <c r="DU12" s="367">
        <f t="array" ref="DU12">SUM(IFERROR(DV9,))</f>
        <v>0</v>
      </c>
      <c r="DV12" s="357"/>
      <c r="DW12" s="367">
        <f t="array" ref="DW12">SUM(IFERROR(DX9,))</f>
        <v>0</v>
      </c>
      <c r="DX12" s="357"/>
      <c r="DY12" s="367">
        <f t="array" ref="DY12">SUM(IFERROR(DZ9,))</f>
        <v>0</v>
      </c>
      <c r="DZ12" s="357"/>
      <c r="EA12" s="367">
        <f t="array" ref="EA12">SUM(IFERROR(EB9,))</f>
        <v>0</v>
      </c>
      <c r="EB12" s="357"/>
      <c r="EC12" s="367">
        <f t="array" ref="EC12">SUM(IFERROR(ED9,))</f>
        <v>0</v>
      </c>
      <c r="ED12" s="357"/>
      <c r="EE12" s="367">
        <f t="array" ref="EE12">SUM(IFERROR(EF9,))</f>
        <v>0</v>
      </c>
      <c r="EF12" s="357"/>
      <c r="EG12" s="367">
        <f t="array" ref="EG12">SUM(IFERROR(EH9,))</f>
        <v>3.7499999999999999E-3</v>
      </c>
      <c r="EH12" s="357"/>
      <c r="EI12" s="367">
        <f t="array" ref="EI12">SUM(IFERROR(EJ9,))</f>
        <v>0</v>
      </c>
      <c r="EJ12" s="357"/>
      <c r="EK12" s="367">
        <f t="array" ref="EK12">SUM(IFERROR(EL9,))</f>
        <v>0</v>
      </c>
      <c r="EL12" s="357"/>
      <c r="EM12" s="367">
        <f t="array" ref="EM12">SUM(IFERROR(EN9,))</f>
        <v>0</v>
      </c>
      <c r="EN12" s="357"/>
      <c r="EO12" s="367">
        <f t="array" ref="EO12">SUM(IFERROR(EP9,))</f>
        <v>0</v>
      </c>
      <c r="EP12" s="357"/>
      <c r="EQ12" s="367">
        <f t="array" ref="EQ12">SUM(IFERROR(ER9,))</f>
        <v>0</v>
      </c>
      <c r="ER12" s="357"/>
      <c r="ES12" s="367">
        <f t="array" ref="ES12">SUM(IFERROR(ET9,))</f>
        <v>0</v>
      </c>
      <c r="ET12" s="357"/>
      <c r="EU12" s="367">
        <f t="array" ref="EU12">SUM(IFERROR(EV9,))</f>
        <v>0</v>
      </c>
      <c r="EV12" s="357"/>
      <c r="EW12" s="367">
        <f t="array" ref="EW12">SUM(IFERROR(EX9,))</f>
        <v>0</v>
      </c>
      <c r="EX12" s="357"/>
      <c r="EY12" s="367">
        <f t="array" ref="EY12">SUM(IFERROR(EZ9,))</f>
        <v>0</v>
      </c>
      <c r="EZ12" s="357"/>
      <c r="FA12" s="367">
        <f t="array" ref="FA12">SUM(IFERROR(FB9,))</f>
        <v>0</v>
      </c>
      <c r="FB12" s="357"/>
      <c r="FC12" s="367">
        <f t="array" ref="FC12">SUM(IFERROR(FD9,))</f>
        <v>0</v>
      </c>
      <c r="FD12" s="357"/>
      <c r="FE12" s="367">
        <f t="array" ref="FE12">SUM(IFERROR(FF9,))</f>
        <v>0</v>
      </c>
      <c r="FF12" s="357"/>
      <c r="FG12" s="367">
        <f t="array" ref="FG12">SUM(IFERROR(FH9,))</f>
        <v>0</v>
      </c>
      <c r="FH12" s="357"/>
      <c r="FI12" s="367">
        <f t="array" ref="FI12">SUM(IFERROR(FJ9,))</f>
        <v>0</v>
      </c>
      <c r="FJ12" s="357"/>
      <c r="FK12" s="367">
        <f t="array" ref="FK12">SUM(IFERROR(FL9,))</f>
        <v>0</v>
      </c>
      <c r="FL12" s="357"/>
      <c r="FM12" s="367">
        <f t="array" ref="FM12">SUM(IFERROR(FN9,))</f>
        <v>0</v>
      </c>
      <c r="FN12" s="357"/>
      <c r="FO12" s="367">
        <f t="array" ref="FO12">SUM(IFERROR(FP9,))</f>
        <v>0</v>
      </c>
      <c r="FP12" s="357"/>
      <c r="FQ12" s="367">
        <f t="array" ref="FQ12">SUM(IFERROR(FR9,))</f>
        <v>7.4999999999999997E-3</v>
      </c>
      <c r="FR12" s="357"/>
      <c r="FS12" s="367">
        <f t="array" ref="FS12">SUM(IFERROR(FT9,))</f>
        <v>0</v>
      </c>
      <c r="FT12" s="357"/>
      <c r="FU12" s="367">
        <f t="array" ref="FU12">SUM(IFERROR(FV9,))</f>
        <v>0</v>
      </c>
      <c r="FV12" s="357"/>
      <c r="FW12" s="367">
        <f t="array" ref="FW12">SUM(IFERROR(FX9,))</f>
        <v>0</v>
      </c>
      <c r="FX12" s="357"/>
      <c r="FY12" s="367">
        <f t="array" ref="FY12">SUM(IFERROR(FZ9,))</f>
        <v>0</v>
      </c>
      <c r="FZ12" s="357"/>
      <c r="GA12" s="367">
        <f t="array" ref="GA12">SUM(IFERROR(GB9,))</f>
        <v>0</v>
      </c>
      <c r="GB12" s="357"/>
      <c r="GC12" s="367">
        <f t="array" ref="GC12">SUM(IFERROR(GD9,))</f>
        <v>0</v>
      </c>
      <c r="GD12" s="357"/>
      <c r="GE12" s="367">
        <f t="array" ref="GE12">SUM(IFERROR(GF9,))</f>
        <v>0</v>
      </c>
      <c r="GF12" s="357"/>
      <c r="GG12" s="367">
        <f t="array" ref="GG12">SUM(IFERROR(GH9,))</f>
        <v>0</v>
      </c>
      <c r="GH12" s="357"/>
      <c r="GI12" s="367">
        <f t="array" ref="GI12">SUM(IFERROR(GJ9,))</f>
        <v>0</v>
      </c>
      <c r="GJ12" s="357"/>
      <c r="GK12" s="367">
        <f t="array" ref="GK12">SUM(IFERROR(GL9,))</f>
        <v>0</v>
      </c>
      <c r="GL12" s="357"/>
      <c r="GM12" s="367">
        <f t="array" ref="GM12">SUM(IFERROR(GN9,))</f>
        <v>0</v>
      </c>
      <c r="GN12" s="357"/>
      <c r="GO12" s="367">
        <f t="array" ref="GO12">SUM(IFERROR(GP9,))</f>
        <v>0</v>
      </c>
      <c r="GP12" s="357"/>
      <c r="GQ12" s="367">
        <f t="array" ref="GQ12">SUM(IFERROR(GR9,))</f>
        <v>0</v>
      </c>
      <c r="GR12" s="357"/>
      <c r="GS12" s="367">
        <f t="array" ref="GS12">SUM(IFERROR(GT9,))</f>
        <v>0</v>
      </c>
      <c r="GT12" s="357"/>
      <c r="GU12" s="367">
        <f t="array" ref="GU12">SUM(IFERROR(GV9,))</f>
        <v>0</v>
      </c>
      <c r="GV12" s="357"/>
      <c r="GW12" s="367">
        <f t="array" ref="GW12">SUM(IFERROR(GX9,))</f>
        <v>0</v>
      </c>
      <c r="GX12" s="357"/>
      <c r="GY12" s="367">
        <f t="array" ref="GY12">SUM(IFERROR(GZ9,))</f>
        <v>0</v>
      </c>
      <c r="GZ12" s="357"/>
      <c r="HA12" s="367">
        <f t="array" ref="HA12">SUM(IFERROR(HB9,))</f>
        <v>0</v>
      </c>
      <c r="HB12" s="357"/>
      <c r="HC12" s="367">
        <f t="array" ref="HC12">SUM(IFERROR(HD9,))</f>
        <v>0</v>
      </c>
      <c r="HD12" s="357"/>
      <c r="HE12" s="367">
        <f t="array" ref="HE12">SUM(IFERROR(HF9,))</f>
        <v>0</v>
      </c>
      <c r="HF12" s="357"/>
      <c r="HG12" s="367">
        <f t="array" ref="HG12">SUM(IFERROR(HH9,))</f>
        <v>0</v>
      </c>
      <c r="HH12" s="357"/>
      <c r="HI12" s="367">
        <f t="array" ref="HI12">SUM(IFERROR(HJ9,))</f>
        <v>0</v>
      </c>
      <c r="HJ12" s="357"/>
      <c r="HK12" s="367">
        <f t="array" ref="HK12">SUM(IFERROR(HL9,))</f>
        <v>0</v>
      </c>
      <c r="HL12" s="357"/>
      <c r="HM12" s="367">
        <f t="array" ref="HM12">SUM(IFERROR(HN9,))</f>
        <v>0</v>
      </c>
      <c r="HN12" s="357"/>
      <c r="HO12" s="367">
        <f t="array" ref="HO12">SUM(IFERROR(HP9,))</f>
        <v>0</v>
      </c>
      <c r="HP12" s="357"/>
      <c r="HQ12" s="367">
        <f t="array" ref="HQ12">SUM(IFERROR(HR9,))</f>
        <v>0</v>
      </c>
      <c r="HR12" s="357"/>
      <c r="HS12" s="367">
        <f t="array" ref="HS12">SUM(IFERROR(HT9,))</f>
        <v>0</v>
      </c>
      <c r="HT12" s="357"/>
      <c r="HU12" s="367">
        <f t="array" ref="HU12">SUM(IFERROR(HV9,))</f>
        <v>0</v>
      </c>
      <c r="HV12" s="357"/>
      <c r="HW12" s="367">
        <f t="array" ref="HW12">SUM(IFERROR(HX9,))</f>
        <v>0</v>
      </c>
      <c r="HX12" s="357"/>
      <c r="HY12" s="367">
        <f t="array" ref="HY12">SUM(IFERROR(HZ9,))</f>
        <v>0</v>
      </c>
      <c r="HZ12" s="357"/>
      <c r="IA12" s="367">
        <f t="array" ref="IA12">SUM(IFERROR(IB9,))</f>
        <v>0</v>
      </c>
      <c r="IB12" s="357"/>
      <c r="IC12" s="367">
        <f t="array" ref="IC12">SUM(IFERROR(ID9,))</f>
        <v>0</v>
      </c>
      <c r="ID12" s="357"/>
      <c r="IE12" s="367">
        <f t="array" ref="IE12">SUM(IFERROR(IF9,))</f>
        <v>0</v>
      </c>
      <c r="IF12" s="357"/>
      <c r="IG12" s="367">
        <f t="array" ref="IG12">SUM(IFERROR(IH9,))</f>
        <v>0</v>
      </c>
      <c r="IH12" s="357"/>
      <c r="II12" s="367">
        <f t="array" ref="II12">SUM(IFERROR(IJ9,))</f>
        <v>0</v>
      </c>
      <c r="IJ12" s="357"/>
      <c r="IK12" s="367">
        <f t="array" ref="IK12">SUM(IFERROR(IL9,))</f>
        <v>0</v>
      </c>
      <c r="IL12" s="357"/>
      <c r="IM12" s="367">
        <f t="array" ref="IM12">SUM(IFERROR(IN9,))</f>
        <v>0</v>
      </c>
      <c r="IN12" s="357"/>
      <c r="IO12" s="367">
        <f t="array" ref="IO12">SUM(IFERROR(IP9,))</f>
        <v>0</v>
      </c>
      <c r="IP12" s="357"/>
      <c r="IQ12" s="367">
        <f t="array" ref="IQ12">SUM(IFERROR(IR9,))</f>
        <v>0</v>
      </c>
      <c r="IR12" s="357"/>
      <c r="IS12" s="367">
        <f t="array" ref="IS12">SUM(IFERROR(IT9,))</f>
        <v>0</v>
      </c>
      <c r="IT12" s="357"/>
      <c r="IU12" s="367">
        <f t="array" ref="IU12">SUM(IFERROR(IV9,))</f>
        <v>0</v>
      </c>
      <c r="IV12" s="357"/>
      <c r="IW12" s="367">
        <f t="array" ref="IW12">SUM(IFERROR(IX9,))</f>
        <v>0</v>
      </c>
      <c r="IX12" s="357"/>
      <c r="IY12" s="367">
        <f t="array" ref="IY12">SUM(IFERROR(IZ9,))</f>
        <v>0</v>
      </c>
      <c r="IZ12" s="357"/>
      <c r="JA12" s="367">
        <f t="array" ref="JA12">SUM(IFERROR(JB9,))</f>
        <v>0</v>
      </c>
      <c r="JB12" s="357"/>
      <c r="JC12" s="367">
        <f t="array" ref="JC12">SUM(IFERROR(JD9,))</f>
        <v>0</v>
      </c>
      <c r="JD12" s="357"/>
      <c r="JE12" s="367">
        <f t="array" ref="JE12">SUM(IFERROR(JF9,))</f>
        <v>0</v>
      </c>
      <c r="JF12" s="357"/>
      <c r="JG12" s="367">
        <f t="array" ref="JG12">SUM(IFERROR(JH9,))</f>
        <v>0</v>
      </c>
      <c r="JH12" s="357"/>
      <c r="JI12" s="367">
        <f t="array" ref="JI12">SUM(IFERROR(JJ9,))</f>
        <v>0</v>
      </c>
      <c r="JJ12" s="357"/>
      <c r="JK12" s="367">
        <f t="array" ref="JK12">SUM(IFERROR(JL9,))</f>
        <v>0</v>
      </c>
      <c r="JL12" s="357"/>
      <c r="JM12" s="367">
        <f t="array" ref="JM12">SUM(IFERROR(JN9,))</f>
        <v>0</v>
      </c>
      <c r="JN12" s="357"/>
      <c r="JO12" s="367">
        <f t="array" ref="JO12">SUM(IFERROR(JP9,))</f>
        <v>0</v>
      </c>
      <c r="JP12" s="357"/>
      <c r="JQ12" s="367">
        <f t="array" ref="JQ12">SUM(IFERROR(JR9,))</f>
        <v>0</v>
      </c>
      <c r="JR12" s="357"/>
      <c r="JS12" s="367">
        <f t="array" ref="JS12">SUM(IFERROR(JT9,))</f>
        <v>0</v>
      </c>
      <c r="JT12" s="357"/>
      <c r="JU12" s="367">
        <f t="array" ref="JU12">SUM(IFERROR(JV9,))</f>
        <v>0</v>
      </c>
      <c r="JV12" s="357"/>
      <c r="JW12" s="367">
        <f t="array" ref="JW12">SUM(IFERROR(JX9,))</f>
        <v>0</v>
      </c>
      <c r="JX12" s="357"/>
      <c r="JY12" s="367">
        <f t="array" ref="JY12">SUM(IFERROR(JZ9,))</f>
        <v>0</v>
      </c>
      <c r="JZ12" s="357"/>
      <c r="KA12" s="367">
        <f t="array" ref="KA12">SUM(IFERROR(KB9,))</f>
        <v>0</v>
      </c>
      <c r="KB12" s="357"/>
      <c r="KC12" s="367">
        <f t="array" ref="KC12">SUM(IFERROR(KD9,))</f>
        <v>0</v>
      </c>
      <c r="KD12" s="357"/>
      <c r="KE12" s="367">
        <f t="array" ref="KE12">SUM(IFERROR(KF9,))</f>
        <v>0</v>
      </c>
      <c r="KF12" s="357"/>
      <c r="KG12" s="367">
        <f t="array" ref="KG12">SUM(IFERROR(KH9,))</f>
        <v>0</v>
      </c>
      <c r="KH12" s="357"/>
      <c r="KI12" s="367">
        <f t="array" ref="KI12">SUM(IFERROR(KJ9,))</f>
        <v>2.5000000000000001E-5</v>
      </c>
      <c r="KJ12" s="357"/>
      <c r="KK12" s="367">
        <f t="array" ref="KK12">SUM(IFERROR(KL9,))</f>
        <v>0</v>
      </c>
      <c r="KL12" s="357"/>
      <c r="KM12" s="367">
        <f t="array" ref="KM12">SUM(IFERROR(KN9,))</f>
        <v>0</v>
      </c>
      <c r="KN12" s="357"/>
      <c r="KO12" s="367">
        <f t="array" ref="KO12">SUM(IFERROR(KP9,))</f>
        <v>0</v>
      </c>
      <c r="KP12" s="357"/>
      <c r="KQ12" s="367">
        <f t="array" ref="KQ12">SUM(IFERROR(KR9,))</f>
        <v>0</v>
      </c>
      <c r="KR12" s="357"/>
      <c r="KS12" s="367">
        <f t="array" ref="KS12">SUM(IFERROR(KT9,))</f>
        <v>0</v>
      </c>
      <c r="KT12" s="357"/>
      <c r="KU12" s="367">
        <f t="array" ref="KU12">SUM(IFERROR(KV9,))</f>
        <v>0</v>
      </c>
      <c r="KV12" s="357"/>
      <c r="KW12" s="367">
        <f t="array" ref="KW12">SUM(IFERROR(KX9,))</f>
        <v>0</v>
      </c>
      <c r="KX12" s="357"/>
      <c r="KY12" s="367">
        <f t="array" ref="KY12">SUM(IFERROR(KZ9,))</f>
        <v>0</v>
      </c>
      <c r="KZ12" s="357"/>
      <c r="LA12" s="367">
        <f t="array" ref="LA12">SUM(IFERROR(LB9,))</f>
        <v>0</v>
      </c>
      <c r="LB12" s="357"/>
      <c r="LC12" s="367">
        <f t="array" ref="LC12">SUM(IFERROR(LD9,))</f>
        <v>0</v>
      </c>
      <c r="LD12" s="357"/>
      <c r="LE12" s="367">
        <f t="array" ref="LE12">SUM(IFERROR(LF9,))</f>
        <v>0</v>
      </c>
      <c r="LF12" s="357"/>
      <c r="LG12" s="367">
        <f t="array" ref="LG12">SUM(IFERROR(LH9,))</f>
        <v>0</v>
      </c>
      <c r="LH12" s="357"/>
      <c r="LI12" s="367">
        <f t="array" ref="LI12">SUM(IFERROR(LJ9,))</f>
        <v>0</v>
      </c>
      <c r="LJ12" s="357"/>
      <c r="LK12" s="367">
        <f t="array" ref="LK12">SUM(IFERROR(LL9,))</f>
        <v>7.4999999999999993E-5</v>
      </c>
      <c r="LL12" s="357"/>
      <c r="LM12" s="367">
        <f t="array" ref="LM12">SUM(IFERROR(LN9,))</f>
        <v>0</v>
      </c>
      <c r="LN12" s="357"/>
      <c r="LO12" s="367">
        <f t="array" ref="LO12">SUM(IFERROR(LP9,))</f>
        <v>0</v>
      </c>
      <c r="LP12" s="357"/>
      <c r="LQ12" s="367">
        <f t="array" ref="LQ12">SUM(IFERROR(LR9,))</f>
        <v>0</v>
      </c>
      <c r="LR12" s="357"/>
      <c r="LS12" s="367">
        <f t="array" ref="LS12">SUM(IFERROR(LT9,))</f>
        <v>6.2500000000000003E-3</v>
      </c>
      <c r="LT12" s="357"/>
      <c r="LU12" s="367">
        <f t="array" ref="LU12">SUM(IFERROR(LV9,))</f>
        <v>0</v>
      </c>
      <c r="LV12" s="357"/>
      <c r="LW12" s="367">
        <f t="array" ref="LW12">SUM(IFERROR(LX9,))</f>
        <v>0</v>
      </c>
      <c r="LX12" s="357"/>
      <c r="LY12" s="367">
        <f t="array" ref="LY12">SUM(IFERROR(LZ9,))</f>
        <v>0</v>
      </c>
      <c r="LZ12" s="357"/>
      <c r="MA12" s="367">
        <f t="array" ref="MA12">SUM(IFERROR(MB9,))</f>
        <v>0</v>
      </c>
      <c r="MB12" s="357"/>
      <c r="MC12" s="367">
        <f t="array" ref="MC12">SUM(IFERROR(MD9,))</f>
        <v>0</v>
      </c>
      <c r="MD12" s="357"/>
      <c r="ME12" s="367">
        <f t="array" ref="ME12">SUM(IFERROR(MF9,))</f>
        <v>0</v>
      </c>
      <c r="MF12" s="357"/>
      <c r="MG12" s="367">
        <f t="array" ref="MG12">SUM(IFERROR(MH9,))</f>
        <v>0</v>
      </c>
      <c r="MH12" s="357"/>
      <c r="MI12" s="367">
        <f t="array" ref="MI12">SUM(IFERROR(MJ9,))</f>
        <v>0</v>
      </c>
      <c r="MJ12" s="357"/>
    </row>
    <row r="13" spans="1:348" ht="82.5" customHeight="1" x14ac:dyDescent="0.2">
      <c r="A13" s="253"/>
      <c r="B13" s="252"/>
      <c r="C13" s="374" t="s">
        <v>3917</v>
      </c>
      <c r="D13" s="356"/>
      <c r="E13" s="357"/>
      <c r="F13" s="254"/>
      <c r="G13" s="366" t="str">
        <f>IF(G12&gt;0.01,"OUI","/")</f>
        <v>/</v>
      </c>
      <c r="H13" s="357"/>
      <c r="I13" s="366" t="str">
        <f>IF(I12&gt;0.01,"OUI","/")</f>
        <v>/</v>
      </c>
      <c r="J13" s="357"/>
      <c r="K13" s="366" t="str">
        <f>IF(K12&gt;0.01,"OUI","/")</f>
        <v>/</v>
      </c>
      <c r="L13" s="357"/>
      <c r="M13" s="366" t="str">
        <f>IF(M12&gt;0.01,"OUI","/")</f>
        <v>/</v>
      </c>
      <c r="N13" s="357"/>
      <c r="O13" s="366" t="str">
        <f>IF(O12&gt;0.01,"OUI","/")</f>
        <v>/</v>
      </c>
      <c r="P13" s="357"/>
      <c r="Q13" s="366" t="str">
        <f>IF(Q12&gt;0.01,"OUI","/")</f>
        <v>/</v>
      </c>
      <c r="R13" s="357"/>
      <c r="S13" s="366" t="str">
        <f>IF(S12&gt;0.01,"OUI","/")</f>
        <v>/</v>
      </c>
      <c r="T13" s="357"/>
      <c r="U13" s="366" t="str">
        <f>IF(U12&gt;0.01,"OUI","/")</f>
        <v>/</v>
      </c>
      <c r="V13" s="357"/>
      <c r="W13" s="366" t="str">
        <f>IF(W12&gt;0.01,"OUI","/")</f>
        <v>/</v>
      </c>
      <c r="X13" s="357"/>
      <c r="Y13" s="366" t="str">
        <f>IF(Y12&gt;0.01,"OUI","/")</f>
        <v>/</v>
      </c>
      <c r="Z13" s="357"/>
      <c r="AA13" s="366" t="str">
        <f>IF(AA12&gt;0.01,"OUI","/")</f>
        <v>/</v>
      </c>
      <c r="AB13" s="357"/>
      <c r="AC13" s="366" t="str">
        <f>IF(AC12&gt;0.01,"OUI","/")</f>
        <v>/</v>
      </c>
      <c r="AD13" s="357"/>
      <c r="AE13" s="366" t="str">
        <f>IF(AE12&gt;0.01,"OUI","/")</f>
        <v>/</v>
      </c>
      <c r="AF13" s="357"/>
      <c r="AG13" s="366" t="str">
        <f>IF(AG12&gt;0.01,"OUI","/")</f>
        <v>/</v>
      </c>
      <c r="AH13" s="357"/>
      <c r="AI13" s="366" t="str">
        <f>IF(AI12&gt;0.01,"OUI","/")</f>
        <v>/</v>
      </c>
      <c r="AJ13" s="357"/>
      <c r="AK13" s="366" t="str">
        <f>IF(AK12&gt;0.01,"OUI","/")</f>
        <v>/</v>
      </c>
      <c r="AL13" s="357"/>
      <c r="AM13" s="366" t="str">
        <f>IF(AM12&gt;0.01,"OUI","/")</f>
        <v>/</v>
      </c>
      <c r="AN13" s="357"/>
      <c r="AO13" s="366" t="str">
        <f>IF(AO12&gt;0.01,"OUI","/")</f>
        <v>/</v>
      </c>
      <c r="AP13" s="357"/>
      <c r="AQ13" s="366" t="str">
        <f>IF(AQ12&gt;0.01,"OUI","/")</f>
        <v>/</v>
      </c>
      <c r="AR13" s="357"/>
      <c r="AS13" s="366" t="str">
        <f>IF(AS12&gt;0.01,"OUI","/")</f>
        <v>/</v>
      </c>
      <c r="AT13" s="357"/>
      <c r="AU13" s="366" t="str">
        <f>IF(AU12&gt;0.01,"OUI","/")</f>
        <v>/</v>
      </c>
      <c r="AV13" s="357"/>
      <c r="AW13" s="366" t="str">
        <f>IF(AW12&gt;0.01,"OUI","/")</f>
        <v>/</v>
      </c>
      <c r="AX13" s="357"/>
      <c r="AY13" s="366" t="str">
        <f>IF(AY12&gt;0.01,"OUI","/")</f>
        <v>/</v>
      </c>
      <c r="AZ13" s="357"/>
      <c r="BA13" s="366" t="str">
        <f>IF(BA12&gt;0.01,"OUI","/")</f>
        <v>/</v>
      </c>
      <c r="BB13" s="357"/>
      <c r="BC13" s="366" t="str">
        <f>IF(BC12&gt;0.01,"OUI","/")</f>
        <v>/</v>
      </c>
      <c r="BD13" s="357"/>
      <c r="BE13" s="366" t="str">
        <f>IF(BE12&gt;0.01,"OUI","/")</f>
        <v>/</v>
      </c>
      <c r="BF13" s="357"/>
      <c r="BG13" s="366" t="str">
        <f>IF(BG12&gt;0.01,"OUI","/")</f>
        <v>/</v>
      </c>
      <c r="BH13" s="357"/>
      <c r="BI13" s="366" t="str">
        <f>IF(BI12&gt;0.01,"OUI","/")</f>
        <v>/</v>
      </c>
      <c r="BJ13" s="357"/>
      <c r="BK13" s="366" t="str">
        <f>IF(BK12&gt;0.01,"OUI","/")</f>
        <v>/</v>
      </c>
      <c r="BL13" s="357"/>
      <c r="BM13" s="366" t="str">
        <f>IF(BM12&gt;0.01,"OUI","/")</f>
        <v>/</v>
      </c>
      <c r="BN13" s="357"/>
      <c r="BO13" s="366" t="str">
        <f>IF(BO12&gt;0.01,"OUI","/")</f>
        <v>/</v>
      </c>
      <c r="BP13" s="357"/>
      <c r="BQ13" s="366" t="str">
        <f>IF(BQ12&gt;0.01,"OUI","/")</f>
        <v>/</v>
      </c>
      <c r="BR13" s="357"/>
      <c r="BS13" s="366" t="str">
        <f>IF(BS12&gt;0.01,"OUI","/")</f>
        <v>/</v>
      </c>
      <c r="BT13" s="357"/>
      <c r="BU13" s="366" t="str">
        <f>IF(BU12&gt;0.01,"OUI","/")</f>
        <v>/</v>
      </c>
      <c r="BV13" s="357"/>
      <c r="BW13" s="366" t="str">
        <f>IF(BW12&gt;0.01,"OUI","/")</f>
        <v>/</v>
      </c>
      <c r="BX13" s="357"/>
      <c r="BY13" s="366" t="str">
        <f>IF(BY12&gt;0.01,"OUI","/")</f>
        <v>/</v>
      </c>
      <c r="BZ13" s="357"/>
      <c r="CA13" s="366" t="str">
        <f>IF(CA12&gt;0.01,"OUI","/")</f>
        <v>/</v>
      </c>
      <c r="CB13" s="357"/>
      <c r="CC13" s="366" t="str">
        <f>IF(CC12&gt;0.01,"OUI","/")</f>
        <v>/</v>
      </c>
      <c r="CD13" s="357"/>
      <c r="CE13" s="366" t="str">
        <f>IF(CE12&gt;0.01,"OUI","/")</f>
        <v>/</v>
      </c>
      <c r="CF13" s="357"/>
      <c r="CG13" s="366" t="str">
        <f>IF(CG12&gt;0.01,"OUI","/")</f>
        <v>/</v>
      </c>
      <c r="CH13" s="357"/>
      <c r="CI13" s="366" t="str">
        <f>IF(CI12&gt;0.01,"OUI","/")</f>
        <v>/</v>
      </c>
      <c r="CJ13" s="357"/>
      <c r="CK13" s="366" t="str">
        <f>IF(CK12&gt;0.01,"OUI","/")</f>
        <v>/</v>
      </c>
      <c r="CL13" s="357"/>
      <c r="CM13" s="366" t="str">
        <f>IF(CM12&gt;0.01,"OUI","/")</f>
        <v>/</v>
      </c>
      <c r="CN13" s="357"/>
      <c r="CO13" s="366" t="str">
        <f>IF(CO12&gt;0.01,"OUI","/")</f>
        <v>/</v>
      </c>
      <c r="CP13" s="357"/>
      <c r="CQ13" s="366" t="str">
        <f>IF(CQ12&gt;0.01,"OUI","/")</f>
        <v>/</v>
      </c>
      <c r="CR13" s="357"/>
      <c r="CS13" s="366" t="str">
        <f>IF(CS12&gt;0.01,"OUI","/")</f>
        <v>/</v>
      </c>
      <c r="CT13" s="357"/>
      <c r="CU13" s="366" t="str">
        <f>IF(CU12&gt;0.01,"OUI","/")</f>
        <v>/</v>
      </c>
      <c r="CV13" s="357"/>
      <c r="CW13" s="366" t="str">
        <f>IF(CW12&gt;0.01,"OUI","/")</f>
        <v>/</v>
      </c>
      <c r="CX13" s="357"/>
      <c r="CY13" s="366" t="str">
        <f>IF(CY12&gt;0.01,"OUI","/")</f>
        <v>/</v>
      </c>
      <c r="CZ13" s="357"/>
      <c r="DA13" s="366" t="str">
        <f>IF(DA12&gt;0.01,"OUI","/")</f>
        <v>/</v>
      </c>
      <c r="DB13" s="357"/>
      <c r="DC13" s="366" t="str">
        <f>IF(DC12&gt;0.01,"OUI","/")</f>
        <v>/</v>
      </c>
      <c r="DD13" s="357"/>
      <c r="DE13" s="366" t="str">
        <f>IF(DE12&gt;0.01,"OUI","/")</f>
        <v>/</v>
      </c>
      <c r="DF13" s="357"/>
      <c r="DG13" s="366" t="str">
        <f>IF(DG12&gt;0.01,"OUI","/")</f>
        <v>/</v>
      </c>
      <c r="DH13" s="357"/>
      <c r="DI13" s="366" t="str">
        <f>IF(DI12&gt;0.01,"OUI","/")</f>
        <v>/</v>
      </c>
      <c r="DJ13" s="357"/>
      <c r="DK13" s="366" t="str">
        <f>IF(DK12&gt;0.01,"OUI","/")</f>
        <v>/</v>
      </c>
      <c r="DL13" s="357"/>
      <c r="DM13" s="366" t="str">
        <f>IF(DM12&gt;0.01,"OUI","/")</f>
        <v>/</v>
      </c>
      <c r="DN13" s="357"/>
      <c r="DO13" s="366" t="str">
        <f>IF(DO12&gt;0.01,"OUI","/")</f>
        <v>/</v>
      </c>
      <c r="DP13" s="357"/>
      <c r="DQ13" s="366" t="str">
        <f>IF(DQ12&gt;0.01,"OUI","/")</f>
        <v>/</v>
      </c>
      <c r="DR13" s="357"/>
      <c r="DS13" s="366" t="str">
        <f>IF(DS12&gt;0.01,"OUI","/")</f>
        <v>/</v>
      </c>
      <c r="DT13" s="357"/>
      <c r="DU13" s="366" t="str">
        <f>IF(DU12&gt;0.01,"OUI","/")</f>
        <v>/</v>
      </c>
      <c r="DV13" s="357"/>
      <c r="DW13" s="366" t="str">
        <f>IF(DW12&gt;0.01,"OUI","/")</f>
        <v>/</v>
      </c>
      <c r="DX13" s="357"/>
      <c r="DY13" s="366" t="str">
        <f>IF(DY12&gt;0.01,"OUI","/")</f>
        <v>/</v>
      </c>
      <c r="DZ13" s="357"/>
      <c r="EA13" s="366" t="str">
        <f>IF(EA12&gt;0.01,"OUI","/")</f>
        <v>/</v>
      </c>
      <c r="EB13" s="357"/>
      <c r="EC13" s="366" t="str">
        <f>IF(EC12&gt;0.01,"OUI","/")</f>
        <v>/</v>
      </c>
      <c r="ED13" s="357"/>
      <c r="EE13" s="366" t="str">
        <f>IF(EE12&gt;0.01,"OUI","/")</f>
        <v>/</v>
      </c>
      <c r="EF13" s="357"/>
      <c r="EG13" s="366" t="str">
        <f>IF(EG12&gt;0.01,"OUI","/")</f>
        <v>/</v>
      </c>
      <c r="EH13" s="357"/>
      <c r="EI13" s="366" t="str">
        <f>IF(EI12&gt;0.01,"OUI","/")</f>
        <v>/</v>
      </c>
      <c r="EJ13" s="357"/>
      <c r="EK13" s="366" t="str">
        <f>IF(EK12&gt;0.01,"OUI","/")</f>
        <v>/</v>
      </c>
      <c r="EL13" s="357"/>
      <c r="EM13" s="366" t="str">
        <f>IF(EM12&gt;0.01,"OUI","/")</f>
        <v>/</v>
      </c>
      <c r="EN13" s="357"/>
      <c r="EO13" s="366" t="str">
        <f>IF(EO12&gt;0.01,"OUI","/")</f>
        <v>/</v>
      </c>
      <c r="EP13" s="357"/>
      <c r="EQ13" s="366" t="str">
        <f>IF(EQ12&gt;0.01,"OUI","/")</f>
        <v>/</v>
      </c>
      <c r="ER13" s="357"/>
      <c r="ES13" s="366" t="str">
        <f>IF(ES12&gt;0.01,"OUI","/")</f>
        <v>/</v>
      </c>
      <c r="ET13" s="357"/>
      <c r="EU13" s="366" t="str">
        <f>IF(EU12&gt;0.01,"OUI","/")</f>
        <v>/</v>
      </c>
      <c r="EV13" s="357"/>
      <c r="EW13" s="366" t="str">
        <f>IF(EW12&gt;0.01,"OUI","/")</f>
        <v>/</v>
      </c>
      <c r="EX13" s="357"/>
      <c r="EY13" s="366" t="str">
        <f>IF(EY12&gt;0.01,"OUI","/")</f>
        <v>/</v>
      </c>
      <c r="EZ13" s="357"/>
      <c r="FA13" s="366" t="str">
        <f>IF(FA12&gt;0.01,"OUI","/")</f>
        <v>/</v>
      </c>
      <c r="FB13" s="357"/>
      <c r="FC13" s="366" t="str">
        <f>IF(FC12&gt;0.01,"OUI","/")</f>
        <v>/</v>
      </c>
      <c r="FD13" s="357"/>
      <c r="FE13" s="366" t="str">
        <f>IF(FE12&gt;0.01,"OUI","/")</f>
        <v>/</v>
      </c>
      <c r="FF13" s="357"/>
      <c r="FG13" s="366" t="str">
        <f>IF(FG12&gt;0.01,"OUI","/")</f>
        <v>/</v>
      </c>
      <c r="FH13" s="357"/>
      <c r="FI13" s="366" t="str">
        <f>IF(FI12&gt;0.01,"OUI","/")</f>
        <v>/</v>
      </c>
      <c r="FJ13" s="357"/>
      <c r="FK13" s="366" t="str">
        <f>IF(FK12&gt;0.01,"OUI","/")</f>
        <v>/</v>
      </c>
      <c r="FL13" s="357"/>
      <c r="FM13" s="366" t="str">
        <f>IF(FM12&gt;0.01,"OUI","/")</f>
        <v>/</v>
      </c>
      <c r="FN13" s="357"/>
      <c r="FO13" s="366" t="str">
        <f>IF(FO12&gt;0.01,"OUI","/")</f>
        <v>/</v>
      </c>
      <c r="FP13" s="357"/>
      <c r="FQ13" s="366" t="str">
        <f>IF(FQ12&gt;0.01,"OUI","/")</f>
        <v>/</v>
      </c>
      <c r="FR13" s="357"/>
      <c r="FS13" s="366" t="str">
        <f>IF(FS12&gt;0.01,"OUI","/")</f>
        <v>/</v>
      </c>
      <c r="FT13" s="357"/>
      <c r="FU13" s="366" t="str">
        <f>IF(FU12&gt;0.01,"OUI","/")</f>
        <v>/</v>
      </c>
      <c r="FV13" s="357"/>
      <c r="FW13" s="366" t="str">
        <f>IF(FW12&gt;0.01,"OUI","/")</f>
        <v>/</v>
      </c>
      <c r="FX13" s="357"/>
      <c r="FY13" s="366" t="str">
        <f>IF(FY12&gt;0.01,"OUI","/")</f>
        <v>/</v>
      </c>
      <c r="FZ13" s="357"/>
      <c r="GA13" s="366" t="str">
        <f>IF(GA12&gt;0.01,"OUI","/")</f>
        <v>/</v>
      </c>
      <c r="GB13" s="357"/>
      <c r="GC13" s="366" t="str">
        <f>IF(GC12&gt;0.01,"OUI","/")</f>
        <v>/</v>
      </c>
      <c r="GD13" s="357"/>
      <c r="GE13" s="366" t="str">
        <f>IF(GE12&gt;0.01,"OUI","/")</f>
        <v>/</v>
      </c>
      <c r="GF13" s="357"/>
      <c r="GG13" s="366" t="str">
        <f>IF(GG12&gt;0.01,"OUI","/")</f>
        <v>/</v>
      </c>
      <c r="GH13" s="357"/>
      <c r="GI13" s="366" t="str">
        <f>IF(GI12&gt;0.01,"OUI","/")</f>
        <v>/</v>
      </c>
      <c r="GJ13" s="357"/>
      <c r="GK13" s="366" t="str">
        <f>IF(GK12&gt;0.01,"OUI","/")</f>
        <v>/</v>
      </c>
      <c r="GL13" s="357"/>
      <c r="GM13" s="366" t="str">
        <f>IF(GM12&gt;0.01,"OUI","/")</f>
        <v>/</v>
      </c>
      <c r="GN13" s="357"/>
      <c r="GO13" s="366" t="str">
        <f>IF(GO12&gt;0.01,"OUI","/")</f>
        <v>/</v>
      </c>
      <c r="GP13" s="357"/>
      <c r="GQ13" s="366" t="str">
        <f>IF(GQ12&gt;0.01,"OUI","/")</f>
        <v>/</v>
      </c>
      <c r="GR13" s="357"/>
      <c r="GS13" s="366" t="str">
        <f>IF(GS12&gt;0.01,"OUI","/")</f>
        <v>/</v>
      </c>
      <c r="GT13" s="357"/>
      <c r="GU13" s="366" t="str">
        <f>IF(GU12&gt;0.01,"OUI","/")</f>
        <v>/</v>
      </c>
      <c r="GV13" s="357"/>
      <c r="GW13" s="366" t="str">
        <f>IF(GW12&gt;0.01,"OUI","/")</f>
        <v>/</v>
      </c>
      <c r="GX13" s="357"/>
      <c r="GY13" s="366" t="str">
        <f>IF(GY12&gt;0.01,"OUI","/")</f>
        <v>/</v>
      </c>
      <c r="GZ13" s="357"/>
      <c r="HA13" s="366" t="str">
        <f>IF(HA12&gt;0.01,"OUI","/")</f>
        <v>/</v>
      </c>
      <c r="HB13" s="357"/>
      <c r="HC13" s="366" t="str">
        <f>IF(HC12&gt;0.01,"OUI","/")</f>
        <v>/</v>
      </c>
      <c r="HD13" s="357"/>
      <c r="HE13" s="366" t="str">
        <f>IF(HE12&gt;0.01,"OUI","/")</f>
        <v>/</v>
      </c>
      <c r="HF13" s="357"/>
      <c r="HG13" s="366" t="str">
        <f>IF(HG12&gt;0.01,"OUI","/")</f>
        <v>/</v>
      </c>
      <c r="HH13" s="357"/>
      <c r="HI13" s="366" t="str">
        <f>IF(HI12&gt;0.01,"OUI","/")</f>
        <v>/</v>
      </c>
      <c r="HJ13" s="357"/>
      <c r="HK13" s="366" t="str">
        <f>IF(HK12&gt;0.01,"OUI","/")</f>
        <v>/</v>
      </c>
      <c r="HL13" s="357"/>
      <c r="HM13" s="366" t="str">
        <f>IF(HM12&gt;0.01,"OUI","/")</f>
        <v>/</v>
      </c>
      <c r="HN13" s="357"/>
      <c r="HO13" s="366" t="str">
        <f>IF(HO12&gt;0.01,"OUI","/")</f>
        <v>/</v>
      </c>
      <c r="HP13" s="357"/>
      <c r="HQ13" s="366" t="str">
        <f>IF(HQ12&gt;0.01,"OUI","/")</f>
        <v>/</v>
      </c>
      <c r="HR13" s="357"/>
      <c r="HS13" s="366" t="str">
        <f>IF(HS12&gt;0.01,"OUI","/")</f>
        <v>/</v>
      </c>
      <c r="HT13" s="357"/>
      <c r="HU13" s="366" t="str">
        <f>IF(HU12&gt;0.01,"OUI","/")</f>
        <v>/</v>
      </c>
      <c r="HV13" s="357"/>
      <c r="HW13" s="366" t="str">
        <f>IF(HW12&gt;0.01,"OUI","/")</f>
        <v>/</v>
      </c>
      <c r="HX13" s="357"/>
      <c r="HY13" s="366" t="str">
        <f>IF(HY12&gt;0.01,"OUI","/")</f>
        <v>/</v>
      </c>
      <c r="HZ13" s="357"/>
      <c r="IA13" s="366" t="str">
        <f>IF(IA12&gt;0.01,"OUI","/")</f>
        <v>/</v>
      </c>
      <c r="IB13" s="357"/>
      <c r="IC13" s="366" t="str">
        <f>IF(IC12&gt;0.01,"OUI","/")</f>
        <v>/</v>
      </c>
      <c r="ID13" s="357"/>
      <c r="IE13" s="366" t="str">
        <f>IF(IE12&gt;0.01,"OUI","/")</f>
        <v>/</v>
      </c>
      <c r="IF13" s="357"/>
      <c r="IG13" s="366" t="str">
        <f>IF(IG12&gt;0.01,"OUI","/")</f>
        <v>/</v>
      </c>
      <c r="IH13" s="357"/>
      <c r="II13" s="366" t="str">
        <f>IF(II12&gt;0.01,"OUI","/")</f>
        <v>/</v>
      </c>
      <c r="IJ13" s="357"/>
      <c r="IK13" s="366" t="str">
        <f>IF(IK12&gt;0.01,"OUI","/")</f>
        <v>/</v>
      </c>
      <c r="IL13" s="357"/>
      <c r="IM13" s="366" t="str">
        <f>IF(IM12&gt;0.01,"OUI","/")</f>
        <v>/</v>
      </c>
      <c r="IN13" s="357"/>
      <c r="IO13" s="366" t="str">
        <f>IF(IO12&gt;0.01,"OUI","/")</f>
        <v>/</v>
      </c>
      <c r="IP13" s="357"/>
      <c r="IQ13" s="366" t="str">
        <f>IF(IQ12&gt;0.01,"OUI","/")</f>
        <v>/</v>
      </c>
      <c r="IR13" s="357"/>
      <c r="IS13" s="366" t="str">
        <f>IF(IS12&gt;0.01,"OUI","/")</f>
        <v>/</v>
      </c>
      <c r="IT13" s="357"/>
      <c r="IU13" s="366" t="str">
        <f>IF(IU12&gt;0.01,"OUI","/")</f>
        <v>/</v>
      </c>
      <c r="IV13" s="357"/>
      <c r="IW13" s="366" t="str">
        <f>IF(IW12&gt;0.01,"OUI","/")</f>
        <v>/</v>
      </c>
      <c r="IX13" s="357"/>
      <c r="IY13" s="366" t="str">
        <f>IF(IY12&gt;0.01,"OUI","/")</f>
        <v>/</v>
      </c>
      <c r="IZ13" s="357"/>
      <c r="JA13" s="366" t="str">
        <f>IF(JA12&gt;0.01,"OUI","/")</f>
        <v>/</v>
      </c>
      <c r="JB13" s="357"/>
      <c r="JC13" s="366" t="str">
        <f>IF(JC12&gt;0.01,"OUI","/")</f>
        <v>/</v>
      </c>
      <c r="JD13" s="357"/>
      <c r="JE13" s="366" t="str">
        <f>IF(JE12&gt;0.01,"OUI","/")</f>
        <v>/</v>
      </c>
      <c r="JF13" s="357"/>
      <c r="JG13" s="366" t="str">
        <f>IF(JG12&gt;0.01,"OUI","/")</f>
        <v>/</v>
      </c>
      <c r="JH13" s="357"/>
      <c r="JI13" s="366" t="str">
        <f>IF(JI12&gt;0.01,"OUI","/")</f>
        <v>/</v>
      </c>
      <c r="JJ13" s="357"/>
      <c r="JK13" s="366" t="str">
        <f>IF(JK12&gt;0.01,"OUI","/")</f>
        <v>/</v>
      </c>
      <c r="JL13" s="357"/>
      <c r="JM13" s="366" t="str">
        <f>IF(JM12&gt;0.01,"OUI","/")</f>
        <v>/</v>
      </c>
      <c r="JN13" s="357"/>
      <c r="JO13" s="366" t="str">
        <f>IF(JO12&gt;0.01,"OUI","/")</f>
        <v>/</v>
      </c>
      <c r="JP13" s="357"/>
      <c r="JQ13" s="366" t="str">
        <f>IF(JQ12&gt;0.01,"OUI","/")</f>
        <v>/</v>
      </c>
      <c r="JR13" s="357"/>
      <c r="JS13" s="366" t="str">
        <f>IF(JS12&gt;0.01,"OUI","/")</f>
        <v>/</v>
      </c>
      <c r="JT13" s="357"/>
      <c r="JU13" s="366" t="str">
        <f>IF(JU12&gt;0.01,"OUI","/")</f>
        <v>/</v>
      </c>
      <c r="JV13" s="357"/>
      <c r="JW13" s="366" t="str">
        <f>IF(JW12&gt;0.01,"OUI","/")</f>
        <v>/</v>
      </c>
      <c r="JX13" s="357"/>
      <c r="JY13" s="366" t="str">
        <f>IF(JY12&gt;0.01,"OUI","/")</f>
        <v>/</v>
      </c>
      <c r="JZ13" s="357"/>
      <c r="KA13" s="366" t="str">
        <f>IF(KA12&gt;0.01,"OUI","/")</f>
        <v>/</v>
      </c>
      <c r="KB13" s="357"/>
      <c r="KC13" s="366" t="str">
        <f>IF(KC12&gt;0.01,"OUI","/")</f>
        <v>/</v>
      </c>
      <c r="KD13" s="357"/>
      <c r="KE13" s="366" t="str">
        <f>IF(KE12&gt;0.01,"OUI","/")</f>
        <v>/</v>
      </c>
      <c r="KF13" s="357"/>
      <c r="KG13" s="366" t="str">
        <f>IF(KG12&gt;0.01,"OUI","/")</f>
        <v>/</v>
      </c>
      <c r="KH13" s="357"/>
      <c r="KI13" s="366" t="str">
        <f>IF(KI12&gt;0.01,"OUI","/")</f>
        <v>/</v>
      </c>
      <c r="KJ13" s="357"/>
      <c r="KK13" s="366" t="str">
        <f>IF(KK12&gt;0.01,"OUI","/")</f>
        <v>/</v>
      </c>
      <c r="KL13" s="357"/>
      <c r="KM13" s="366" t="str">
        <f>IF(KM12&gt;0.01,"OUI","/")</f>
        <v>/</v>
      </c>
      <c r="KN13" s="357"/>
      <c r="KO13" s="366" t="str">
        <f>IF(KO12&gt;0.01,"OUI","/")</f>
        <v>/</v>
      </c>
      <c r="KP13" s="357"/>
      <c r="KQ13" s="366" t="str">
        <f>IF(KQ12&gt;0.01,"OUI","/")</f>
        <v>/</v>
      </c>
      <c r="KR13" s="357"/>
      <c r="KS13" s="366" t="str">
        <f>IF(KS12&gt;0.01,"OUI","/")</f>
        <v>/</v>
      </c>
      <c r="KT13" s="357"/>
      <c r="KU13" s="366" t="str">
        <f>IF(KU12&gt;0.01,"OUI","/")</f>
        <v>/</v>
      </c>
      <c r="KV13" s="357"/>
      <c r="KW13" s="366" t="str">
        <f>IF(KW12&gt;0.01,"OUI","/")</f>
        <v>/</v>
      </c>
      <c r="KX13" s="357"/>
      <c r="KY13" s="366" t="str">
        <f>IF(KY12&gt;0.01,"OUI","/")</f>
        <v>/</v>
      </c>
      <c r="KZ13" s="357"/>
      <c r="LA13" s="366" t="str">
        <f>IF(LA12&gt;0.01,"OUI","/")</f>
        <v>/</v>
      </c>
      <c r="LB13" s="357"/>
      <c r="LC13" s="366" t="str">
        <f>IF(LC12&gt;0.01,"OUI","/")</f>
        <v>/</v>
      </c>
      <c r="LD13" s="357"/>
      <c r="LE13" s="366" t="str">
        <f>IF(LE12&gt;0.01,"OUI","/")</f>
        <v>/</v>
      </c>
      <c r="LF13" s="357"/>
      <c r="LG13" s="366" t="str">
        <f>IF(LG12&gt;0.01,"OUI","/")</f>
        <v>/</v>
      </c>
      <c r="LH13" s="357"/>
      <c r="LI13" s="366" t="str">
        <f>IF(LI12&gt;0.01,"OUI","/")</f>
        <v>/</v>
      </c>
      <c r="LJ13" s="357"/>
      <c r="LK13" s="366" t="str">
        <f>IF(LK12&gt;0.01,"OUI","/")</f>
        <v>/</v>
      </c>
      <c r="LL13" s="357"/>
      <c r="LM13" s="366" t="str">
        <f>IF(LM12&gt;0.01,"OUI","/")</f>
        <v>/</v>
      </c>
      <c r="LN13" s="357"/>
      <c r="LO13" s="366" t="str">
        <f>IF(LO12&gt;0.01,"OUI","/")</f>
        <v>/</v>
      </c>
      <c r="LP13" s="357"/>
      <c r="LQ13" s="366" t="str">
        <f>IF(LQ12&gt;0.01,"OUI","/")</f>
        <v>/</v>
      </c>
      <c r="LR13" s="357"/>
      <c r="LS13" s="366" t="str">
        <f>IF(LS12&gt;0.01,"OUI","/")</f>
        <v>/</v>
      </c>
      <c r="LT13" s="357"/>
      <c r="LU13" s="366" t="str">
        <f>IF(LU12&gt;0.01,"OUI","/")</f>
        <v>/</v>
      </c>
      <c r="LV13" s="357"/>
      <c r="LW13" s="366" t="str">
        <f>IF(LW12&gt;0.01,"OUI","/")</f>
        <v>/</v>
      </c>
      <c r="LX13" s="357"/>
      <c r="LY13" s="366" t="str">
        <f>IF(LY12&gt;0.01,"OUI","/")</f>
        <v>/</v>
      </c>
      <c r="LZ13" s="357"/>
      <c r="MA13" s="366" t="str">
        <f>IF(MA12&gt;0.01,"OUI","/")</f>
        <v>/</v>
      </c>
      <c r="MB13" s="357"/>
      <c r="MC13" s="81"/>
      <c r="MD13" s="81"/>
      <c r="ME13" s="81"/>
      <c r="MF13" s="255"/>
      <c r="MG13" s="81"/>
      <c r="MH13" s="81"/>
      <c r="MI13" s="81"/>
      <c r="MJ13" s="81"/>
    </row>
    <row r="14" spans="1:348" ht="96" customHeight="1" x14ac:dyDescent="0.2">
      <c r="B14" s="252"/>
      <c r="C14" s="374" t="s">
        <v>3918</v>
      </c>
      <c r="D14" s="356"/>
      <c r="E14" s="357"/>
      <c r="F14" s="256"/>
      <c r="G14" s="366" t="str">
        <f>IF(G12&gt;0.001,"OUI","/")</f>
        <v>/</v>
      </c>
      <c r="H14" s="357"/>
      <c r="I14" s="366" t="str">
        <f>IF(I12&gt;0.001,"OUI","/")</f>
        <v>/</v>
      </c>
      <c r="J14" s="357"/>
      <c r="K14" s="366" t="str">
        <f>IF(K12&gt;0.001,"OUI","/")</f>
        <v>/</v>
      </c>
      <c r="L14" s="357"/>
      <c r="M14" s="366" t="str">
        <f>IF(M12&gt;0.001,"OUI","/")</f>
        <v>/</v>
      </c>
      <c r="N14" s="357"/>
      <c r="O14" s="366" t="str">
        <f>IF(O12&gt;0.001,"OUI","/")</f>
        <v>/</v>
      </c>
      <c r="P14" s="357"/>
      <c r="Q14" s="366" t="str">
        <f>IF(Q12&gt;0.001,"OUI","/")</f>
        <v>/</v>
      </c>
      <c r="R14" s="357"/>
      <c r="S14" s="366" t="str">
        <f>IF(S12&gt;0.001,"OUI","/")</f>
        <v>/</v>
      </c>
      <c r="T14" s="357"/>
      <c r="U14" s="366" t="str">
        <f>IF(U12&gt;0.001,"OUI","/")</f>
        <v>/</v>
      </c>
      <c r="V14" s="357"/>
      <c r="W14" s="366" t="str">
        <f>IF(W12&gt;0.001,"OUI","/")</f>
        <v>/</v>
      </c>
      <c r="X14" s="357"/>
      <c r="Y14" s="366" t="str">
        <f>IF(Y12&gt;0.001,"OUI","/")</f>
        <v>/</v>
      </c>
      <c r="Z14" s="357"/>
      <c r="AA14" s="366" t="str">
        <f>IF(AA12&gt;0.001,"OUI","/")</f>
        <v>/</v>
      </c>
      <c r="AB14" s="357"/>
      <c r="AC14" s="366" t="str">
        <f>IF(AC12&gt;0.001,"OUI","/")</f>
        <v>/</v>
      </c>
      <c r="AD14" s="357"/>
      <c r="AE14" s="366" t="str">
        <f>IF(AE12&gt;0.001,"OUI","/")</f>
        <v>/</v>
      </c>
      <c r="AF14" s="357"/>
      <c r="AG14" s="366" t="str">
        <f>IF(AG12&gt;0.001,"OUI","/")</f>
        <v>/</v>
      </c>
      <c r="AH14" s="357"/>
      <c r="AI14" s="366" t="str">
        <f>IF(AI12&gt;0.001,"OUI","/")</f>
        <v>/</v>
      </c>
      <c r="AJ14" s="357"/>
      <c r="AK14" s="366" t="str">
        <f>IF(AK12&gt;0.001,"OUI","/")</f>
        <v>/</v>
      </c>
      <c r="AL14" s="357"/>
      <c r="AM14" s="366" t="str">
        <f>IF(AM12&gt;0.001,"OUI","/")</f>
        <v>/</v>
      </c>
      <c r="AN14" s="357"/>
      <c r="AO14" s="366" t="str">
        <f>IF(AO12&gt;0.001,"OUI","/")</f>
        <v>/</v>
      </c>
      <c r="AP14" s="357"/>
      <c r="AQ14" s="366" t="str">
        <f>IF(AQ12&gt;0.001,"OUI","/")</f>
        <v>/</v>
      </c>
      <c r="AR14" s="357"/>
      <c r="AS14" s="366" t="str">
        <f>IF(AS12&gt;0.001,"OUI","/")</f>
        <v>/</v>
      </c>
      <c r="AT14" s="357"/>
      <c r="AU14" s="366" t="str">
        <f>IF(AU12&gt;0.001,"OUI","/")</f>
        <v>/</v>
      </c>
      <c r="AV14" s="357"/>
      <c r="AW14" s="366" t="str">
        <f>IF(AW12&gt;0.001,"OUI","/")</f>
        <v>/</v>
      </c>
      <c r="AX14" s="357"/>
      <c r="AY14" s="366" t="str">
        <f>IF(AY12&gt;0.001,"OUI","/")</f>
        <v>/</v>
      </c>
      <c r="AZ14" s="357"/>
      <c r="BA14" s="366" t="str">
        <f>IF(BA12&gt;0.001,"OUI","/")</f>
        <v>/</v>
      </c>
      <c r="BB14" s="357"/>
      <c r="BC14" s="366" t="str">
        <f>IF(BC12&gt;0.001,"OUI","/")</f>
        <v>/</v>
      </c>
      <c r="BD14" s="357"/>
      <c r="BE14" s="366" t="str">
        <f>IF(BE12&gt;0.001,"OUI","/")</f>
        <v>/</v>
      </c>
      <c r="BF14" s="357"/>
      <c r="BG14" s="366" t="str">
        <f>IF(BG12&gt;0.001,"OUI","/")</f>
        <v>/</v>
      </c>
      <c r="BH14" s="357"/>
      <c r="BI14" s="366" t="str">
        <f>IF(BI12&gt;0.001,"OUI","/")</f>
        <v>/</v>
      </c>
      <c r="BJ14" s="357"/>
      <c r="BK14" s="366" t="str">
        <f>IF(BK12&gt;0.001,"OUI","/")</f>
        <v>/</v>
      </c>
      <c r="BL14" s="357"/>
      <c r="BM14" s="366" t="str">
        <f>IF(BM12&gt;0.001,"OUI","/")</f>
        <v>/</v>
      </c>
      <c r="BN14" s="357"/>
      <c r="BO14" s="366" t="str">
        <f>IF(BO12&gt;0.001,"OUI","/")</f>
        <v>/</v>
      </c>
      <c r="BP14" s="357"/>
      <c r="BQ14" s="366" t="str">
        <f>IF(BQ12&gt;0.001,"OUI","/")</f>
        <v>/</v>
      </c>
      <c r="BR14" s="357"/>
      <c r="BS14" s="366" t="str">
        <f>IF(BS12&gt;0.001,"OUI","/")</f>
        <v>/</v>
      </c>
      <c r="BT14" s="357"/>
      <c r="BU14" s="366" t="str">
        <f>IF(BU12&gt;0.001,"OUI","/")</f>
        <v>/</v>
      </c>
      <c r="BV14" s="357"/>
      <c r="BW14" s="366" t="str">
        <f>IF(BW12&gt;0.001,"OUI","/")</f>
        <v>/</v>
      </c>
      <c r="BX14" s="357"/>
      <c r="BY14" s="366" t="str">
        <f>IF(BY12&gt;0.001,"OUI","/")</f>
        <v>/</v>
      </c>
      <c r="BZ14" s="357"/>
      <c r="CA14" s="366" t="str">
        <f>IF(CA12&gt;0.001,"OUI","/")</f>
        <v>/</v>
      </c>
      <c r="CB14" s="357"/>
      <c r="CC14" s="366" t="str">
        <f>IF(CC12&gt;0.001,"OUI","/")</f>
        <v>/</v>
      </c>
      <c r="CD14" s="357"/>
      <c r="CE14" s="366" t="str">
        <f>IF(CE12&gt;0.001,"OUI","/")</f>
        <v>/</v>
      </c>
      <c r="CF14" s="357"/>
      <c r="CG14" s="366" t="str">
        <f>IF(CG12&gt;0.001,"OUI","/")</f>
        <v>/</v>
      </c>
      <c r="CH14" s="357"/>
      <c r="CI14" s="366" t="str">
        <f>IF(CI12&gt;0.001,"OUI","/")</f>
        <v>/</v>
      </c>
      <c r="CJ14" s="357"/>
      <c r="CK14" s="366" t="str">
        <f>IF(CK12&gt;0.001,"OUI","/")</f>
        <v>/</v>
      </c>
      <c r="CL14" s="357"/>
      <c r="CM14" s="366" t="str">
        <f>IF(CM12&gt;0.001,"OUI","/")</f>
        <v>/</v>
      </c>
      <c r="CN14" s="357"/>
      <c r="CO14" s="366" t="str">
        <f>IF(CO12&gt;0.001,"OUI","/")</f>
        <v>/</v>
      </c>
      <c r="CP14" s="357"/>
      <c r="CQ14" s="366" t="str">
        <f>IF(CQ12&gt;0.001,"OUI","/")</f>
        <v>/</v>
      </c>
      <c r="CR14" s="357"/>
      <c r="CS14" s="366" t="str">
        <f>IF(CS12&gt;0.001,"OUI","/")</f>
        <v>/</v>
      </c>
      <c r="CT14" s="357"/>
      <c r="CU14" s="366" t="str">
        <f>IF(CU12&gt;0.001,"OUI","/")</f>
        <v>/</v>
      </c>
      <c r="CV14" s="357"/>
      <c r="CW14" s="366" t="str">
        <f>IF(CW12&gt;0.001,"OUI","/")</f>
        <v>/</v>
      </c>
      <c r="CX14" s="357"/>
      <c r="CY14" s="366" t="str">
        <f>IF(CY12&gt;0.001,"OUI","/")</f>
        <v>/</v>
      </c>
      <c r="CZ14" s="357"/>
      <c r="DA14" s="366" t="str">
        <f>IF(DA12&gt;0.001,"OUI","/")</f>
        <v>/</v>
      </c>
      <c r="DB14" s="357"/>
      <c r="DC14" s="366" t="str">
        <f>IF(DC12&gt;0.001,"OUI","/")</f>
        <v>/</v>
      </c>
      <c r="DD14" s="357"/>
      <c r="DE14" s="366" t="str">
        <f>IF(DE12&gt;0.001,"OUI","/")</f>
        <v>/</v>
      </c>
      <c r="DF14" s="357"/>
      <c r="DG14" s="366" t="str">
        <f>IF(DG12&gt;0.001,"OUI","/")</f>
        <v>/</v>
      </c>
      <c r="DH14" s="357"/>
      <c r="DI14" s="366" t="str">
        <f>IF(DI12&gt;0.001,"OUI","/")</f>
        <v>/</v>
      </c>
      <c r="DJ14" s="357"/>
      <c r="DK14" s="366" t="str">
        <f>IF(DK12&gt;0.001,"OUI","/")</f>
        <v>/</v>
      </c>
      <c r="DL14" s="357"/>
      <c r="DM14" s="366" t="str">
        <f>IF(DM12&gt;0.001,"OUI","/")</f>
        <v>/</v>
      </c>
      <c r="DN14" s="357"/>
      <c r="DO14" s="366" t="str">
        <f>IF(DO12&gt;0.001,"OUI","/")</f>
        <v>/</v>
      </c>
      <c r="DP14" s="357"/>
      <c r="DQ14" s="366" t="str">
        <f>IF(DQ12&gt;0.001,"OUI","/")</f>
        <v>/</v>
      </c>
      <c r="DR14" s="357"/>
      <c r="DS14" s="366" t="str">
        <f>IF(DS12&gt;0.001,"OUI","/")</f>
        <v>/</v>
      </c>
      <c r="DT14" s="357"/>
      <c r="DU14" s="366" t="str">
        <f>IF(DU12&gt;0.001,"OUI","/")</f>
        <v>/</v>
      </c>
      <c r="DV14" s="357"/>
      <c r="DW14" s="366" t="str">
        <f>IF(DW12&gt;0.001,"OUI","/")</f>
        <v>/</v>
      </c>
      <c r="DX14" s="357"/>
      <c r="DY14" s="366" t="str">
        <f>IF(DY12&gt;0.001,"OUI","/")</f>
        <v>/</v>
      </c>
      <c r="DZ14" s="357"/>
      <c r="EA14" s="366" t="str">
        <f>IF(EA12&gt;0.001,"OUI","/")</f>
        <v>/</v>
      </c>
      <c r="EB14" s="357"/>
      <c r="EC14" s="366" t="str">
        <f>IF(EC12&gt;0.001,"OUI","/")</f>
        <v>/</v>
      </c>
      <c r="ED14" s="357"/>
      <c r="EE14" s="366" t="str">
        <f>IF(EE12&gt;0.001,"OUI","/")</f>
        <v>/</v>
      </c>
      <c r="EF14" s="357"/>
      <c r="EG14" s="366" t="str">
        <f>IF(EG12&gt;0.001,"OUI","/")</f>
        <v>OUI</v>
      </c>
      <c r="EH14" s="357"/>
      <c r="EI14" s="366" t="str">
        <f>IF(EI12&gt;0.001,"OUI","/")</f>
        <v>/</v>
      </c>
      <c r="EJ14" s="357"/>
      <c r="EK14" s="366" t="str">
        <f>IF(EK12&gt;0.001,"OUI","/")</f>
        <v>/</v>
      </c>
      <c r="EL14" s="357"/>
      <c r="EM14" s="366" t="str">
        <f>IF(EM12&gt;0.001,"OUI","/")</f>
        <v>/</v>
      </c>
      <c r="EN14" s="357"/>
      <c r="EO14" s="366" t="str">
        <f>IF(EO12&gt;0.001,"OUI","/")</f>
        <v>/</v>
      </c>
      <c r="EP14" s="357"/>
      <c r="EQ14" s="366" t="str">
        <f>IF(EQ12&gt;0.001,"OUI","/")</f>
        <v>/</v>
      </c>
      <c r="ER14" s="357"/>
      <c r="ES14" s="366" t="str">
        <f>IF(ES12&gt;0.001,"OUI","/")</f>
        <v>/</v>
      </c>
      <c r="ET14" s="357"/>
      <c r="EU14" s="366" t="str">
        <f>IF(EU12&gt;0.001,"OUI","/")</f>
        <v>/</v>
      </c>
      <c r="EV14" s="357"/>
      <c r="EW14" s="366" t="str">
        <f>IF(EW12&gt;0.001,"OUI","/")</f>
        <v>/</v>
      </c>
      <c r="EX14" s="357"/>
      <c r="EY14" s="366" t="str">
        <f>IF(EY12&gt;0.001,"OUI","/")</f>
        <v>/</v>
      </c>
      <c r="EZ14" s="357"/>
      <c r="FA14" s="366" t="str">
        <f>IF(FA12&gt;0.001,"OUI","/")</f>
        <v>/</v>
      </c>
      <c r="FB14" s="357"/>
      <c r="FC14" s="366" t="str">
        <f>IF(FC12&gt;0.001,"OUI","/")</f>
        <v>/</v>
      </c>
      <c r="FD14" s="357"/>
      <c r="FE14" s="366" t="str">
        <f>IF(FE12&gt;0.001,"OUI","/")</f>
        <v>/</v>
      </c>
      <c r="FF14" s="357"/>
      <c r="FG14" s="366" t="str">
        <f>IF(FG12&gt;0.001,"OUI","/")</f>
        <v>/</v>
      </c>
      <c r="FH14" s="357"/>
      <c r="FI14" s="366" t="str">
        <f>IF(FI12&gt;0.001,"OUI","/")</f>
        <v>/</v>
      </c>
      <c r="FJ14" s="357"/>
      <c r="FK14" s="366" t="str">
        <f>IF(FK12&gt;0.001,"OUI","/")</f>
        <v>/</v>
      </c>
      <c r="FL14" s="357"/>
      <c r="FM14" s="366" t="str">
        <f>IF(FM12&gt;0.001,"OUI","/")</f>
        <v>/</v>
      </c>
      <c r="FN14" s="357"/>
      <c r="FO14" s="366" t="str">
        <f>IF(FO12&gt;0.001,"OUI","/")</f>
        <v>/</v>
      </c>
      <c r="FP14" s="357"/>
      <c r="FQ14" s="366" t="str">
        <f>IF(FQ12&gt;0.001,"OUI","/")</f>
        <v>OUI</v>
      </c>
      <c r="FR14" s="357"/>
      <c r="FS14" s="366" t="str">
        <f>IF(FS12&gt;0.001,"OUI","/")</f>
        <v>/</v>
      </c>
      <c r="FT14" s="357"/>
      <c r="FU14" s="366" t="str">
        <f>IF(FU12&gt;0.001,"OUI","/")</f>
        <v>/</v>
      </c>
      <c r="FV14" s="357"/>
      <c r="FW14" s="366" t="str">
        <f>IF(FW12&gt;0.001,"OUI","/")</f>
        <v>/</v>
      </c>
      <c r="FX14" s="357"/>
      <c r="FY14" s="366" t="str">
        <f>IF(FY12&gt;0.001,"OUI","/")</f>
        <v>/</v>
      </c>
      <c r="FZ14" s="357"/>
      <c r="GA14" s="366" t="str">
        <f>IF(GA12&gt;0.001,"OUI","/")</f>
        <v>/</v>
      </c>
      <c r="GB14" s="357"/>
      <c r="GC14" s="366" t="str">
        <f>IF(GC12&gt;0.001,"OUI","/")</f>
        <v>/</v>
      </c>
      <c r="GD14" s="357"/>
      <c r="GE14" s="366" t="str">
        <f>IF(GE12&gt;0.001,"OUI","/")</f>
        <v>/</v>
      </c>
      <c r="GF14" s="357"/>
      <c r="GG14" s="366" t="str">
        <f>IF(GG12&gt;0.001,"OUI","/")</f>
        <v>/</v>
      </c>
      <c r="GH14" s="357"/>
      <c r="GI14" s="366" t="str">
        <f>IF(GI12&gt;0.001,"OUI","/")</f>
        <v>/</v>
      </c>
      <c r="GJ14" s="357"/>
      <c r="GK14" s="366" t="str">
        <f>IF(GK12&gt;0.001,"OUI","/")</f>
        <v>/</v>
      </c>
      <c r="GL14" s="357"/>
      <c r="GM14" s="366" t="str">
        <f>IF(GM12&gt;0.001,"OUI","/")</f>
        <v>/</v>
      </c>
      <c r="GN14" s="357"/>
      <c r="GO14" s="366" t="str">
        <f>IF(GO12&gt;0.001,"OUI","/")</f>
        <v>/</v>
      </c>
      <c r="GP14" s="357"/>
      <c r="GQ14" s="366" t="str">
        <f>IF(GQ12&gt;0.001,"OUI","/")</f>
        <v>/</v>
      </c>
      <c r="GR14" s="357"/>
      <c r="GS14" s="366" t="str">
        <f>IF(GS12&gt;0.001,"OUI","/")</f>
        <v>/</v>
      </c>
      <c r="GT14" s="357"/>
      <c r="GU14" s="366" t="str">
        <f>IF(GU12&gt;0.001,"OUI","/")</f>
        <v>/</v>
      </c>
      <c r="GV14" s="357"/>
      <c r="GW14" s="366" t="str">
        <f>IF(GW12&gt;0.001,"OUI","/")</f>
        <v>/</v>
      </c>
      <c r="GX14" s="357"/>
      <c r="GY14" s="366" t="str">
        <f>IF(GY12&gt;0.001,"OUI","/")</f>
        <v>/</v>
      </c>
      <c r="GZ14" s="357"/>
      <c r="HA14" s="366" t="str">
        <f>IF(HA12&gt;0.001,"OUI","/")</f>
        <v>/</v>
      </c>
      <c r="HB14" s="357"/>
      <c r="HC14" s="366" t="str">
        <f>IF(HC12&gt;0.001,"OUI","/")</f>
        <v>/</v>
      </c>
      <c r="HD14" s="357"/>
      <c r="HE14" s="366" t="str">
        <f>IF(HE12&gt;0.001,"OUI","/")</f>
        <v>/</v>
      </c>
      <c r="HF14" s="357"/>
      <c r="HG14" s="366" t="str">
        <f>IF(HG12&gt;0.001,"OUI","/")</f>
        <v>/</v>
      </c>
      <c r="HH14" s="357"/>
      <c r="HI14" s="366" t="str">
        <f>IF(HI12&gt;0.001,"OUI","/")</f>
        <v>/</v>
      </c>
      <c r="HJ14" s="357"/>
      <c r="HK14" s="366" t="str">
        <f>IF(HK12&gt;0.001,"OUI","/")</f>
        <v>/</v>
      </c>
      <c r="HL14" s="357"/>
      <c r="HM14" s="366" t="str">
        <f>IF(HM12&gt;0.001,"OUI","/")</f>
        <v>/</v>
      </c>
      <c r="HN14" s="357"/>
      <c r="HO14" s="366" t="str">
        <f>IF(HO12&gt;0.001,"OUI","/")</f>
        <v>/</v>
      </c>
      <c r="HP14" s="357"/>
      <c r="HQ14" s="366" t="str">
        <f>IF(HQ12&gt;0.001,"OUI","/")</f>
        <v>/</v>
      </c>
      <c r="HR14" s="357"/>
      <c r="HS14" s="366" t="str">
        <f>IF(HS12&gt;0.001,"OUI","/")</f>
        <v>/</v>
      </c>
      <c r="HT14" s="357"/>
      <c r="HU14" s="366" t="str">
        <f>IF(HU12&gt;0.001,"OUI","/")</f>
        <v>/</v>
      </c>
      <c r="HV14" s="357"/>
      <c r="HW14" s="366" t="str">
        <f>IF(HW12&gt;0.001,"OUI","/")</f>
        <v>/</v>
      </c>
      <c r="HX14" s="357"/>
      <c r="HY14" s="366" t="str">
        <f>IF(HY12&gt;0.001,"OUI","/")</f>
        <v>/</v>
      </c>
      <c r="HZ14" s="357"/>
      <c r="IA14" s="366" t="str">
        <f>IF(IA12&gt;0.001,"OUI","/")</f>
        <v>/</v>
      </c>
      <c r="IB14" s="357"/>
      <c r="IC14" s="366" t="str">
        <f>IF(IC12&gt;0.001,"OUI","/")</f>
        <v>/</v>
      </c>
      <c r="ID14" s="357"/>
      <c r="IE14" s="366" t="str">
        <f>IF(IE12&gt;0.001,"OUI","/")</f>
        <v>/</v>
      </c>
      <c r="IF14" s="357"/>
      <c r="IG14" s="366" t="str">
        <f>IF(IG12&gt;0.001,"OUI","/")</f>
        <v>/</v>
      </c>
      <c r="IH14" s="357"/>
      <c r="II14" s="366" t="str">
        <f>IF(II12&gt;0.001,"OUI","/")</f>
        <v>/</v>
      </c>
      <c r="IJ14" s="357"/>
      <c r="IK14" s="366" t="str">
        <f>IF(IK12&gt;0.001,"OUI","/")</f>
        <v>/</v>
      </c>
      <c r="IL14" s="357"/>
      <c r="IM14" s="366" t="str">
        <f>IF(IM12&gt;0.001,"OUI","/")</f>
        <v>/</v>
      </c>
      <c r="IN14" s="357"/>
      <c r="IO14" s="366" t="str">
        <f>IF(IO12&gt;0.001,"OUI","/")</f>
        <v>/</v>
      </c>
      <c r="IP14" s="357"/>
      <c r="IQ14" s="366" t="str">
        <f>IF(IQ12&gt;0.001,"OUI","/")</f>
        <v>/</v>
      </c>
      <c r="IR14" s="357"/>
      <c r="IS14" s="366" t="str">
        <f>IF(IS12&gt;0.001,"OUI","/")</f>
        <v>/</v>
      </c>
      <c r="IT14" s="357"/>
      <c r="IU14" s="366" t="str">
        <f>IF(IU12&gt;0.001,"OUI","/")</f>
        <v>/</v>
      </c>
      <c r="IV14" s="357"/>
      <c r="IW14" s="366" t="str">
        <f>IF(IW12&gt;0.001,"OUI","/")</f>
        <v>/</v>
      </c>
      <c r="IX14" s="357"/>
      <c r="IY14" s="366" t="str">
        <f>IF(IY12&gt;0.001,"OUI","/")</f>
        <v>/</v>
      </c>
      <c r="IZ14" s="357"/>
      <c r="JA14" s="366" t="str">
        <f>IF(JA12&gt;0.001,"OUI","/")</f>
        <v>/</v>
      </c>
      <c r="JB14" s="357"/>
      <c r="JC14" s="366" t="str">
        <f>IF(JC12&gt;0.001,"OUI","/")</f>
        <v>/</v>
      </c>
      <c r="JD14" s="357"/>
      <c r="JE14" s="366" t="str">
        <f>IF(JE12&gt;0.001,"OUI","/")</f>
        <v>/</v>
      </c>
      <c r="JF14" s="357"/>
      <c r="JG14" s="366" t="str">
        <f>IF(JG12&gt;0.001,"OUI","/")</f>
        <v>/</v>
      </c>
      <c r="JH14" s="357"/>
      <c r="JI14" s="366" t="str">
        <f>IF(JI12&gt;0.001,"OUI","/")</f>
        <v>/</v>
      </c>
      <c r="JJ14" s="357"/>
      <c r="JK14" s="366" t="str">
        <f>IF(JK12&gt;0.001,"OUI","/")</f>
        <v>/</v>
      </c>
      <c r="JL14" s="357"/>
      <c r="JM14" s="366" t="str">
        <f>IF(JM12&gt;0.001,"OUI","/")</f>
        <v>/</v>
      </c>
      <c r="JN14" s="357"/>
      <c r="JO14" s="366" t="str">
        <f>IF(JO12&gt;0.001,"OUI","/")</f>
        <v>/</v>
      </c>
      <c r="JP14" s="357"/>
      <c r="JQ14" s="366" t="str">
        <f>IF(JQ12&gt;0.001,"OUI","/")</f>
        <v>/</v>
      </c>
      <c r="JR14" s="357"/>
      <c r="JS14" s="366" t="str">
        <f>IF(JS12&gt;0.001,"OUI","/")</f>
        <v>/</v>
      </c>
      <c r="JT14" s="357"/>
      <c r="JU14" s="366" t="str">
        <f>IF(JU12&gt;0.001,"OUI","/")</f>
        <v>/</v>
      </c>
      <c r="JV14" s="357"/>
      <c r="JW14" s="366" t="str">
        <f>IF(JW12&gt;0.001,"OUI","/")</f>
        <v>/</v>
      </c>
      <c r="JX14" s="357"/>
      <c r="JY14" s="366" t="str">
        <f>IF(JY12&gt;0.001,"OUI","/")</f>
        <v>/</v>
      </c>
      <c r="JZ14" s="357"/>
      <c r="KA14" s="366" t="str">
        <f>IF(KA12&gt;0.001,"OUI","/")</f>
        <v>/</v>
      </c>
      <c r="KB14" s="357"/>
      <c r="KC14" s="366" t="str">
        <f>IF(KC12&gt;0.001,"OUI","/")</f>
        <v>/</v>
      </c>
      <c r="KD14" s="357"/>
      <c r="KE14" s="366" t="str">
        <f>IF(KE12&gt;0.001,"OUI","/")</f>
        <v>/</v>
      </c>
      <c r="KF14" s="357"/>
      <c r="KG14" s="366" t="str">
        <f>IF(KG12&gt;0.001,"OUI","/")</f>
        <v>/</v>
      </c>
      <c r="KH14" s="357"/>
      <c r="KI14" s="366" t="str">
        <f>IF(KI12&gt;0.001,"OUI","/")</f>
        <v>/</v>
      </c>
      <c r="KJ14" s="357"/>
      <c r="KK14" s="366" t="str">
        <f>IF(KK12&gt;0.001,"OUI","/")</f>
        <v>/</v>
      </c>
      <c r="KL14" s="357"/>
      <c r="KM14" s="366" t="str">
        <f>IF(KM12&gt;0.001,"OUI","/")</f>
        <v>/</v>
      </c>
      <c r="KN14" s="357"/>
      <c r="KO14" s="366" t="str">
        <f>IF(KO12&gt;0.001,"OUI","/")</f>
        <v>/</v>
      </c>
      <c r="KP14" s="357"/>
      <c r="KQ14" s="366" t="str">
        <f>IF(KQ12&gt;0.001,"OUI","/")</f>
        <v>/</v>
      </c>
      <c r="KR14" s="357"/>
      <c r="KS14" s="366" t="str">
        <f>IF(KS12&gt;0.001,"OUI","/")</f>
        <v>/</v>
      </c>
      <c r="KT14" s="357"/>
      <c r="KU14" s="366" t="str">
        <f>IF(KU12&gt;0.001,"OUI","/")</f>
        <v>/</v>
      </c>
      <c r="KV14" s="357"/>
      <c r="KW14" s="366" t="str">
        <f>IF(KW12&gt;0.001,"OUI","/")</f>
        <v>/</v>
      </c>
      <c r="KX14" s="357"/>
      <c r="KY14" s="366" t="str">
        <f>IF(KY12&gt;0.001,"OUI","/")</f>
        <v>/</v>
      </c>
      <c r="KZ14" s="357"/>
      <c r="LA14" s="366" t="str">
        <f>IF(LA12&gt;0.001,"OUI","/")</f>
        <v>/</v>
      </c>
      <c r="LB14" s="357"/>
      <c r="LC14" s="366" t="str">
        <f>IF(LC12&gt;0.001,"OUI","/")</f>
        <v>/</v>
      </c>
      <c r="LD14" s="357"/>
      <c r="LE14" s="366" t="str">
        <f>IF(LE12&gt;0.001,"OUI","/")</f>
        <v>/</v>
      </c>
      <c r="LF14" s="357"/>
      <c r="LG14" s="366" t="str">
        <f>IF(LG12&gt;0.001,"OUI","/")</f>
        <v>/</v>
      </c>
      <c r="LH14" s="357"/>
      <c r="LI14" s="366" t="str">
        <f>IF(LI12&gt;0.001,"OUI","/")</f>
        <v>/</v>
      </c>
      <c r="LJ14" s="357"/>
      <c r="LK14" s="366" t="str">
        <f>IF(LK12&gt;0.001,"OUI","/")</f>
        <v>/</v>
      </c>
      <c r="LL14" s="357"/>
      <c r="LM14" s="366" t="str">
        <f>IF(LM12&gt;0.001,"OUI","/")</f>
        <v>/</v>
      </c>
      <c r="LN14" s="357"/>
      <c r="LO14" s="366" t="str">
        <f>IF(LO12&gt;0.001,"OUI","/")</f>
        <v>/</v>
      </c>
      <c r="LP14" s="357"/>
      <c r="LQ14" s="366" t="str">
        <f>IF(LQ12&gt;0.001,"OUI","/")</f>
        <v>/</v>
      </c>
      <c r="LR14" s="357"/>
      <c r="LS14" s="366" t="str">
        <f>IF(LS12&gt;0.001,"OUI","/")</f>
        <v>OUI</v>
      </c>
      <c r="LT14" s="357"/>
      <c r="LU14" s="366" t="str">
        <f>IF(LU12&gt;0.001,"OUI","/")</f>
        <v>/</v>
      </c>
      <c r="LV14" s="357"/>
      <c r="LW14" s="366" t="str">
        <f>IF(LW12&gt;0.001,"OUI","/")</f>
        <v>/</v>
      </c>
      <c r="LX14" s="357"/>
      <c r="LY14" s="366" t="str">
        <f>IF(LY12&gt;0.001,"OUI","/")</f>
        <v>/</v>
      </c>
      <c r="LZ14" s="357"/>
      <c r="MA14" s="366" t="str">
        <f>IF(MA12&gt;0.001,"OUI","/")</f>
        <v>/</v>
      </c>
      <c r="MB14" s="357"/>
      <c r="MC14" s="81"/>
      <c r="MD14" s="81"/>
      <c r="ME14" s="81"/>
      <c r="MF14" s="255"/>
      <c r="MG14" s="81"/>
      <c r="MH14" s="81"/>
      <c r="MI14" s="81"/>
      <c r="MJ14" s="81"/>
    </row>
    <row r="15" spans="1:348" ht="15.75" customHeight="1" x14ac:dyDescent="0.2"/>
    <row r="16" spans="1:34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024">
    <mergeCell ref="DA7:DB7"/>
    <mergeCell ref="DC7:DD7"/>
    <mergeCell ref="DE7:DF7"/>
    <mergeCell ref="DG7:DH7"/>
    <mergeCell ref="DI7:DJ7"/>
    <mergeCell ref="DK7:DL7"/>
    <mergeCell ref="DM7:DN7"/>
    <mergeCell ref="DO7:DP7"/>
    <mergeCell ref="DQ7:DR7"/>
    <mergeCell ref="DS7:DT7"/>
    <mergeCell ref="DU7:DV7"/>
    <mergeCell ref="DW7:DX7"/>
    <mergeCell ref="DY7:DZ7"/>
    <mergeCell ref="EA7:EB7"/>
    <mergeCell ref="EC7:ED7"/>
    <mergeCell ref="EE7:EF7"/>
    <mergeCell ref="EG7:EH7"/>
    <mergeCell ref="FU7:FV7"/>
    <mergeCell ref="FW7:FX7"/>
    <mergeCell ref="FY7:FZ7"/>
    <mergeCell ref="GA7:GB7"/>
    <mergeCell ref="GC7:GD7"/>
    <mergeCell ref="GE7:GF7"/>
    <mergeCell ref="GG7:GH7"/>
    <mergeCell ref="GI7:GJ7"/>
    <mergeCell ref="GK7:GL7"/>
    <mergeCell ref="GM7:GN7"/>
    <mergeCell ref="GO7:GP7"/>
    <mergeCell ref="GQ7:GR7"/>
    <mergeCell ref="GS7:GT7"/>
    <mergeCell ref="U7:V7"/>
    <mergeCell ref="W7:X7"/>
    <mergeCell ref="Y7:Z7"/>
    <mergeCell ref="AA7:AB7"/>
    <mergeCell ref="AC7:AD7"/>
    <mergeCell ref="AE7:AF7"/>
    <mergeCell ref="AG7:AH7"/>
    <mergeCell ref="AI7:AJ7"/>
    <mergeCell ref="AK7:AL7"/>
    <mergeCell ref="AM7:AN7"/>
    <mergeCell ref="AO7:AP7"/>
    <mergeCell ref="AQ7:AR7"/>
    <mergeCell ref="AS7:AT7"/>
    <mergeCell ref="AU7:AV7"/>
    <mergeCell ref="AW7:AX7"/>
    <mergeCell ref="AY7:AZ7"/>
    <mergeCell ref="BA7:BB7"/>
    <mergeCell ref="EI7:EJ7"/>
    <mergeCell ref="EK7:EL7"/>
    <mergeCell ref="BG7:BH7"/>
    <mergeCell ref="BI7:BJ7"/>
    <mergeCell ref="BK7:BL7"/>
    <mergeCell ref="BM7:BN7"/>
    <mergeCell ref="BO7:BP7"/>
    <mergeCell ref="BQ7:BR7"/>
    <mergeCell ref="BS7:BT7"/>
    <mergeCell ref="BU7:BV7"/>
    <mergeCell ref="BW7:BX7"/>
    <mergeCell ref="BY7:BZ7"/>
    <mergeCell ref="CA7:CB7"/>
    <mergeCell ref="CC7:CD7"/>
    <mergeCell ref="CE7:CF7"/>
    <mergeCell ref="CG7:CH7"/>
    <mergeCell ref="CI7:CJ7"/>
    <mergeCell ref="FQ7:FR7"/>
    <mergeCell ref="FS7:FT7"/>
    <mergeCell ref="EM7:EN7"/>
    <mergeCell ref="EO7:EP7"/>
    <mergeCell ref="EQ7:ER7"/>
    <mergeCell ref="ES7:ET7"/>
    <mergeCell ref="EU7:EV7"/>
    <mergeCell ref="EW7:EX7"/>
    <mergeCell ref="EY7:EZ7"/>
    <mergeCell ref="FA7:FB7"/>
    <mergeCell ref="FC7:FD7"/>
    <mergeCell ref="FE7:FF7"/>
    <mergeCell ref="FG7:FH7"/>
    <mergeCell ref="FI7:FJ7"/>
    <mergeCell ref="FK7:FL7"/>
    <mergeCell ref="FM7:FN7"/>
    <mergeCell ref="FO7:FP7"/>
    <mergeCell ref="CO7:CP7"/>
    <mergeCell ref="CQ7:CR7"/>
    <mergeCell ref="CS7:CT7"/>
    <mergeCell ref="CU7:CV7"/>
    <mergeCell ref="CW7:CX7"/>
    <mergeCell ref="CY7:CZ7"/>
    <mergeCell ref="G7:H7"/>
    <mergeCell ref="I7:J7"/>
    <mergeCell ref="K7:L7"/>
    <mergeCell ref="M7:N7"/>
    <mergeCell ref="O7:P7"/>
    <mergeCell ref="Q7:R7"/>
    <mergeCell ref="S7:T7"/>
    <mergeCell ref="LU8:LV8"/>
    <mergeCell ref="LW8:LX8"/>
    <mergeCell ref="LG8:LH8"/>
    <mergeCell ref="LI8:LJ8"/>
    <mergeCell ref="LK8:LL8"/>
    <mergeCell ref="LM8:LN8"/>
    <mergeCell ref="LO8:LP8"/>
    <mergeCell ref="LQ8:LR8"/>
    <mergeCell ref="LS8:LT8"/>
    <mergeCell ref="HM8:HN8"/>
    <mergeCell ref="HO8:HP8"/>
    <mergeCell ref="HQ8:HR8"/>
    <mergeCell ref="HS8:HT8"/>
    <mergeCell ref="HU8:HV8"/>
    <mergeCell ref="HW8:HX8"/>
    <mergeCell ref="HY8:HZ8"/>
    <mergeCell ref="IA8:IB8"/>
    <mergeCell ref="BC7:BD7"/>
    <mergeCell ref="BE7:BF7"/>
    <mergeCell ref="JS8:JT8"/>
    <mergeCell ref="JU8:JV8"/>
    <mergeCell ref="JW8:JX8"/>
    <mergeCell ref="JY8:JZ8"/>
    <mergeCell ref="KA8:KB8"/>
    <mergeCell ref="KC8:KD8"/>
    <mergeCell ref="KE8:KF8"/>
    <mergeCell ref="KG8:KH8"/>
    <mergeCell ref="KI8:KJ8"/>
    <mergeCell ref="KK8:KL8"/>
    <mergeCell ref="KM8:KN8"/>
    <mergeCell ref="KO8:KP8"/>
    <mergeCell ref="KQ8:KR8"/>
    <mergeCell ref="IC8:ID8"/>
    <mergeCell ref="IE8:IF8"/>
    <mergeCell ref="IG8:IH8"/>
    <mergeCell ref="II8:IJ8"/>
    <mergeCell ref="IK8:IL8"/>
    <mergeCell ref="IM8:IN8"/>
    <mergeCell ref="IO8:IP8"/>
    <mergeCell ref="IQ8:IR8"/>
    <mergeCell ref="IS8:IT8"/>
    <mergeCell ref="IU8:IV8"/>
    <mergeCell ref="IW8:IX8"/>
    <mergeCell ref="IY8:IZ8"/>
    <mergeCell ref="JA8:JB8"/>
    <mergeCell ref="JC8:JD8"/>
    <mergeCell ref="JE8:JF8"/>
    <mergeCell ref="JG8:JH8"/>
    <mergeCell ref="JI8:JJ8"/>
    <mergeCell ref="LA8:LB8"/>
    <mergeCell ref="LC8:LD8"/>
    <mergeCell ref="LE8:LF8"/>
    <mergeCell ref="CU6:CV6"/>
    <mergeCell ref="CW6:CX6"/>
    <mergeCell ref="CY6:CZ6"/>
    <mergeCell ref="DA6:DB6"/>
    <mergeCell ref="DC6:DD6"/>
    <mergeCell ref="DE6:DF6"/>
    <mergeCell ref="DG6:DH6"/>
    <mergeCell ref="DI6:DJ6"/>
    <mergeCell ref="DK6:DL6"/>
    <mergeCell ref="DM6:DN6"/>
    <mergeCell ref="DO6:DP6"/>
    <mergeCell ref="DQ6:DR6"/>
    <mergeCell ref="DS6:DT6"/>
    <mergeCell ref="DU6:DV6"/>
    <mergeCell ref="DW6:DX6"/>
    <mergeCell ref="DY6:DZ6"/>
    <mergeCell ref="EA6:EB6"/>
    <mergeCell ref="EC6:ED6"/>
    <mergeCell ref="EE6:EF6"/>
    <mergeCell ref="EG6:EH6"/>
    <mergeCell ref="EI6:EJ6"/>
    <mergeCell ref="EK6:EL6"/>
    <mergeCell ref="EM6:EN6"/>
    <mergeCell ref="EO6:EP6"/>
    <mergeCell ref="EQ6:ER6"/>
    <mergeCell ref="JK8:JL8"/>
    <mergeCell ref="JM8:JN8"/>
    <mergeCell ref="JO8:JP8"/>
    <mergeCell ref="JQ8:JR8"/>
    <mergeCell ref="ES6:ET6"/>
    <mergeCell ref="EU6:EV6"/>
    <mergeCell ref="EW6:EX6"/>
    <mergeCell ref="EY6:EZ6"/>
    <mergeCell ref="FA6:FB6"/>
    <mergeCell ref="FC6:FD6"/>
    <mergeCell ref="FE6:FF6"/>
    <mergeCell ref="FG6:FH6"/>
    <mergeCell ref="FI6:FJ6"/>
    <mergeCell ref="FK6:FL6"/>
    <mergeCell ref="FM6:FN6"/>
    <mergeCell ref="FO6:FP6"/>
    <mergeCell ref="FQ6:FR6"/>
    <mergeCell ref="FS6:FT6"/>
    <mergeCell ref="FU6:FV6"/>
    <mergeCell ref="FW6:FX6"/>
    <mergeCell ref="FY6:FZ6"/>
    <mergeCell ref="GA6:GB6"/>
    <mergeCell ref="GC6:GD6"/>
    <mergeCell ref="GE6:GF6"/>
    <mergeCell ref="GG6:GH6"/>
    <mergeCell ref="GI6:GJ6"/>
    <mergeCell ref="GK6:GL6"/>
    <mergeCell ref="GM6:GN6"/>
    <mergeCell ref="KI6:KJ6"/>
    <mergeCell ref="KK6:KL6"/>
    <mergeCell ref="KM6:KN6"/>
    <mergeCell ref="KO6:KP6"/>
    <mergeCell ref="KQ6:KR6"/>
    <mergeCell ref="KS6:KT6"/>
    <mergeCell ref="KU6:KV6"/>
    <mergeCell ref="KW6:KX6"/>
    <mergeCell ref="KY6:KZ6"/>
    <mergeCell ref="LA6:LB6"/>
    <mergeCell ref="GO6:GP6"/>
    <mergeCell ref="GQ6:GR6"/>
    <mergeCell ref="GS6:GT6"/>
    <mergeCell ref="GU6:GV6"/>
    <mergeCell ref="GW6:GX6"/>
    <mergeCell ref="GY6:GZ6"/>
    <mergeCell ref="HA6:HB6"/>
    <mergeCell ref="HC6:HD6"/>
    <mergeCell ref="HE6:HF6"/>
    <mergeCell ref="HG6:HH6"/>
    <mergeCell ref="HI6:HJ6"/>
    <mergeCell ref="HK6:HL6"/>
    <mergeCell ref="HM6:HN6"/>
    <mergeCell ref="HO6:HP6"/>
    <mergeCell ref="HQ6:HR6"/>
    <mergeCell ref="LC6:LD6"/>
    <mergeCell ref="LE6:LF6"/>
    <mergeCell ref="LG6:LH6"/>
    <mergeCell ref="LI6:LJ6"/>
    <mergeCell ref="LY6:LZ6"/>
    <mergeCell ref="MA6:MB6"/>
    <mergeCell ref="MC6:MD6"/>
    <mergeCell ref="ME6:MF6"/>
    <mergeCell ref="MG6:MH6"/>
    <mergeCell ref="MI6:MJ6"/>
    <mergeCell ref="LK6:LL6"/>
    <mergeCell ref="LM6:LN6"/>
    <mergeCell ref="LO6:LP6"/>
    <mergeCell ref="LQ6:LR6"/>
    <mergeCell ref="LS6:LT6"/>
    <mergeCell ref="LU6:LV6"/>
    <mergeCell ref="LW6:LX6"/>
    <mergeCell ref="HS6:HT6"/>
    <mergeCell ref="HU6:HV6"/>
    <mergeCell ref="HW6:HX6"/>
    <mergeCell ref="HY6:HZ6"/>
    <mergeCell ref="IA6:IB6"/>
    <mergeCell ref="IC6:ID6"/>
    <mergeCell ref="IE6:IF6"/>
    <mergeCell ref="IG6:IH6"/>
    <mergeCell ref="II6:IJ6"/>
    <mergeCell ref="IK6:IL6"/>
    <mergeCell ref="IM6:IN6"/>
    <mergeCell ref="IO6:IP6"/>
    <mergeCell ref="IQ6:IR6"/>
    <mergeCell ref="IS6:IT6"/>
    <mergeCell ref="IU6:IV6"/>
    <mergeCell ref="IW6:IX6"/>
    <mergeCell ref="IY6:IZ6"/>
    <mergeCell ref="JA6:JB6"/>
    <mergeCell ref="JC6:JD6"/>
    <mergeCell ref="JE6:JF6"/>
    <mergeCell ref="JG6:JH6"/>
    <mergeCell ref="JI6:JJ6"/>
    <mergeCell ref="JK6:JL6"/>
    <mergeCell ref="JM6:JN6"/>
    <mergeCell ref="JO6:JP6"/>
    <mergeCell ref="JQ6:JR6"/>
    <mergeCell ref="JS6:JT6"/>
    <mergeCell ref="JU6:JV6"/>
    <mergeCell ref="JW6:JX6"/>
    <mergeCell ref="JY6:JZ6"/>
    <mergeCell ref="KA6:KB6"/>
    <mergeCell ref="KC6:KD6"/>
    <mergeCell ref="KE6:KF6"/>
    <mergeCell ref="KG6:KH6"/>
    <mergeCell ref="O6:P6"/>
    <mergeCell ref="Q6:R6"/>
    <mergeCell ref="S6:T6"/>
    <mergeCell ref="U6:V6"/>
    <mergeCell ref="W6:X6"/>
    <mergeCell ref="Y6:Z6"/>
    <mergeCell ref="AA6:AB6"/>
    <mergeCell ref="AC6:AD6"/>
    <mergeCell ref="AE6:AF6"/>
    <mergeCell ref="AG6:AH6"/>
    <mergeCell ref="AI6:AJ6"/>
    <mergeCell ref="AK6:AL6"/>
    <mergeCell ref="AM6:AN6"/>
    <mergeCell ref="AO6:AP6"/>
    <mergeCell ref="AQ6:AR6"/>
    <mergeCell ref="AS6:AT6"/>
    <mergeCell ref="AU6:AV6"/>
    <mergeCell ref="AW6:AX6"/>
    <mergeCell ref="AY6:AZ6"/>
    <mergeCell ref="BA6:BB6"/>
    <mergeCell ref="BC6:BD6"/>
    <mergeCell ref="BE6:BF6"/>
    <mergeCell ref="BG6:BH6"/>
    <mergeCell ref="BI6:BJ6"/>
    <mergeCell ref="BK6:BL6"/>
    <mergeCell ref="BM6:BN6"/>
    <mergeCell ref="BO6:BP6"/>
    <mergeCell ref="BQ6:BR6"/>
    <mergeCell ref="BS6:BT6"/>
    <mergeCell ref="BU6:BV6"/>
    <mergeCell ref="BW6:BX6"/>
    <mergeCell ref="BY6:BZ6"/>
    <mergeCell ref="CA6:CB6"/>
    <mergeCell ref="CC6:CD6"/>
    <mergeCell ref="CE6:CF6"/>
    <mergeCell ref="CG6:CH6"/>
    <mergeCell ref="CI6:CJ6"/>
    <mergeCell ref="CK6:CL6"/>
    <mergeCell ref="CM6:CN6"/>
    <mergeCell ref="CO6:CP6"/>
    <mergeCell ref="CQ6:CR6"/>
    <mergeCell ref="CS6:CT6"/>
    <mergeCell ref="D2:F2"/>
    <mergeCell ref="C4:E4"/>
    <mergeCell ref="C5:E5"/>
    <mergeCell ref="G6:H6"/>
    <mergeCell ref="I6:J6"/>
    <mergeCell ref="K6:L6"/>
    <mergeCell ref="M6:N6"/>
    <mergeCell ref="KO7:KP7"/>
    <mergeCell ref="KQ7:KR7"/>
    <mergeCell ref="GY7:GZ7"/>
    <mergeCell ref="HA7:HB7"/>
    <mergeCell ref="HC7:HD7"/>
    <mergeCell ref="HE7:HF7"/>
    <mergeCell ref="HG7:HH7"/>
    <mergeCell ref="HW7:HX7"/>
    <mergeCell ref="HY7:HZ7"/>
    <mergeCell ref="IA7:IB7"/>
    <mergeCell ref="IC7:ID7"/>
    <mergeCell ref="IE7:IF7"/>
    <mergeCell ref="IG7:IH7"/>
    <mergeCell ref="II7:IJ7"/>
    <mergeCell ref="IK7:IL7"/>
    <mergeCell ref="IM7:IN7"/>
    <mergeCell ref="IO7:IP7"/>
    <mergeCell ref="KS7:KT7"/>
    <mergeCell ref="KU7:KV7"/>
    <mergeCell ref="KW7:KX7"/>
    <mergeCell ref="KY7:KZ7"/>
    <mergeCell ref="LA7:LB7"/>
    <mergeCell ref="LC7:LD7"/>
    <mergeCell ref="LE7:LF7"/>
    <mergeCell ref="LG7:LH7"/>
    <mergeCell ref="LI7:LJ7"/>
    <mergeCell ref="LK7:LL7"/>
    <mergeCell ref="LM7:LN7"/>
    <mergeCell ref="LO7:LP7"/>
    <mergeCell ref="ME7:MF7"/>
    <mergeCell ref="MG7:MH7"/>
    <mergeCell ref="MI7:MJ7"/>
    <mergeCell ref="LY8:LZ8"/>
    <mergeCell ref="MA8:MB8"/>
    <mergeCell ref="MC8:MD8"/>
    <mergeCell ref="ME8:MF8"/>
    <mergeCell ref="MG8:MH8"/>
    <mergeCell ref="MI8:MJ8"/>
    <mergeCell ref="LQ7:LR7"/>
    <mergeCell ref="LS7:LT7"/>
    <mergeCell ref="LU7:LV7"/>
    <mergeCell ref="LW7:LX7"/>
    <mergeCell ref="LY7:LZ7"/>
    <mergeCell ref="MA7:MB7"/>
    <mergeCell ref="MC7:MD7"/>
    <mergeCell ref="KS8:KT8"/>
    <mergeCell ref="KU8:KV8"/>
    <mergeCell ref="KW8:KX8"/>
    <mergeCell ref="KY8:KZ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CA8:CB8"/>
    <mergeCell ref="CC8:CD8"/>
    <mergeCell ref="CE8:CF8"/>
    <mergeCell ref="CG8:CH8"/>
    <mergeCell ref="CI8:CJ8"/>
    <mergeCell ref="CK8:CL8"/>
    <mergeCell ref="CM8:CN8"/>
    <mergeCell ref="CO8:CP8"/>
    <mergeCell ref="CQ8:CR8"/>
    <mergeCell ref="CS8:CT8"/>
    <mergeCell ref="CU8:CV8"/>
    <mergeCell ref="CW8:CX8"/>
    <mergeCell ref="CY8:CZ8"/>
    <mergeCell ref="GU7:GV7"/>
    <mergeCell ref="GW7:GX7"/>
    <mergeCell ref="DO8:DP8"/>
    <mergeCell ref="DQ8:DR8"/>
    <mergeCell ref="DS8:DT8"/>
    <mergeCell ref="DU8:DV8"/>
    <mergeCell ref="DW8:DX8"/>
    <mergeCell ref="DY8:DZ8"/>
    <mergeCell ref="EA8:EB8"/>
    <mergeCell ref="EC8:ED8"/>
    <mergeCell ref="EE8:EF8"/>
    <mergeCell ref="EG8:EH8"/>
    <mergeCell ref="EI8:EJ8"/>
    <mergeCell ref="EK8:EL8"/>
    <mergeCell ref="EM8:EN8"/>
    <mergeCell ref="EO8:EP8"/>
    <mergeCell ref="EQ8:ER8"/>
    <mergeCell ref="CK7:CL7"/>
    <mergeCell ref="CM7:CN7"/>
    <mergeCell ref="KG7:KH7"/>
    <mergeCell ref="KI7:KJ7"/>
    <mergeCell ref="KK7:KL7"/>
    <mergeCell ref="KM7:KN7"/>
    <mergeCell ref="HI7:HJ7"/>
    <mergeCell ref="HK7:HL7"/>
    <mergeCell ref="HM7:HN7"/>
    <mergeCell ref="HO7:HP7"/>
    <mergeCell ref="HQ7:HR7"/>
    <mergeCell ref="HS7:HT7"/>
    <mergeCell ref="HU7:HV7"/>
    <mergeCell ref="BQ13:BR13"/>
    <mergeCell ref="BS13:BT13"/>
    <mergeCell ref="CU13:CV13"/>
    <mergeCell ref="CW13:CX13"/>
    <mergeCell ref="CU12:CV12"/>
    <mergeCell ref="CW12:CX12"/>
    <mergeCell ref="GA13:GB13"/>
    <mergeCell ref="GC13:GD13"/>
    <mergeCell ref="GE13:GF13"/>
    <mergeCell ref="GG13:GH13"/>
    <mergeCell ref="GI13:GJ13"/>
    <mergeCell ref="GK13:GL13"/>
    <mergeCell ref="GM13:GN13"/>
    <mergeCell ref="GO13:GP13"/>
    <mergeCell ref="GQ13:GR13"/>
    <mergeCell ref="GS13:GT13"/>
    <mergeCell ref="GU13:GV13"/>
    <mergeCell ref="IQ7:IR7"/>
    <mergeCell ref="IS7:IT7"/>
    <mergeCell ref="IU7:IV7"/>
    <mergeCell ref="IW7:IX7"/>
    <mergeCell ref="BW13:BX13"/>
    <mergeCell ref="BY13:BZ13"/>
    <mergeCell ref="CA13:CB13"/>
    <mergeCell ref="CC13:CD13"/>
    <mergeCell ref="CE13:CF13"/>
    <mergeCell ref="CG13:CH13"/>
    <mergeCell ref="BW12:BX12"/>
    <mergeCell ref="BY12:BZ12"/>
    <mergeCell ref="CA12:CB12"/>
    <mergeCell ref="CC12:CD12"/>
    <mergeCell ref="CE12:CF12"/>
    <mergeCell ref="CG12:CH12"/>
    <mergeCell ref="CI12:CJ12"/>
    <mergeCell ref="JY7:JZ7"/>
    <mergeCell ref="KA7:KB7"/>
    <mergeCell ref="KC7:KD7"/>
    <mergeCell ref="KE7:KF7"/>
    <mergeCell ref="IY7:IZ7"/>
    <mergeCell ref="JA7:JB7"/>
    <mergeCell ref="JC7:JD7"/>
    <mergeCell ref="JE7:JF7"/>
    <mergeCell ref="JG7:JH7"/>
    <mergeCell ref="JI7:JJ7"/>
    <mergeCell ref="JK7:JL7"/>
    <mergeCell ref="JM7:JN7"/>
    <mergeCell ref="JO7:JP7"/>
    <mergeCell ref="JQ7:JR7"/>
    <mergeCell ref="JS7:JT7"/>
    <mergeCell ref="JU7:JV7"/>
    <mergeCell ref="JW7:JX7"/>
    <mergeCell ref="BW8:BX8"/>
    <mergeCell ref="BY8:BZ8"/>
    <mergeCell ref="W12:X12"/>
    <mergeCell ref="Y12:Z12"/>
    <mergeCell ref="AA12:AB12"/>
    <mergeCell ref="AC12:AD12"/>
    <mergeCell ref="AE12:AF12"/>
    <mergeCell ref="AG12:AH12"/>
    <mergeCell ref="AI12:AJ12"/>
    <mergeCell ref="AK12:AL12"/>
    <mergeCell ref="AM12:AN12"/>
    <mergeCell ref="AO12:AP12"/>
    <mergeCell ref="AQ12:AR12"/>
    <mergeCell ref="AS12:AT12"/>
    <mergeCell ref="AU12:AV12"/>
    <mergeCell ref="I13:J13"/>
    <mergeCell ref="K13:L13"/>
    <mergeCell ref="M13:N13"/>
    <mergeCell ref="O13:P13"/>
    <mergeCell ref="AW12:AX12"/>
    <mergeCell ref="AY12:AZ12"/>
    <mergeCell ref="BA12:BB12"/>
    <mergeCell ref="BC12:BD12"/>
    <mergeCell ref="BE12:BF12"/>
    <mergeCell ref="BG12:BH12"/>
    <mergeCell ref="BI12:BJ12"/>
    <mergeCell ref="BK12:BL12"/>
    <mergeCell ref="BM12:BN12"/>
    <mergeCell ref="BO12:BP12"/>
    <mergeCell ref="BQ12:BR12"/>
    <mergeCell ref="BS12:BT12"/>
    <mergeCell ref="BU12:BV12"/>
    <mergeCell ref="CM13:CN13"/>
    <mergeCell ref="CO13:CP13"/>
    <mergeCell ref="CQ13:CR13"/>
    <mergeCell ref="CS13:CT13"/>
    <mergeCell ref="CK12:CL12"/>
    <mergeCell ref="CM12:CN12"/>
    <mergeCell ref="CO12:CP12"/>
    <mergeCell ref="CQ12:CR12"/>
    <mergeCell ref="CS12:CT12"/>
    <mergeCell ref="BC13:BD13"/>
    <mergeCell ref="BE13:BF13"/>
    <mergeCell ref="BG13:BH13"/>
    <mergeCell ref="BI13:BJ13"/>
    <mergeCell ref="BK13:BL13"/>
    <mergeCell ref="BM13:BN13"/>
    <mergeCell ref="BO13:BP13"/>
    <mergeCell ref="CI13:CJ13"/>
    <mergeCell ref="CK13:CL13"/>
    <mergeCell ref="BU13:BV13"/>
    <mergeCell ref="C12:E12"/>
    <mergeCell ref="I12:J12"/>
    <mergeCell ref="K12:L12"/>
    <mergeCell ref="M12:N12"/>
    <mergeCell ref="O12:P12"/>
    <mergeCell ref="Q12:R12"/>
    <mergeCell ref="Q13:R13"/>
    <mergeCell ref="C13:E13"/>
    <mergeCell ref="C14:E14"/>
    <mergeCell ref="G14:H14"/>
    <mergeCell ref="I14:J14"/>
    <mergeCell ref="K14:L14"/>
    <mergeCell ref="M14:N14"/>
    <mergeCell ref="O14:P14"/>
    <mergeCell ref="Q14:R14"/>
    <mergeCell ref="S14:T14"/>
    <mergeCell ref="U14:V14"/>
    <mergeCell ref="G12:H12"/>
    <mergeCell ref="G13:H13"/>
    <mergeCell ref="S12:T12"/>
    <mergeCell ref="U12:V12"/>
    <mergeCell ref="W14:X14"/>
    <mergeCell ref="Y14:Z14"/>
    <mergeCell ref="AA14:AB14"/>
    <mergeCell ref="AC14:AD14"/>
    <mergeCell ref="AE14:AF14"/>
    <mergeCell ref="AG14:AH14"/>
    <mergeCell ref="AI14:AJ14"/>
    <mergeCell ref="AK14:AL14"/>
    <mergeCell ref="AM14:AN14"/>
    <mergeCell ref="AO14:AP14"/>
    <mergeCell ref="AQ14:AR14"/>
    <mergeCell ref="AS14:AT14"/>
    <mergeCell ref="AU14:AV14"/>
    <mergeCell ref="AW14:AX14"/>
    <mergeCell ref="AY14:AZ14"/>
    <mergeCell ref="BA14:BB14"/>
    <mergeCell ref="BC14:BD14"/>
    <mergeCell ref="BE14:BF14"/>
    <mergeCell ref="BG14:BH14"/>
    <mergeCell ref="BI14:BJ14"/>
    <mergeCell ref="BK14:BL14"/>
    <mergeCell ref="BM14:BN14"/>
    <mergeCell ref="BO14:BP14"/>
    <mergeCell ref="BQ14:BR14"/>
    <mergeCell ref="BS14:BT14"/>
    <mergeCell ref="BU14:BV14"/>
    <mergeCell ref="BW14:BX14"/>
    <mergeCell ref="BY14:BZ14"/>
    <mergeCell ref="CA14:CB14"/>
    <mergeCell ref="CC14:CD14"/>
    <mergeCell ref="CE14:CF14"/>
    <mergeCell ref="CG14:CH14"/>
    <mergeCell ref="CI14:CJ14"/>
    <mergeCell ref="CK14:CL14"/>
    <mergeCell ref="CM14:CN14"/>
    <mergeCell ref="CO14:CP14"/>
    <mergeCell ref="CQ14:CR14"/>
    <mergeCell ref="CS14:CT14"/>
    <mergeCell ref="CU14:CV14"/>
    <mergeCell ref="CW14:CX14"/>
    <mergeCell ref="CY14:CZ14"/>
    <mergeCell ref="DA14:DB14"/>
    <mergeCell ref="DC14:DD14"/>
    <mergeCell ref="DE14:DF14"/>
    <mergeCell ref="DG14:DH14"/>
    <mergeCell ref="DI14:DJ14"/>
    <mergeCell ref="DK14:DL14"/>
    <mergeCell ref="DM14:DN14"/>
    <mergeCell ref="DO14:DP14"/>
    <mergeCell ref="DQ14:DR14"/>
    <mergeCell ref="DS14:DT14"/>
    <mergeCell ref="DU14:DV14"/>
    <mergeCell ref="DW14:DX14"/>
    <mergeCell ref="DY14:DZ14"/>
    <mergeCell ref="EA14:EB14"/>
    <mergeCell ref="EC14:ED14"/>
    <mergeCell ref="EE14:EF14"/>
    <mergeCell ref="EG14:EH14"/>
    <mergeCell ref="EI14:EJ14"/>
    <mergeCell ref="EK14:EL14"/>
    <mergeCell ref="EM14:EN14"/>
    <mergeCell ref="EO14:EP14"/>
    <mergeCell ref="EQ14:ER14"/>
    <mergeCell ref="ES14:ET14"/>
    <mergeCell ref="EU14:EV14"/>
    <mergeCell ref="EW14:EX14"/>
    <mergeCell ref="EY14:EZ14"/>
    <mergeCell ref="IU14:IV14"/>
    <mergeCell ref="GW14:GX14"/>
    <mergeCell ref="GY14:GZ14"/>
    <mergeCell ref="HA14:HB14"/>
    <mergeCell ref="HC14:HD14"/>
    <mergeCell ref="HE14:HF14"/>
    <mergeCell ref="HG14:HH14"/>
    <mergeCell ref="HI14:HJ14"/>
    <mergeCell ref="HK14:HL14"/>
    <mergeCell ref="HM14:HN14"/>
    <mergeCell ref="HO14:HP14"/>
    <mergeCell ref="HQ14:HR14"/>
    <mergeCell ref="HS14:HT14"/>
    <mergeCell ref="HU14:HV14"/>
    <mergeCell ref="HW14:HX14"/>
    <mergeCell ref="HY14:HZ14"/>
    <mergeCell ref="IW14:IX14"/>
    <mergeCell ref="IY14:IZ14"/>
    <mergeCell ref="JA14:JB14"/>
    <mergeCell ref="JC14:JD14"/>
    <mergeCell ref="JE14:JF14"/>
    <mergeCell ref="JG14:JH14"/>
    <mergeCell ref="JI14:JJ14"/>
    <mergeCell ref="JK14:JL14"/>
    <mergeCell ref="JM14:JN14"/>
    <mergeCell ref="JO14:JP14"/>
    <mergeCell ref="JQ14:JR14"/>
    <mergeCell ref="JS14:JT14"/>
    <mergeCell ref="JU14:JV14"/>
    <mergeCell ref="JW14:JX14"/>
    <mergeCell ref="JY14:JZ14"/>
    <mergeCell ref="KA14:KB14"/>
    <mergeCell ref="KC14:KD14"/>
    <mergeCell ref="KE14:KF14"/>
    <mergeCell ref="KG14:KH14"/>
    <mergeCell ref="KI14:KJ14"/>
    <mergeCell ref="KK14:KL14"/>
    <mergeCell ref="KM14:KN14"/>
    <mergeCell ref="KO14:KP14"/>
    <mergeCell ref="KQ14:KR14"/>
    <mergeCell ref="KS14:KT14"/>
    <mergeCell ref="KU14:KV14"/>
    <mergeCell ref="KW14:KX14"/>
    <mergeCell ref="LM14:LN14"/>
    <mergeCell ref="LO14:LP14"/>
    <mergeCell ref="LQ14:LR14"/>
    <mergeCell ref="LS14:LT14"/>
    <mergeCell ref="LU14:LV14"/>
    <mergeCell ref="LW14:LX14"/>
    <mergeCell ref="LY14:LZ14"/>
    <mergeCell ref="MA14:MB14"/>
    <mergeCell ref="KY14:KZ14"/>
    <mergeCell ref="LA14:LB14"/>
    <mergeCell ref="LC14:LD14"/>
    <mergeCell ref="LE14:LF14"/>
    <mergeCell ref="LG14:LH14"/>
    <mergeCell ref="LI14:LJ14"/>
    <mergeCell ref="LK14:LL14"/>
    <mergeCell ref="FA14:FB14"/>
    <mergeCell ref="FC14:FD14"/>
    <mergeCell ref="FE14:FF14"/>
    <mergeCell ref="FG14:FH14"/>
    <mergeCell ref="FI14:FJ14"/>
    <mergeCell ref="FK14:FL14"/>
    <mergeCell ref="FM14:FN14"/>
    <mergeCell ref="FO14:FP14"/>
    <mergeCell ref="FQ14:FR14"/>
    <mergeCell ref="FS14:FT14"/>
    <mergeCell ref="FU14:FV14"/>
    <mergeCell ref="FW14:FX14"/>
    <mergeCell ref="FY14:FZ14"/>
    <mergeCell ref="GA14:GB14"/>
    <mergeCell ref="GC14:GD14"/>
    <mergeCell ref="GE14:GF14"/>
    <mergeCell ref="GG14:GH14"/>
    <mergeCell ref="GI14:GJ14"/>
    <mergeCell ref="GK14:GL14"/>
    <mergeCell ref="GM14:GN14"/>
    <mergeCell ref="GO14:GP14"/>
    <mergeCell ref="GQ14:GR14"/>
    <mergeCell ref="GS14:GT14"/>
    <mergeCell ref="GU14:GV14"/>
    <mergeCell ref="IA14:IB14"/>
    <mergeCell ref="IC14:ID14"/>
    <mergeCell ref="IE14:IF14"/>
    <mergeCell ref="IG14:IH14"/>
    <mergeCell ref="II14:IJ14"/>
    <mergeCell ref="IK14:IL14"/>
    <mergeCell ref="IM14:IN14"/>
    <mergeCell ref="IO14:IP14"/>
    <mergeCell ref="IQ14:IR14"/>
    <mergeCell ref="IS14:IT14"/>
    <mergeCell ref="KI13:KJ13"/>
    <mergeCell ref="KK13:KL13"/>
    <mergeCell ref="JU13:JV13"/>
    <mergeCell ref="JW13:JX13"/>
    <mergeCell ref="JY13:JZ13"/>
    <mergeCell ref="KA13:KB13"/>
    <mergeCell ref="KC13:KD13"/>
    <mergeCell ref="KE13:KF13"/>
    <mergeCell ref="KG13:KH13"/>
    <mergeCell ref="IE13:IF13"/>
    <mergeCell ref="IG13:IH13"/>
    <mergeCell ref="II13:IJ13"/>
    <mergeCell ref="IK13:IL13"/>
    <mergeCell ref="IM13:IN13"/>
    <mergeCell ref="IO13:IP13"/>
    <mergeCell ref="IQ13:IR13"/>
    <mergeCell ref="IS13:IT13"/>
    <mergeCell ref="IU13:IV13"/>
    <mergeCell ref="IW13:IX13"/>
    <mergeCell ref="IY13:IZ13"/>
    <mergeCell ref="JA13:JB13"/>
    <mergeCell ref="JC13:JD13"/>
    <mergeCell ref="IW12:IX12"/>
    <mergeCell ref="IY12:IZ12"/>
    <mergeCell ref="GW13:GX13"/>
    <mergeCell ref="GY13:GZ13"/>
    <mergeCell ref="HA13:HB13"/>
    <mergeCell ref="HC13:HD13"/>
    <mergeCell ref="HE13:HF13"/>
    <mergeCell ref="HG13:HH13"/>
    <mergeCell ref="HI13:HJ13"/>
    <mergeCell ref="HK13:HL13"/>
    <mergeCell ref="HM13:HN13"/>
    <mergeCell ref="HO13:HP13"/>
    <mergeCell ref="HQ13:HR13"/>
    <mergeCell ref="HS13:HT13"/>
    <mergeCell ref="HU13:HV13"/>
    <mergeCell ref="HW13:HX13"/>
    <mergeCell ref="HY13:HZ13"/>
    <mergeCell ref="IA13:IB13"/>
    <mergeCell ref="IC13:ID13"/>
    <mergeCell ref="FW8:FX8"/>
    <mergeCell ref="FY8:FZ8"/>
    <mergeCell ref="JE13:JF13"/>
    <mergeCell ref="JG13:JH13"/>
    <mergeCell ref="JI13:JJ13"/>
    <mergeCell ref="JK13:JL13"/>
    <mergeCell ref="JM13:JN13"/>
    <mergeCell ref="JO13:JP13"/>
    <mergeCell ref="JQ13:JR13"/>
    <mergeCell ref="JS13:JT13"/>
    <mergeCell ref="HI8:HJ8"/>
    <mergeCell ref="HK8:HL8"/>
    <mergeCell ref="GU8:GV8"/>
    <mergeCell ref="GW8:GX8"/>
    <mergeCell ref="GY8:GZ8"/>
    <mergeCell ref="HA8:HB8"/>
    <mergeCell ref="HC8:HD8"/>
    <mergeCell ref="HE8:HF8"/>
    <mergeCell ref="HG8:HH8"/>
    <mergeCell ref="HW12:HX12"/>
    <mergeCell ref="HY12:HZ12"/>
    <mergeCell ref="IA12:IB12"/>
    <mergeCell ref="IC12:ID12"/>
    <mergeCell ref="IE12:IF12"/>
    <mergeCell ref="IG12:IH12"/>
    <mergeCell ref="II12:IJ12"/>
    <mergeCell ref="IK12:IL12"/>
    <mergeCell ref="IM12:IN12"/>
    <mergeCell ref="IO12:IP12"/>
    <mergeCell ref="IQ12:IR12"/>
    <mergeCell ref="IS12:IT12"/>
    <mergeCell ref="IU12:IV12"/>
    <mergeCell ref="GA8:GB8"/>
    <mergeCell ref="GC8:GD8"/>
    <mergeCell ref="GE8:GF8"/>
    <mergeCell ref="GG8:GH8"/>
    <mergeCell ref="GI8:GJ8"/>
    <mergeCell ref="GK8:GL8"/>
    <mergeCell ref="GM8:GN8"/>
    <mergeCell ref="GO8:GP8"/>
    <mergeCell ref="GQ8:GR8"/>
    <mergeCell ref="GS8:GT8"/>
    <mergeCell ref="DA8:DB8"/>
    <mergeCell ref="DC8:DD8"/>
    <mergeCell ref="DE8:DF8"/>
    <mergeCell ref="DG8:DH8"/>
    <mergeCell ref="DI8:DJ8"/>
    <mergeCell ref="DK8:DL8"/>
    <mergeCell ref="DM8:DN8"/>
    <mergeCell ref="ES8:ET8"/>
    <mergeCell ref="EU8:EV8"/>
    <mergeCell ref="EW8:EX8"/>
    <mergeCell ref="EY8:EZ8"/>
    <mergeCell ref="FA8:FB8"/>
    <mergeCell ref="FC8:FD8"/>
    <mergeCell ref="FE8:FF8"/>
    <mergeCell ref="FG8:FH8"/>
    <mergeCell ref="FI8:FJ8"/>
    <mergeCell ref="FK8:FL8"/>
    <mergeCell ref="FM8:FN8"/>
    <mergeCell ref="FO8:FP8"/>
    <mergeCell ref="FQ8:FR8"/>
    <mergeCell ref="FS8:FT8"/>
    <mergeCell ref="FU8:FV8"/>
    <mergeCell ref="CY12:CZ12"/>
    <mergeCell ref="DA12:DB12"/>
    <mergeCell ref="DC12:DD12"/>
    <mergeCell ref="DE12:DF12"/>
    <mergeCell ref="DG12:DH12"/>
    <mergeCell ref="DI12:DJ12"/>
    <mergeCell ref="DK12:DL12"/>
    <mergeCell ref="DM12:DN12"/>
    <mergeCell ref="DO12:DP12"/>
    <mergeCell ref="DQ12:DR12"/>
    <mergeCell ref="DS12:DT12"/>
    <mergeCell ref="DU12:DV12"/>
    <mergeCell ref="DW12:DX12"/>
    <mergeCell ref="DY12:DZ12"/>
    <mergeCell ref="EA12:EB12"/>
    <mergeCell ref="EC12:ED12"/>
    <mergeCell ref="EE12:EF12"/>
    <mergeCell ref="EG12:EH12"/>
    <mergeCell ref="EI12:EJ12"/>
    <mergeCell ref="EK12:EL12"/>
    <mergeCell ref="EM12:EN12"/>
    <mergeCell ref="EO12:EP12"/>
    <mergeCell ref="EQ12:ER12"/>
    <mergeCell ref="ES12:ET12"/>
    <mergeCell ref="EU12:EV12"/>
    <mergeCell ref="EW12:EX12"/>
    <mergeCell ref="EY12:EZ12"/>
    <mergeCell ref="FA12:FB12"/>
    <mergeCell ref="FC12:FD12"/>
    <mergeCell ref="FE12:FF12"/>
    <mergeCell ref="FG12:FH12"/>
    <mergeCell ref="FI12:FJ12"/>
    <mergeCell ref="FK12:FL12"/>
    <mergeCell ref="FM12:FN12"/>
    <mergeCell ref="FO12:FP12"/>
    <mergeCell ref="FQ12:FR12"/>
    <mergeCell ref="FS12:FT12"/>
    <mergeCell ref="FU12:FV12"/>
    <mergeCell ref="FW12:FX12"/>
    <mergeCell ref="FY12:FZ12"/>
    <mergeCell ref="GA12:GB12"/>
    <mergeCell ref="GC12:GD12"/>
    <mergeCell ref="GE12:GF12"/>
    <mergeCell ref="GG12:GH12"/>
    <mergeCell ref="GI12:GJ12"/>
    <mergeCell ref="GK12:GL12"/>
    <mergeCell ref="GM12:GN12"/>
    <mergeCell ref="GO12:GP12"/>
    <mergeCell ref="GQ12:GR12"/>
    <mergeCell ref="LA12:LB12"/>
    <mergeCell ref="LC12:LD12"/>
    <mergeCell ref="GS12:GT12"/>
    <mergeCell ref="GU12:GV12"/>
    <mergeCell ref="GW12:GX12"/>
    <mergeCell ref="GY12:GZ12"/>
    <mergeCell ref="HA12:HB12"/>
    <mergeCell ref="HC12:HD12"/>
    <mergeCell ref="HE12:HF12"/>
    <mergeCell ref="HG12:HH12"/>
    <mergeCell ref="HI12:HJ12"/>
    <mergeCell ref="HK12:HL12"/>
    <mergeCell ref="HM12:HN12"/>
    <mergeCell ref="HO12:HP12"/>
    <mergeCell ref="HQ12:HR12"/>
    <mergeCell ref="HS12:HT12"/>
    <mergeCell ref="HU12:HV12"/>
    <mergeCell ref="LE12:LF12"/>
    <mergeCell ref="LG12:LH12"/>
    <mergeCell ref="LI12:LJ12"/>
    <mergeCell ref="LK12:LL12"/>
    <mergeCell ref="LM12:LN12"/>
    <mergeCell ref="MC12:MD12"/>
    <mergeCell ref="ME12:MF12"/>
    <mergeCell ref="MG12:MH12"/>
    <mergeCell ref="MI12:MJ12"/>
    <mergeCell ref="LO12:LP12"/>
    <mergeCell ref="LQ12:LR12"/>
    <mergeCell ref="LS12:LT12"/>
    <mergeCell ref="LU12:LV12"/>
    <mergeCell ref="LW12:LX12"/>
    <mergeCell ref="LY12:LZ12"/>
    <mergeCell ref="MA12:MB12"/>
    <mergeCell ref="KM12:KN12"/>
    <mergeCell ref="KO12:KP12"/>
    <mergeCell ref="KQ12:KR12"/>
    <mergeCell ref="KS12:KT12"/>
    <mergeCell ref="KU12:KV12"/>
    <mergeCell ref="KW12:KX12"/>
    <mergeCell ref="KY12:KZ12"/>
    <mergeCell ref="KM13:KN13"/>
    <mergeCell ref="KO13:KP13"/>
    <mergeCell ref="KQ13:KR13"/>
    <mergeCell ref="KS13:KT13"/>
    <mergeCell ref="KU13:KV13"/>
    <mergeCell ref="KW13:KX13"/>
    <mergeCell ref="KY13:KZ13"/>
    <mergeCell ref="LO13:LP13"/>
    <mergeCell ref="LQ13:LR13"/>
    <mergeCell ref="LS13:LT13"/>
    <mergeCell ref="LU13:LV13"/>
    <mergeCell ref="LW13:LX13"/>
    <mergeCell ref="LY13:LZ13"/>
    <mergeCell ref="MA13:MB13"/>
    <mergeCell ref="LA13:LB13"/>
    <mergeCell ref="LC13:LD13"/>
    <mergeCell ref="LE13:LF13"/>
    <mergeCell ref="LG13:LH13"/>
    <mergeCell ref="LI13:LJ13"/>
    <mergeCell ref="LK13:LL13"/>
    <mergeCell ref="LM13:LN13"/>
    <mergeCell ref="JA12:JB12"/>
    <mergeCell ref="JC12:JD12"/>
    <mergeCell ref="JE12:JF12"/>
    <mergeCell ref="JG12:JH12"/>
    <mergeCell ref="JI12:JJ12"/>
    <mergeCell ref="JK12:JL12"/>
    <mergeCell ref="JM12:JN12"/>
    <mergeCell ref="JO12:JP12"/>
    <mergeCell ref="JQ12:JR12"/>
    <mergeCell ref="JS12:JT12"/>
    <mergeCell ref="JU12:JV12"/>
    <mergeCell ref="JW12:JX12"/>
    <mergeCell ref="JY12:JZ12"/>
    <mergeCell ref="KA12:KB12"/>
    <mergeCell ref="KC12:KD12"/>
    <mergeCell ref="KE12:KF12"/>
    <mergeCell ref="KG12:KH12"/>
    <mergeCell ref="KI12:KJ12"/>
    <mergeCell ref="KK12:KL12"/>
    <mergeCell ref="AG13:AH13"/>
    <mergeCell ref="AI13:AJ13"/>
    <mergeCell ref="S13:T13"/>
    <mergeCell ref="U13:V13"/>
    <mergeCell ref="W13:X13"/>
    <mergeCell ref="Y13:Z13"/>
    <mergeCell ref="AA13:AB13"/>
    <mergeCell ref="AC13:AD13"/>
    <mergeCell ref="AE13:AF13"/>
    <mergeCell ref="AK13:AL13"/>
    <mergeCell ref="AM13:AN13"/>
    <mergeCell ref="AO13:AP13"/>
    <mergeCell ref="AQ13:AR13"/>
    <mergeCell ref="AS13:AT13"/>
    <mergeCell ref="AU13:AV13"/>
    <mergeCell ref="AW13:AX13"/>
    <mergeCell ref="AY13:AZ13"/>
    <mergeCell ref="BA13:BB13"/>
    <mergeCell ref="CY13:CZ13"/>
    <mergeCell ref="DA13:DB13"/>
    <mergeCell ref="DC13:DD13"/>
    <mergeCell ref="DE13:DF13"/>
    <mergeCell ref="DG13:DH13"/>
    <mergeCell ref="DI13:DJ13"/>
    <mergeCell ref="DK13:DL13"/>
    <mergeCell ref="DM13:DN13"/>
    <mergeCell ref="DO13:DP13"/>
    <mergeCell ref="DQ13:DR13"/>
    <mergeCell ref="DS13:DT13"/>
    <mergeCell ref="DU13:DV13"/>
    <mergeCell ref="FE13:FF13"/>
    <mergeCell ref="FG13:FH13"/>
    <mergeCell ref="FI13:FJ13"/>
    <mergeCell ref="FK13:FL13"/>
    <mergeCell ref="FM13:FN13"/>
    <mergeCell ref="FO13:FP13"/>
    <mergeCell ref="FQ13:FR13"/>
    <mergeCell ref="FS13:FT13"/>
    <mergeCell ref="FU13:FV13"/>
    <mergeCell ref="FW13:FX13"/>
    <mergeCell ref="FY13:FZ13"/>
    <mergeCell ref="DW13:DX13"/>
    <mergeCell ref="DY13:DZ13"/>
    <mergeCell ref="EA13:EB13"/>
    <mergeCell ref="EC13:ED13"/>
    <mergeCell ref="EE13:EF13"/>
    <mergeCell ref="EG13:EH13"/>
    <mergeCell ref="EI13:EJ13"/>
    <mergeCell ref="EK13:EL13"/>
    <mergeCell ref="EM13:EN13"/>
    <mergeCell ref="EO13:EP13"/>
    <mergeCell ref="EQ13:ER13"/>
    <mergeCell ref="ES13:ET13"/>
    <mergeCell ref="EU13:EV13"/>
    <mergeCell ref="EW13:EX13"/>
    <mergeCell ref="EY13:EZ13"/>
    <mergeCell ref="FA13:FB13"/>
    <mergeCell ref="FC13:FD13"/>
  </mergeCells>
  <conditionalFormatting sqref="G13:K14 M13:M14 O13:O14 Q13:Q14 S13:S14 U13:U14 W13:W14 Y13:Y14 CK13:CK14 CM13:CM14 CO13:CO14 CQ13:CQ14 CS13:CS14 CU13:CU14 CW13:CW14 CY13:CY14 DA13:DA14 DC13:DC14 DE13:DE14 DG13:DG14 DI13:DI14 DK13:DK14 DM13:DM14 DO13:DO14 DQ13:DQ14 DS13:DS14 DU13:DU14 DW13:DW14 DY13:DY14 EA13:EA14 EC13:EC14 EE13:EE14 EG13:EG14 EI13:EI14 EK13:EK14 EM13:EM14 EO13:EO14 EQ13:EQ14 ES13:ES14 EU13:EU14 EW13:EW14 EY13:EY14 FA13:FA14 FC13:FC14 FE13:FE14 FG13:FG14 FI13:FI14 FK13:FK14 FM13:FM14 FO13:FO14 FQ13:FQ14 FS13:FS14 FU13:FU14 FW13:FW14 FY13:FY14 GA13:GA14 GC13:GC14 GE13:GE14 GG13:GG14 GI13:GI14 GK13:GK14 GM13:GM14 GO13:GO14 GQ13:GQ14 GS13:GS14 GU13:GU14 GW13:GW14 GY13:GY14 HA13:HA14 HC13:HC14 HE13:HE14 HG13:HG14 HI13:HI14 HK13:HK14 HM13:HM14 HO13:HO14 HQ13:HQ14 HS13:HS14 HU13:HU14 HW13:HW14 HY13:HY14 IA13:IA14 IC13:IC14 IE13:IE14 IG13:IG14 II13:II14 IK13:IK14 IM13:IM14 IO13:IO14 IQ13:IQ14 IS13:IS14 IU13:IU14 IW13:IW14 IY13:IY14 JA13:JA14 JC13:JC14 JE13:JE14 JG13:JG14 JI13:JI14 JK13:JK14 JM13:JM14 JO13:JO14 JQ13:JQ14 JS13:JS14 JU13:JU14 JW13:JW14 JY13:JY14 KA13:KA14 KC13:KC14 KE13:KE14 KG13:KG14 KI13:KI14 KK13:KK14 KM13:KM14 KO13:KO14 KQ13:KQ14 KS13:KS14 KU13:KU14 KW13:KW14 KY13:KY14 LA13:LA14 LC13:LC14 LE13:LE14 LG13:LG14 LI13:LI14 LK13:LK14 LM13:LM14 LO13:LO14 LQ13:LQ14 LS13:LS14 LU13:LU14 LW13:LW14 LY13:LY14 MA13:MA14">
    <cfRule type="containsText" dxfId="3" priority="1" operator="containsText" text="OUI">
      <formula>NOT(ISERROR(SEARCH(("OUI"),(G13))))</formula>
    </cfRule>
    <cfRule type="containsText" dxfId="2" priority="2" operator="containsText" text="/">
      <formula>NOT(ISERROR(SEARCH(("/"),(G13))))</formula>
    </cfRule>
  </conditionalFormatting>
  <conditionalFormatting sqref="AA13:AA14 AC13:AC14 AE13:AE14 AG13:AG14 AI13:AI14 AK13:AK14 AM13:AM14 AO13:AO14 AQ13:AQ14 AS13:AS14 AU13:AU14 AW13:AW14 AY13:AY14 BA13:BA14 BC13:BC14 BE13:BE14 BG13:BG14 BI13:BI14 BK13:BK14 BM13:BM14 BO13:BO14 BQ13:BQ14 BS13:BS14 BU13:BU14 BW13:BW14 BY13:BY14 CA13:CA14 CC13:CC14 CE13:CE14 CG13:CG14 CI13:CI14">
    <cfRule type="containsText" dxfId="1" priority="3" operator="containsText" text="OUI">
      <formula>NOT(ISERROR(SEARCH(("OUI"),(AA13))))</formula>
    </cfRule>
    <cfRule type="containsText" dxfId="0" priority="4" operator="containsText" text="/">
      <formula>NOT(ISERROR(SEARCH(("/"),(AA13))))</formula>
    </cfRule>
  </conditionalFormatting>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baseColWidth="10" defaultColWidth="11.1640625" defaultRowHeight="15" customHeight="1" x14ac:dyDescent="0.2"/>
  <cols>
    <col min="1" max="1" width="10.83203125" customWidth="1"/>
    <col min="2" max="2" width="25.1640625" customWidth="1"/>
    <col min="3" max="26" width="10.83203125" customWidth="1"/>
  </cols>
  <sheetData>
    <row r="1" spans="1:26" ht="15" customHeight="1" x14ac:dyDescent="0.2">
      <c r="A1" s="137"/>
      <c r="B1" s="137"/>
      <c r="C1" s="137"/>
      <c r="D1" s="137"/>
      <c r="E1" s="137"/>
      <c r="F1" s="137"/>
      <c r="G1" s="137"/>
      <c r="H1" s="137"/>
      <c r="I1" s="137"/>
      <c r="J1" s="137"/>
      <c r="K1" s="137"/>
      <c r="L1" s="137"/>
      <c r="M1" s="137"/>
      <c r="N1" s="137"/>
      <c r="O1" s="137"/>
      <c r="P1" s="137"/>
      <c r="Q1" s="137"/>
      <c r="R1" s="137"/>
      <c r="S1" s="137"/>
      <c r="T1" s="137"/>
      <c r="U1" s="137"/>
      <c r="V1" s="137"/>
      <c r="W1" s="137"/>
      <c r="X1" s="137"/>
      <c r="Y1" s="137"/>
      <c r="Z1" s="137"/>
    </row>
    <row r="2" spans="1:26" ht="15" customHeight="1" x14ac:dyDescent="0.2">
      <c r="A2" s="137"/>
      <c r="B2" s="137"/>
      <c r="C2" s="137"/>
      <c r="D2" s="137"/>
      <c r="E2" s="137"/>
      <c r="F2" s="137"/>
      <c r="G2" s="137"/>
      <c r="H2" s="137"/>
      <c r="I2" s="137"/>
      <c r="J2" s="137"/>
      <c r="K2" s="137"/>
      <c r="L2" s="137"/>
      <c r="M2" s="137"/>
      <c r="N2" s="137"/>
      <c r="O2" s="137"/>
      <c r="P2" s="137"/>
      <c r="Q2" s="137"/>
      <c r="R2" s="137"/>
      <c r="S2" s="137"/>
      <c r="T2" s="137"/>
      <c r="U2" s="137"/>
      <c r="V2" s="137"/>
      <c r="W2" s="137"/>
      <c r="X2" s="137"/>
      <c r="Y2" s="137"/>
      <c r="Z2" s="137"/>
    </row>
    <row r="3" spans="1:26" ht="15" customHeight="1" x14ac:dyDescent="0.2">
      <c r="A3" s="137"/>
      <c r="B3" s="137"/>
      <c r="C3" s="137"/>
      <c r="D3" s="137"/>
      <c r="E3" s="137"/>
      <c r="F3" s="137"/>
      <c r="G3" s="137"/>
      <c r="H3" s="137"/>
      <c r="I3" s="137"/>
      <c r="J3" s="137"/>
      <c r="K3" s="137"/>
      <c r="L3" s="137"/>
      <c r="M3" s="137"/>
      <c r="N3" s="137"/>
      <c r="O3" s="137"/>
      <c r="P3" s="137"/>
      <c r="Q3" s="137"/>
      <c r="R3" s="137"/>
      <c r="S3" s="137"/>
      <c r="T3" s="137"/>
      <c r="U3" s="137"/>
      <c r="V3" s="137"/>
      <c r="W3" s="137"/>
      <c r="X3" s="137"/>
      <c r="Y3" s="137"/>
      <c r="Z3" s="137"/>
    </row>
    <row r="4" spans="1:26" ht="15" customHeight="1" x14ac:dyDescent="0.2">
      <c r="A4" s="148" t="s">
        <v>0</v>
      </c>
      <c r="B4" s="148" t="s">
        <v>1</v>
      </c>
      <c r="C4" s="148" t="s">
        <v>3919</v>
      </c>
      <c r="D4" s="148" t="s">
        <v>3920</v>
      </c>
      <c r="E4" s="148"/>
      <c r="F4" s="137"/>
      <c r="G4" s="137"/>
      <c r="H4" s="137"/>
      <c r="I4" s="137"/>
      <c r="J4" s="137"/>
      <c r="K4" s="137"/>
      <c r="L4" s="137"/>
      <c r="M4" s="137"/>
      <c r="N4" s="137"/>
      <c r="O4" s="137"/>
      <c r="P4" s="137"/>
      <c r="Q4" s="137"/>
      <c r="R4" s="137"/>
      <c r="S4" s="137"/>
      <c r="T4" s="137"/>
      <c r="U4" s="137"/>
      <c r="V4" s="137"/>
      <c r="W4" s="137"/>
      <c r="X4" s="137"/>
      <c r="Y4" s="137"/>
      <c r="Z4" s="137"/>
    </row>
    <row r="5" spans="1:26" ht="15" customHeight="1" x14ac:dyDescent="0.2">
      <c r="A5" s="57" t="s">
        <v>3921</v>
      </c>
      <c r="B5" s="57" t="s">
        <v>3922</v>
      </c>
      <c r="C5" s="57" t="s">
        <v>3923</v>
      </c>
      <c r="D5" s="257">
        <v>260</v>
      </c>
      <c r="E5" s="57"/>
      <c r="F5" s="137"/>
      <c r="G5" s="137"/>
      <c r="H5" s="137"/>
      <c r="I5" s="137"/>
      <c r="J5" s="137"/>
      <c r="K5" s="137"/>
      <c r="L5" s="137"/>
      <c r="M5" s="137"/>
      <c r="N5" s="137"/>
      <c r="O5" s="137"/>
      <c r="P5" s="137"/>
      <c r="Q5" s="137"/>
      <c r="R5" s="137"/>
      <c r="S5" s="137"/>
      <c r="T5" s="137"/>
      <c r="U5" s="137"/>
      <c r="V5" s="137"/>
      <c r="W5" s="137"/>
      <c r="X5" s="137"/>
      <c r="Y5" s="137"/>
      <c r="Z5" s="137"/>
    </row>
    <row r="6" spans="1:26" ht="15" customHeight="1" x14ac:dyDescent="0.2">
      <c r="A6" s="57" t="s">
        <v>3924</v>
      </c>
      <c r="B6" s="57" t="s">
        <v>3925</v>
      </c>
      <c r="C6" s="57" t="s">
        <v>3923</v>
      </c>
      <c r="D6" s="257">
        <v>150</v>
      </c>
      <c r="E6" s="57"/>
      <c r="F6" s="137"/>
      <c r="G6" s="137"/>
      <c r="H6" s="137"/>
      <c r="I6" s="137"/>
      <c r="J6" s="137"/>
      <c r="K6" s="137"/>
      <c r="L6" s="137"/>
      <c r="M6" s="137"/>
      <c r="N6" s="137"/>
      <c r="O6" s="137"/>
      <c r="P6" s="137"/>
      <c r="Q6" s="137"/>
      <c r="R6" s="137"/>
      <c r="S6" s="137"/>
      <c r="T6" s="137"/>
      <c r="U6" s="137"/>
      <c r="V6" s="137"/>
      <c r="W6" s="137"/>
      <c r="X6" s="137"/>
      <c r="Y6" s="137"/>
      <c r="Z6" s="137"/>
    </row>
    <row r="7" spans="1:26" ht="15" customHeight="1" x14ac:dyDescent="0.2">
      <c r="A7" s="57" t="s">
        <v>3926</v>
      </c>
      <c r="B7" s="57" t="s">
        <v>3927</v>
      </c>
      <c r="C7" s="57" t="s">
        <v>3923</v>
      </c>
      <c r="D7" s="257">
        <v>195</v>
      </c>
      <c r="E7" s="57"/>
      <c r="F7" s="137"/>
      <c r="G7" s="137"/>
      <c r="H7" s="137"/>
      <c r="I7" s="137"/>
      <c r="J7" s="137"/>
      <c r="K7" s="137"/>
      <c r="L7" s="137"/>
      <c r="M7" s="137"/>
      <c r="N7" s="137"/>
      <c r="O7" s="137"/>
      <c r="P7" s="137"/>
      <c r="Q7" s="137"/>
      <c r="R7" s="137"/>
      <c r="S7" s="137"/>
      <c r="T7" s="137"/>
      <c r="U7" s="137"/>
      <c r="V7" s="137"/>
      <c r="W7" s="137"/>
      <c r="X7" s="137"/>
      <c r="Y7" s="137"/>
      <c r="Z7" s="137"/>
    </row>
    <row r="8" spans="1:26" ht="15" customHeight="1" x14ac:dyDescent="0.2">
      <c r="A8" s="57" t="s">
        <v>3928</v>
      </c>
      <c r="B8" s="57" t="s">
        <v>3929</v>
      </c>
      <c r="C8" s="57" t="s">
        <v>3923</v>
      </c>
      <c r="D8" s="257">
        <v>350</v>
      </c>
      <c r="E8" s="57"/>
      <c r="F8" s="137"/>
      <c r="G8" s="137"/>
      <c r="H8" s="137"/>
      <c r="I8" s="137"/>
      <c r="J8" s="137"/>
      <c r="K8" s="137"/>
      <c r="L8" s="137"/>
      <c r="M8" s="137"/>
      <c r="N8" s="137"/>
      <c r="O8" s="137"/>
      <c r="P8" s="137"/>
      <c r="Q8" s="137"/>
      <c r="R8" s="137"/>
      <c r="S8" s="137"/>
      <c r="T8" s="137"/>
      <c r="U8" s="137"/>
      <c r="V8" s="137"/>
      <c r="W8" s="137"/>
      <c r="X8" s="137"/>
      <c r="Y8" s="137"/>
      <c r="Z8" s="137"/>
    </row>
    <row r="9" spans="1:26" ht="15" customHeight="1" x14ac:dyDescent="0.2">
      <c r="A9" s="57" t="s">
        <v>3930</v>
      </c>
      <c r="B9" s="57" t="s">
        <v>3931</v>
      </c>
      <c r="C9" s="57" t="s">
        <v>3932</v>
      </c>
      <c r="D9" s="257">
        <v>650</v>
      </c>
      <c r="E9" s="57"/>
      <c r="F9" s="137"/>
      <c r="G9" s="137"/>
      <c r="H9" s="137"/>
      <c r="I9" s="137"/>
      <c r="J9" s="137"/>
      <c r="K9" s="137"/>
      <c r="L9" s="137"/>
      <c r="M9" s="137"/>
      <c r="N9" s="137"/>
      <c r="O9" s="137"/>
      <c r="P9" s="137"/>
      <c r="Q9" s="137"/>
      <c r="R9" s="137"/>
      <c r="S9" s="137"/>
      <c r="T9" s="137"/>
      <c r="U9" s="137"/>
      <c r="V9" s="137"/>
      <c r="W9" s="137"/>
      <c r="X9" s="137"/>
      <c r="Y9" s="137"/>
      <c r="Z9" s="137"/>
    </row>
    <row r="10" spans="1:26" ht="15" customHeight="1" x14ac:dyDescent="0.2">
      <c r="A10" s="57" t="s">
        <v>3933</v>
      </c>
      <c r="B10" s="57" t="s">
        <v>3934</v>
      </c>
      <c r="C10" s="57" t="s">
        <v>3932</v>
      </c>
      <c r="D10" s="257">
        <v>360</v>
      </c>
      <c r="E10" s="57"/>
      <c r="F10" s="137"/>
      <c r="G10" s="137"/>
      <c r="H10" s="137"/>
      <c r="I10" s="137"/>
      <c r="J10" s="137"/>
      <c r="K10" s="137"/>
      <c r="L10" s="137"/>
      <c r="M10" s="137"/>
      <c r="N10" s="137"/>
      <c r="O10" s="137"/>
      <c r="P10" s="137"/>
      <c r="Q10" s="137"/>
      <c r="R10" s="137"/>
      <c r="S10" s="137"/>
      <c r="T10" s="137"/>
      <c r="U10" s="137"/>
      <c r="V10" s="137"/>
      <c r="W10" s="137"/>
      <c r="X10" s="137"/>
      <c r="Y10" s="137"/>
      <c r="Z10" s="137"/>
    </row>
    <row r="11" spans="1:26" ht="15" customHeight="1" x14ac:dyDescent="0.2">
      <c r="A11" s="57"/>
      <c r="B11" s="57"/>
      <c r="C11" s="57"/>
      <c r="D11" s="257">
        <v>0</v>
      </c>
      <c r="E11" s="57"/>
      <c r="F11" s="137"/>
      <c r="G11" s="137"/>
      <c r="H11" s="137"/>
      <c r="I11" s="137"/>
      <c r="J11" s="137"/>
      <c r="K11" s="137"/>
      <c r="L11" s="137"/>
      <c r="M11" s="137"/>
      <c r="N11" s="137"/>
      <c r="O11" s="137"/>
      <c r="P11" s="137"/>
      <c r="Q11" s="137"/>
      <c r="R11" s="137"/>
      <c r="S11" s="137"/>
      <c r="T11" s="137"/>
      <c r="U11" s="137"/>
      <c r="V11" s="137"/>
      <c r="W11" s="137"/>
      <c r="X11" s="137"/>
      <c r="Y11" s="137"/>
      <c r="Z11" s="137"/>
    </row>
    <row r="12" spans="1:26" ht="15" customHeight="1" x14ac:dyDescent="0.2">
      <c r="A12" s="57"/>
      <c r="B12" s="57"/>
      <c r="C12" s="57"/>
      <c r="D12" s="257">
        <v>0</v>
      </c>
      <c r="E12" s="57"/>
      <c r="F12" s="137"/>
      <c r="G12" s="137"/>
      <c r="H12" s="137"/>
      <c r="I12" s="137"/>
      <c r="J12" s="137"/>
      <c r="K12" s="137"/>
      <c r="L12" s="137"/>
      <c r="M12" s="137"/>
      <c r="N12" s="137"/>
      <c r="O12" s="137"/>
      <c r="P12" s="137"/>
      <c r="Q12" s="137"/>
      <c r="R12" s="137"/>
      <c r="S12" s="137"/>
      <c r="T12" s="137"/>
      <c r="U12" s="137"/>
      <c r="V12" s="137"/>
      <c r="W12" s="137"/>
      <c r="X12" s="137"/>
      <c r="Y12" s="137"/>
      <c r="Z12" s="137"/>
    </row>
    <row r="13" spans="1:26" ht="15" customHeight="1" x14ac:dyDescent="0.2">
      <c r="A13" s="57"/>
      <c r="B13" s="57"/>
      <c r="C13" s="57"/>
      <c r="D13" s="257">
        <v>0</v>
      </c>
      <c r="E13" s="57"/>
      <c r="F13" s="137"/>
      <c r="G13" s="137"/>
      <c r="H13" s="137"/>
      <c r="I13" s="137"/>
      <c r="J13" s="137"/>
      <c r="K13" s="137"/>
      <c r="L13" s="137"/>
      <c r="M13" s="137"/>
      <c r="N13" s="137"/>
      <c r="O13" s="137"/>
      <c r="P13" s="137"/>
      <c r="Q13" s="137"/>
      <c r="R13" s="137"/>
      <c r="S13" s="137"/>
      <c r="T13" s="137"/>
      <c r="U13" s="137"/>
      <c r="V13" s="137"/>
      <c r="W13" s="137"/>
      <c r="X13" s="137"/>
      <c r="Y13" s="137"/>
      <c r="Z13" s="137"/>
    </row>
    <row r="14" spans="1:26" ht="15" customHeight="1" x14ac:dyDescent="0.2">
      <c r="A14" s="57"/>
      <c r="B14" s="57"/>
      <c r="C14" s="57"/>
      <c r="D14" s="257">
        <v>0</v>
      </c>
      <c r="E14" s="57"/>
      <c r="F14" s="137"/>
      <c r="G14" s="137"/>
      <c r="H14" s="137"/>
      <c r="I14" s="137"/>
      <c r="J14" s="137"/>
      <c r="K14" s="137"/>
      <c r="L14" s="137"/>
      <c r="M14" s="137"/>
      <c r="N14" s="137"/>
      <c r="O14" s="137"/>
      <c r="P14" s="137"/>
      <c r="Q14" s="137"/>
      <c r="R14" s="137"/>
      <c r="S14" s="137"/>
      <c r="T14" s="137"/>
      <c r="U14" s="137"/>
      <c r="V14" s="137"/>
      <c r="W14" s="137"/>
      <c r="X14" s="137"/>
      <c r="Y14" s="137"/>
      <c r="Z14" s="137"/>
    </row>
    <row r="15" spans="1:26" ht="15" customHeight="1" x14ac:dyDescent="0.2">
      <c r="A15" s="57"/>
      <c r="B15" s="57"/>
      <c r="C15" s="57"/>
      <c r="D15" s="257">
        <v>0</v>
      </c>
      <c r="E15" s="57"/>
      <c r="F15" s="137"/>
      <c r="G15" s="137"/>
      <c r="H15" s="137"/>
      <c r="I15" s="137"/>
      <c r="J15" s="137"/>
      <c r="K15" s="137"/>
      <c r="L15" s="137"/>
      <c r="M15" s="137"/>
      <c r="N15" s="137"/>
      <c r="O15" s="137"/>
      <c r="P15" s="137"/>
      <c r="Q15" s="137"/>
      <c r="R15" s="137"/>
      <c r="S15" s="137"/>
      <c r="T15" s="137"/>
      <c r="U15" s="137"/>
      <c r="V15" s="137"/>
      <c r="W15" s="137"/>
      <c r="X15" s="137"/>
      <c r="Y15" s="137"/>
      <c r="Z15" s="137"/>
    </row>
    <row r="16" spans="1:26" ht="15" customHeight="1" x14ac:dyDescent="0.2">
      <c r="A16" s="57"/>
      <c r="B16" s="57"/>
      <c r="C16" s="57"/>
      <c r="D16" s="257">
        <v>0</v>
      </c>
      <c r="E16" s="57"/>
      <c r="F16" s="137"/>
      <c r="G16" s="137"/>
      <c r="H16" s="137"/>
      <c r="I16" s="137"/>
      <c r="J16" s="137"/>
      <c r="K16" s="137"/>
      <c r="L16" s="137"/>
      <c r="M16" s="137"/>
      <c r="N16" s="137"/>
      <c r="O16" s="137"/>
      <c r="P16" s="137"/>
      <c r="Q16" s="137"/>
      <c r="R16" s="137"/>
      <c r="S16" s="137"/>
      <c r="T16" s="137"/>
      <c r="U16" s="137"/>
      <c r="V16" s="137"/>
      <c r="W16" s="137"/>
      <c r="X16" s="137"/>
      <c r="Y16" s="137"/>
      <c r="Z16" s="137"/>
    </row>
    <row r="17" spans="1:26" ht="15" customHeight="1" x14ac:dyDescent="0.2">
      <c r="A17" s="57"/>
      <c r="B17" s="57"/>
      <c r="C17" s="57"/>
      <c r="D17" s="257">
        <v>0</v>
      </c>
      <c r="E17" s="57"/>
      <c r="F17" s="137"/>
      <c r="G17" s="137"/>
      <c r="H17" s="137"/>
      <c r="I17" s="137"/>
      <c r="J17" s="137"/>
      <c r="K17" s="137"/>
      <c r="L17" s="137"/>
      <c r="M17" s="137"/>
      <c r="N17" s="137"/>
      <c r="O17" s="137"/>
      <c r="P17" s="137"/>
      <c r="Q17" s="137"/>
      <c r="R17" s="137"/>
      <c r="S17" s="137"/>
      <c r="T17" s="137"/>
      <c r="U17" s="137"/>
      <c r="V17" s="137"/>
      <c r="W17" s="137"/>
      <c r="X17" s="137"/>
      <c r="Y17" s="137"/>
      <c r="Z17" s="137"/>
    </row>
    <row r="18" spans="1:26" ht="15" customHeight="1" x14ac:dyDescent="0.2">
      <c r="A18" s="57"/>
      <c r="B18" s="57"/>
      <c r="C18" s="57"/>
      <c r="D18" s="257">
        <v>0</v>
      </c>
      <c r="E18" s="57"/>
      <c r="F18" s="137"/>
      <c r="G18" s="137"/>
      <c r="H18" s="137"/>
      <c r="I18" s="137"/>
      <c r="J18" s="137"/>
      <c r="K18" s="137"/>
      <c r="L18" s="137"/>
      <c r="M18" s="137"/>
      <c r="N18" s="137"/>
      <c r="O18" s="137"/>
      <c r="P18" s="137"/>
      <c r="Q18" s="137"/>
      <c r="R18" s="137"/>
      <c r="S18" s="137"/>
      <c r="T18" s="137"/>
      <c r="U18" s="137"/>
      <c r="V18" s="137"/>
      <c r="W18" s="137"/>
      <c r="X18" s="137"/>
      <c r="Y18" s="137"/>
      <c r="Z18" s="137"/>
    </row>
    <row r="19" spans="1:26" ht="15" customHeight="1" x14ac:dyDescent="0.2">
      <c r="A19" s="57"/>
      <c r="B19" s="57"/>
      <c r="C19" s="57"/>
      <c r="D19" s="257">
        <v>0</v>
      </c>
      <c r="E19" s="57"/>
      <c r="F19" s="137"/>
      <c r="G19" s="137"/>
      <c r="H19" s="137"/>
      <c r="I19" s="137"/>
      <c r="J19" s="137"/>
      <c r="K19" s="137"/>
      <c r="L19" s="137"/>
      <c r="M19" s="137"/>
      <c r="N19" s="137"/>
      <c r="O19" s="137"/>
      <c r="P19" s="137"/>
      <c r="Q19" s="137"/>
      <c r="R19" s="137"/>
      <c r="S19" s="137"/>
      <c r="T19" s="137"/>
      <c r="U19" s="137"/>
      <c r="V19" s="137"/>
      <c r="W19" s="137"/>
      <c r="X19" s="137"/>
      <c r="Y19" s="137"/>
      <c r="Z19" s="137"/>
    </row>
    <row r="20" spans="1:26" ht="15" customHeight="1" x14ac:dyDescent="0.2">
      <c r="A20" s="57"/>
      <c r="B20" s="57"/>
      <c r="C20" s="57"/>
      <c r="D20" s="257">
        <v>0</v>
      </c>
      <c r="E20" s="57"/>
      <c r="F20" s="137"/>
      <c r="G20" s="137"/>
      <c r="H20" s="137"/>
      <c r="I20" s="137"/>
      <c r="J20" s="137"/>
      <c r="K20" s="137"/>
      <c r="L20" s="137"/>
      <c r="M20" s="137"/>
      <c r="N20" s="137"/>
      <c r="O20" s="137"/>
      <c r="P20" s="137"/>
      <c r="Q20" s="137"/>
      <c r="R20" s="137"/>
      <c r="S20" s="137"/>
      <c r="T20" s="137"/>
      <c r="U20" s="137"/>
      <c r="V20" s="137"/>
      <c r="W20" s="137"/>
      <c r="X20" s="137"/>
      <c r="Y20" s="137"/>
      <c r="Z20" s="137"/>
    </row>
    <row r="21" spans="1:26" ht="15" customHeight="1" x14ac:dyDescent="0.2">
      <c r="A21" s="57"/>
      <c r="B21" s="57"/>
      <c r="C21" s="57"/>
      <c r="D21" s="257">
        <v>0</v>
      </c>
      <c r="E21" s="57"/>
      <c r="F21" s="137"/>
      <c r="G21" s="137"/>
      <c r="H21" s="137"/>
      <c r="I21" s="137"/>
      <c r="J21" s="137"/>
      <c r="K21" s="137"/>
      <c r="L21" s="137"/>
      <c r="M21" s="137"/>
      <c r="N21" s="137"/>
      <c r="O21" s="137"/>
      <c r="P21" s="137"/>
      <c r="Q21" s="137"/>
      <c r="R21" s="137"/>
      <c r="S21" s="137"/>
      <c r="T21" s="137"/>
      <c r="U21" s="137"/>
      <c r="V21" s="137"/>
      <c r="W21" s="137"/>
      <c r="X21" s="137"/>
      <c r="Y21" s="137"/>
      <c r="Z21" s="137"/>
    </row>
    <row r="22" spans="1:26" ht="15" customHeight="1" x14ac:dyDescent="0.2">
      <c r="A22" s="57"/>
      <c r="B22" s="57"/>
      <c r="C22" s="57"/>
      <c r="D22" s="257">
        <v>0</v>
      </c>
      <c r="E22" s="57"/>
      <c r="F22" s="137"/>
      <c r="G22" s="137"/>
      <c r="H22" s="137"/>
      <c r="I22" s="137"/>
      <c r="J22" s="137"/>
      <c r="K22" s="137"/>
      <c r="L22" s="137"/>
      <c r="M22" s="137"/>
      <c r="N22" s="137"/>
      <c r="O22" s="137"/>
      <c r="P22" s="137"/>
      <c r="Q22" s="137"/>
      <c r="R22" s="137"/>
      <c r="S22" s="137"/>
      <c r="T22" s="137"/>
      <c r="U22" s="137"/>
      <c r="V22" s="137"/>
      <c r="W22" s="137"/>
      <c r="X22" s="137"/>
      <c r="Y22" s="137"/>
      <c r="Z22" s="137"/>
    </row>
    <row r="23" spans="1:26" ht="15" customHeight="1" x14ac:dyDescent="0.2">
      <c r="A23" s="57"/>
      <c r="B23" s="57"/>
      <c r="C23" s="57"/>
      <c r="D23" s="257">
        <v>0</v>
      </c>
      <c r="E23" s="57"/>
      <c r="F23" s="137"/>
      <c r="G23" s="137"/>
      <c r="H23" s="137"/>
      <c r="I23" s="137"/>
      <c r="J23" s="137"/>
      <c r="K23" s="137"/>
      <c r="L23" s="137"/>
      <c r="M23" s="137"/>
      <c r="N23" s="137"/>
      <c r="O23" s="137"/>
      <c r="P23" s="137"/>
      <c r="Q23" s="137"/>
      <c r="R23" s="137"/>
      <c r="S23" s="137"/>
      <c r="T23" s="137"/>
      <c r="U23" s="137"/>
      <c r="V23" s="137"/>
      <c r="W23" s="137"/>
      <c r="X23" s="137"/>
      <c r="Y23" s="137"/>
      <c r="Z23" s="137"/>
    </row>
    <row r="24" spans="1:26" ht="15" customHeight="1" x14ac:dyDescent="0.2">
      <c r="A24" s="57"/>
      <c r="B24" s="57"/>
      <c r="C24" s="57"/>
      <c r="D24" s="257">
        <v>0</v>
      </c>
      <c r="E24" s="57"/>
      <c r="F24" s="137"/>
      <c r="G24" s="137"/>
      <c r="H24" s="137"/>
      <c r="I24" s="137"/>
      <c r="J24" s="137"/>
      <c r="K24" s="137"/>
      <c r="L24" s="137"/>
      <c r="M24" s="137"/>
      <c r="N24" s="137"/>
      <c r="O24" s="137"/>
      <c r="P24" s="137"/>
      <c r="Q24" s="137"/>
      <c r="R24" s="137"/>
      <c r="S24" s="137"/>
      <c r="T24" s="137"/>
      <c r="U24" s="137"/>
      <c r="V24" s="137"/>
      <c r="W24" s="137"/>
      <c r="X24" s="137"/>
      <c r="Y24" s="137"/>
      <c r="Z24" s="137"/>
    </row>
    <row r="25" spans="1:26" ht="15" customHeight="1" x14ac:dyDescent="0.2">
      <c r="A25" s="137"/>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spans="1:26" ht="15" customHeight="1" x14ac:dyDescent="0.2">
      <c r="A26" s="137"/>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spans="1:26" ht="15" customHeight="1" x14ac:dyDescent="0.2">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spans="1:26" ht="15" customHeight="1" x14ac:dyDescent="0.2">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spans="1:26" ht="15" customHeight="1" x14ac:dyDescent="0.2">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spans="1:26" ht="15" customHeight="1" x14ac:dyDescent="0.2">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spans="1:26" ht="15" customHeight="1" x14ac:dyDescent="0.2">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spans="1:26" ht="15" customHeight="1" x14ac:dyDescent="0.2">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spans="1:26" ht="15" customHeight="1" x14ac:dyDescent="0.2">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spans="1:26" ht="16" x14ac:dyDescent="0.2">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spans="1:26" ht="16" x14ac:dyDescent="0.2">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spans="1:26" ht="16" x14ac:dyDescent="0.2">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6" x14ac:dyDescent="0.2">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6" x14ac:dyDescent="0.2">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6" x14ac:dyDescent="0.2">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6" x14ac:dyDescent="0.2">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6" x14ac:dyDescent="0.2">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6" x14ac:dyDescent="0.2">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6" x14ac:dyDescent="0.2">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6" x14ac:dyDescent="0.2">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6" x14ac:dyDescent="0.2">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6" x14ac:dyDescent="0.2">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6" x14ac:dyDescent="0.2">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6" x14ac:dyDescent="0.2">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6" x14ac:dyDescent="0.2">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6" x14ac:dyDescent="0.2">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6" x14ac:dyDescent="0.2">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6" x14ac:dyDescent="0.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6" x14ac:dyDescent="0.2">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6" x14ac:dyDescent="0.2">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6" x14ac:dyDescent="0.2">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6" x14ac:dyDescent="0.2">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6" x14ac:dyDescent="0.2">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6" x14ac:dyDescent="0.2">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6" x14ac:dyDescent="0.2">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6" x14ac:dyDescent="0.2">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6" x14ac:dyDescent="0.2">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6" x14ac:dyDescent="0.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6" x14ac:dyDescent="0.2">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6" x14ac:dyDescent="0.2">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6" x14ac:dyDescent="0.2">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6" x14ac:dyDescent="0.2">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6" x14ac:dyDescent="0.2">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6" x14ac:dyDescent="0.2">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6" x14ac:dyDescent="0.2">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6" x14ac:dyDescent="0.2">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6" x14ac:dyDescent="0.2">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6" x14ac:dyDescent="0.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6" x14ac:dyDescent="0.2">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6" x14ac:dyDescent="0.2">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6" x14ac:dyDescent="0.2">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6" x14ac:dyDescent="0.2">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6" x14ac:dyDescent="0.2">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6" x14ac:dyDescent="0.2">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6" x14ac:dyDescent="0.2">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6" x14ac:dyDescent="0.2">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6" x14ac:dyDescent="0.2">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6" x14ac:dyDescent="0.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6" x14ac:dyDescent="0.2">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6" x14ac:dyDescent="0.2">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6" x14ac:dyDescent="0.2">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6" x14ac:dyDescent="0.2">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6" x14ac:dyDescent="0.2">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6" x14ac:dyDescent="0.2">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6" x14ac:dyDescent="0.2">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6" x14ac:dyDescent="0.2">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6" x14ac:dyDescent="0.2">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6" x14ac:dyDescent="0.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6" x14ac:dyDescent="0.2">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6" x14ac:dyDescent="0.2">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6" x14ac:dyDescent="0.2">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6" x14ac:dyDescent="0.2">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6" x14ac:dyDescent="0.2">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6" x14ac:dyDescent="0.2">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6" x14ac:dyDescent="0.2">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6" x14ac:dyDescent="0.2">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6" x14ac:dyDescent="0.2">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6" x14ac:dyDescent="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6" x14ac:dyDescent="0.2">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6" x14ac:dyDescent="0.2">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6" x14ac:dyDescent="0.2">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6" x14ac:dyDescent="0.2">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6" x14ac:dyDescent="0.2">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6" x14ac:dyDescent="0.2">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6" x14ac:dyDescent="0.2">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6" x14ac:dyDescent="0.2">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6" x14ac:dyDescent="0.2">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6" x14ac:dyDescent="0.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6" x14ac:dyDescent="0.2">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6" x14ac:dyDescent="0.2">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6" x14ac:dyDescent="0.2">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6" x14ac:dyDescent="0.2">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6" x14ac:dyDescent="0.2">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6" x14ac:dyDescent="0.2">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6" x14ac:dyDescent="0.2">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6" x14ac:dyDescent="0.2">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6" x14ac:dyDescent="0.2">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6" x14ac:dyDescent="0.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6" x14ac:dyDescent="0.2">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6" x14ac:dyDescent="0.2">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6" x14ac:dyDescent="0.2">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6" x14ac:dyDescent="0.2">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6" x14ac:dyDescent="0.2">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6" x14ac:dyDescent="0.2">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6" x14ac:dyDescent="0.2">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6" x14ac:dyDescent="0.2">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6" x14ac:dyDescent="0.2">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6" x14ac:dyDescent="0.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6" x14ac:dyDescent="0.2">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6" x14ac:dyDescent="0.2">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6" x14ac:dyDescent="0.2">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6" x14ac:dyDescent="0.2">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6" x14ac:dyDescent="0.2">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6" x14ac:dyDescent="0.2">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6" x14ac:dyDescent="0.2">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6" x14ac:dyDescent="0.2">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6" x14ac:dyDescent="0.2">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6" x14ac:dyDescent="0.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6" x14ac:dyDescent="0.2">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6" x14ac:dyDescent="0.2">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6" x14ac:dyDescent="0.2">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6" x14ac:dyDescent="0.2">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6" x14ac:dyDescent="0.2">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6" x14ac:dyDescent="0.2">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6" x14ac:dyDescent="0.2">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6" x14ac:dyDescent="0.2">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6" x14ac:dyDescent="0.2">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6" x14ac:dyDescent="0.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6" x14ac:dyDescent="0.2">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6" x14ac:dyDescent="0.2">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6" x14ac:dyDescent="0.2">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6" x14ac:dyDescent="0.2">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6" x14ac:dyDescent="0.2">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6" x14ac:dyDescent="0.2">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6" x14ac:dyDescent="0.2">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6" x14ac:dyDescent="0.2">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6" x14ac:dyDescent="0.2">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6" x14ac:dyDescent="0.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6" x14ac:dyDescent="0.2">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6" x14ac:dyDescent="0.2">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6" x14ac:dyDescent="0.2">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6" x14ac:dyDescent="0.2">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6" x14ac:dyDescent="0.2">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6" x14ac:dyDescent="0.2">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6" x14ac:dyDescent="0.2">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6" x14ac:dyDescent="0.2">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6" x14ac:dyDescent="0.2">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6" x14ac:dyDescent="0.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6" x14ac:dyDescent="0.2">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6" x14ac:dyDescent="0.2">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6" x14ac:dyDescent="0.2">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6" x14ac:dyDescent="0.2">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6" x14ac:dyDescent="0.2">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6" x14ac:dyDescent="0.2">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6" x14ac:dyDescent="0.2">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6" x14ac:dyDescent="0.2">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6" x14ac:dyDescent="0.2">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6" x14ac:dyDescent="0.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6" x14ac:dyDescent="0.2">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6" x14ac:dyDescent="0.2">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6" x14ac:dyDescent="0.2">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6" x14ac:dyDescent="0.2">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6" x14ac:dyDescent="0.2">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6" x14ac:dyDescent="0.2">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6" x14ac:dyDescent="0.2">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6" x14ac:dyDescent="0.2">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6" x14ac:dyDescent="0.2">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6" x14ac:dyDescent="0.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6" x14ac:dyDescent="0.2">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6" x14ac:dyDescent="0.2">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6" x14ac:dyDescent="0.2">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6" x14ac:dyDescent="0.2">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6" x14ac:dyDescent="0.2">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6" x14ac:dyDescent="0.2">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6" x14ac:dyDescent="0.2">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6" x14ac:dyDescent="0.2">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6" x14ac:dyDescent="0.2">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6" x14ac:dyDescent="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6" x14ac:dyDescent="0.2">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6" x14ac:dyDescent="0.2">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6" x14ac:dyDescent="0.2">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6" x14ac:dyDescent="0.2">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6" x14ac:dyDescent="0.2">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6" x14ac:dyDescent="0.2">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6" x14ac:dyDescent="0.2">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6" x14ac:dyDescent="0.2">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6" x14ac:dyDescent="0.2">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6" x14ac:dyDescent="0.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6" x14ac:dyDescent="0.2">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6" x14ac:dyDescent="0.2">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6" x14ac:dyDescent="0.2">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6" x14ac:dyDescent="0.2">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6" x14ac:dyDescent="0.2">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6" x14ac:dyDescent="0.2">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6" x14ac:dyDescent="0.2">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6" x14ac:dyDescent="0.2">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6" x14ac:dyDescent="0.2">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6" x14ac:dyDescent="0.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6" x14ac:dyDescent="0.2">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6" x14ac:dyDescent="0.2">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6" x14ac:dyDescent="0.2">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6" x14ac:dyDescent="0.2">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6" x14ac:dyDescent="0.2">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6" x14ac:dyDescent="0.2">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6" x14ac:dyDescent="0.2">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6" x14ac:dyDescent="0.2">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6" x14ac:dyDescent="0.2">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6" x14ac:dyDescent="0.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6" x14ac:dyDescent="0.2">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6" x14ac:dyDescent="0.2">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6" x14ac:dyDescent="0.2">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6" x14ac:dyDescent="0.2">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6" x14ac:dyDescent="0.2">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6" x14ac:dyDescent="0.2">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6" x14ac:dyDescent="0.2">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6" x14ac:dyDescent="0.2">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6" x14ac:dyDescent="0.2">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6" x14ac:dyDescent="0.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6" x14ac:dyDescent="0.2">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6" x14ac:dyDescent="0.2">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6" x14ac:dyDescent="0.2">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6" x14ac:dyDescent="0.2">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6" x14ac:dyDescent="0.2">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6" x14ac:dyDescent="0.2">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6" x14ac:dyDescent="0.2">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6" x14ac:dyDescent="0.2">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6" x14ac:dyDescent="0.2">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6" x14ac:dyDescent="0.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6" x14ac:dyDescent="0.2">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6" x14ac:dyDescent="0.2">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6" x14ac:dyDescent="0.2">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6" x14ac:dyDescent="0.2">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6" x14ac:dyDescent="0.2">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6" x14ac:dyDescent="0.2">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6" x14ac:dyDescent="0.2">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6" x14ac:dyDescent="0.2">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6" x14ac:dyDescent="0.2">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6" x14ac:dyDescent="0.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6" x14ac:dyDescent="0.2">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6" x14ac:dyDescent="0.2">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6" x14ac:dyDescent="0.2">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6" x14ac:dyDescent="0.2">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6" x14ac:dyDescent="0.2">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6" x14ac:dyDescent="0.2">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6" x14ac:dyDescent="0.2">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6" x14ac:dyDescent="0.2">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6" x14ac:dyDescent="0.2">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6" x14ac:dyDescent="0.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6" x14ac:dyDescent="0.2">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6" x14ac:dyDescent="0.2">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6" x14ac:dyDescent="0.2">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6" x14ac:dyDescent="0.2">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6" x14ac:dyDescent="0.2">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6" x14ac:dyDescent="0.2">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6" x14ac:dyDescent="0.2">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6" x14ac:dyDescent="0.2">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6" x14ac:dyDescent="0.2">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6" x14ac:dyDescent="0.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6" x14ac:dyDescent="0.2">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6" x14ac:dyDescent="0.2">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6" x14ac:dyDescent="0.2">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6" x14ac:dyDescent="0.2">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6" x14ac:dyDescent="0.2">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6" x14ac:dyDescent="0.2">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6" x14ac:dyDescent="0.2">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6" x14ac:dyDescent="0.2">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6" x14ac:dyDescent="0.2">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6" x14ac:dyDescent="0.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6" x14ac:dyDescent="0.2">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6" x14ac:dyDescent="0.2">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6" x14ac:dyDescent="0.2">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6" x14ac:dyDescent="0.2">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6" x14ac:dyDescent="0.2">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6" x14ac:dyDescent="0.2">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6" x14ac:dyDescent="0.2">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6" x14ac:dyDescent="0.2">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6" x14ac:dyDescent="0.2">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6" x14ac:dyDescent="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6" x14ac:dyDescent="0.2">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6" x14ac:dyDescent="0.2">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6" x14ac:dyDescent="0.2">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6" x14ac:dyDescent="0.2">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6" x14ac:dyDescent="0.2">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6" x14ac:dyDescent="0.2">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6" x14ac:dyDescent="0.2">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6" x14ac:dyDescent="0.2">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6" x14ac:dyDescent="0.2">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6" x14ac:dyDescent="0.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6" x14ac:dyDescent="0.2">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6" x14ac:dyDescent="0.2">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6" x14ac:dyDescent="0.2">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6" x14ac:dyDescent="0.2">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6" x14ac:dyDescent="0.2">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6" x14ac:dyDescent="0.2">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6" x14ac:dyDescent="0.2">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6" x14ac:dyDescent="0.2">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6" x14ac:dyDescent="0.2">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6" x14ac:dyDescent="0.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6" x14ac:dyDescent="0.2">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6" x14ac:dyDescent="0.2">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6" x14ac:dyDescent="0.2">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6" x14ac:dyDescent="0.2">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6" x14ac:dyDescent="0.2">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6" x14ac:dyDescent="0.2">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6" x14ac:dyDescent="0.2">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6" x14ac:dyDescent="0.2">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6" x14ac:dyDescent="0.2">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6" x14ac:dyDescent="0.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6" x14ac:dyDescent="0.2">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6" x14ac:dyDescent="0.2">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6" x14ac:dyDescent="0.2">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6" x14ac:dyDescent="0.2">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6" x14ac:dyDescent="0.2">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6" x14ac:dyDescent="0.2">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6" x14ac:dyDescent="0.2">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6" x14ac:dyDescent="0.2">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6" x14ac:dyDescent="0.2">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6" x14ac:dyDescent="0.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6" x14ac:dyDescent="0.2">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6" x14ac:dyDescent="0.2">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6" x14ac:dyDescent="0.2">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6" x14ac:dyDescent="0.2">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6" x14ac:dyDescent="0.2">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6" x14ac:dyDescent="0.2">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6" x14ac:dyDescent="0.2">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6" x14ac:dyDescent="0.2">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6" x14ac:dyDescent="0.2">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6" x14ac:dyDescent="0.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6" x14ac:dyDescent="0.2">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6" x14ac:dyDescent="0.2">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6" x14ac:dyDescent="0.2">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6" x14ac:dyDescent="0.2">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6" x14ac:dyDescent="0.2">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6" x14ac:dyDescent="0.2">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6" x14ac:dyDescent="0.2">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6" x14ac:dyDescent="0.2">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6" x14ac:dyDescent="0.2">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6" x14ac:dyDescent="0.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6" x14ac:dyDescent="0.2">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6" x14ac:dyDescent="0.2">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6" x14ac:dyDescent="0.2">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6" x14ac:dyDescent="0.2">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6" x14ac:dyDescent="0.2">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6" x14ac:dyDescent="0.2">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6" x14ac:dyDescent="0.2">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6" x14ac:dyDescent="0.2">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6" x14ac:dyDescent="0.2">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6" x14ac:dyDescent="0.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6" x14ac:dyDescent="0.2">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6" x14ac:dyDescent="0.2">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6" x14ac:dyDescent="0.2">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6" x14ac:dyDescent="0.2">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6" x14ac:dyDescent="0.2">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6" x14ac:dyDescent="0.2">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6" x14ac:dyDescent="0.2">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6" x14ac:dyDescent="0.2">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6" x14ac:dyDescent="0.2">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6" x14ac:dyDescent="0.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6" x14ac:dyDescent="0.2">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6" x14ac:dyDescent="0.2">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6" x14ac:dyDescent="0.2">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6" x14ac:dyDescent="0.2">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6" x14ac:dyDescent="0.2">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6" x14ac:dyDescent="0.2">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6" x14ac:dyDescent="0.2">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6" x14ac:dyDescent="0.2">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6" x14ac:dyDescent="0.2">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6" x14ac:dyDescent="0.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6" x14ac:dyDescent="0.2">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6" x14ac:dyDescent="0.2">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6" x14ac:dyDescent="0.2">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6" x14ac:dyDescent="0.2">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6" x14ac:dyDescent="0.2">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6" x14ac:dyDescent="0.2">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6" x14ac:dyDescent="0.2">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6" x14ac:dyDescent="0.2">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6" x14ac:dyDescent="0.2">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6" x14ac:dyDescent="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6" x14ac:dyDescent="0.2">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6" x14ac:dyDescent="0.2">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6" x14ac:dyDescent="0.2">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6" x14ac:dyDescent="0.2">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6" x14ac:dyDescent="0.2">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6" x14ac:dyDescent="0.2">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6" x14ac:dyDescent="0.2">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6" x14ac:dyDescent="0.2">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6" x14ac:dyDescent="0.2">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6" x14ac:dyDescent="0.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6" x14ac:dyDescent="0.2">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6" x14ac:dyDescent="0.2">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6" x14ac:dyDescent="0.2">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6" x14ac:dyDescent="0.2">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6" x14ac:dyDescent="0.2">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6" x14ac:dyDescent="0.2">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6" x14ac:dyDescent="0.2">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6" x14ac:dyDescent="0.2">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6" x14ac:dyDescent="0.2">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6" x14ac:dyDescent="0.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6" x14ac:dyDescent="0.2">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6" x14ac:dyDescent="0.2">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6" x14ac:dyDescent="0.2">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6" x14ac:dyDescent="0.2">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6" x14ac:dyDescent="0.2">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6" x14ac:dyDescent="0.2">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6" x14ac:dyDescent="0.2">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6" x14ac:dyDescent="0.2">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6" x14ac:dyDescent="0.2">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6" x14ac:dyDescent="0.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6" x14ac:dyDescent="0.2">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6" x14ac:dyDescent="0.2">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6" x14ac:dyDescent="0.2">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6" x14ac:dyDescent="0.2">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6" x14ac:dyDescent="0.2">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6" x14ac:dyDescent="0.2">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6" x14ac:dyDescent="0.2">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6" x14ac:dyDescent="0.2">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6" x14ac:dyDescent="0.2">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6" x14ac:dyDescent="0.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6" x14ac:dyDescent="0.2">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6" x14ac:dyDescent="0.2">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6" x14ac:dyDescent="0.2">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6" x14ac:dyDescent="0.2">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6" x14ac:dyDescent="0.2">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6" x14ac:dyDescent="0.2">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6" x14ac:dyDescent="0.2">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6" x14ac:dyDescent="0.2">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6" x14ac:dyDescent="0.2">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6" x14ac:dyDescent="0.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6" x14ac:dyDescent="0.2">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6" x14ac:dyDescent="0.2">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6" x14ac:dyDescent="0.2">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6" x14ac:dyDescent="0.2">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6" x14ac:dyDescent="0.2">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6" x14ac:dyDescent="0.2">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6" x14ac:dyDescent="0.2">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6" x14ac:dyDescent="0.2">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6" x14ac:dyDescent="0.2">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6" x14ac:dyDescent="0.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6" x14ac:dyDescent="0.2">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6" x14ac:dyDescent="0.2">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6" x14ac:dyDescent="0.2">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6" x14ac:dyDescent="0.2">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6" x14ac:dyDescent="0.2">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6" x14ac:dyDescent="0.2">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6" x14ac:dyDescent="0.2">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6" x14ac:dyDescent="0.2">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6" x14ac:dyDescent="0.2">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6" x14ac:dyDescent="0.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6" x14ac:dyDescent="0.2">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6" x14ac:dyDescent="0.2">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6" x14ac:dyDescent="0.2">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6" x14ac:dyDescent="0.2">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6" x14ac:dyDescent="0.2">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6" x14ac:dyDescent="0.2">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6" x14ac:dyDescent="0.2">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6" x14ac:dyDescent="0.2">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6" x14ac:dyDescent="0.2">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6" x14ac:dyDescent="0.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6" x14ac:dyDescent="0.2">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6" x14ac:dyDescent="0.2">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6" x14ac:dyDescent="0.2">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6" x14ac:dyDescent="0.2">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6" x14ac:dyDescent="0.2">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6" x14ac:dyDescent="0.2">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6" x14ac:dyDescent="0.2">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6" x14ac:dyDescent="0.2">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6" x14ac:dyDescent="0.2">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6" x14ac:dyDescent="0.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6" x14ac:dyDescent="0.2">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6" x14ac:dyDescent="0.2">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6" x14ac:dyDescent="0.2">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6" x14ac:dyDescent="0.2">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6" x14ac:dyDescent="0.2">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6" x14ac:dyDescent="0.2">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6" x14ac:dyDescent="0.2">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6" x14ac:dyDescent="0.2">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6" x14ac:dyDescent="0.2">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6" x14ac:dyDescent="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6" x14ac:dyDescent="0.2">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6" x14ac:dyDescent="0.2">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6" x14ac:dyDescent="0.2">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6" x14ac:dyDescent="0.2">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6" x14ac:dyDescent="0.2">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6" x14ac:dyDescent="0.2">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6" x14ac:dyDescent="0.2">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6" x14ac:dyDescent="0.2">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6" x14ac:dyDescent="0.2">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6" x14ac:dyDescent="0.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6" x14ac:dyDescent="0.2">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6" x14ac:dyDescent="0.2">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6" x14ac:dyDescent="0.2">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6" x14ac:dyDescent="0.2">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6" x14ac:dyDescent="0.2">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6" x14ac:dyDescent="0.2">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6" x14ac:dyDescent="0.2">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6" x14ac:dyDescent="0.2">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6" x14ac:dyDescent="0.2">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6" x14ac:dyDescent="0.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6" x14ac:dyDescent="0.2">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6" x14ac:dyDescent="0.2">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6" x14ac:dyDescent="0.2">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6" x14ac:dyDescent="0.2">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6" x14ac:dyDescent="0.2">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6" x14ac:dyDescent="0.2">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6" x14ac:dyDescent="0.2">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6" x14ac:dyDescent="0.2">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6" x14ac:dyDescent="0.2">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6" x14ac:dyDescent="0.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6" x14ac:dyDescent="0.2">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6" x14ac:dyDescent="0.2">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6" x14ac:dyDescent="0.2">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6" x14ac:dyDescent="0.2">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6" x14ac:dyDescent="0.2">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6" x14ac:dyDescent="0.2">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6" x14ac:dyDescent="0.2">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6" x14ac:dyDescent="0.2">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6" x14ac:dyDescent="0.2">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6" x14ac:dyDescent="0.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6" x14ac:dyDescent="0.2">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6" x14ac:dyDescent="0.2">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6" x14ac:dyDescent="0.2">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6" x14ac:dyDescent="0.2">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6" x14ac:dyDescent="0.2">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6" x14ac:dyDescent="0.2">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6" x14ac:dyDescent="0.2">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6" x14ac:dyDescent="0.2">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6" x14ac:dyDescent="0.2">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6" x14ac:dyDescent="0.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6" x14ac:dyDescent="0.2">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6" x14ac:dyDescent="0.2">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6" x14ac:dyDescent="0.2">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6" x14ac:dyDescent="0.2">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6" x14ac:dyDescent="0.2">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6" x14ac:dyDescent="0.2">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6" x14ac:dyDescent="0.2">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6" x14ac:dyDescent="0.2">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6" x14ac:dyDescent="0.2">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6" x14ac:dyDescent="0.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6" x14ac:dyDescent="0.2">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6" x14ac:dyDescent="0.2">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6" x14ac:dyDescent="0.2">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6" x14ac:dyDescent="0.2">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6" x14ac:dyDescent="0.2">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6" x14ac:dyDescent="0.2">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6" x14ac:dyDescent="0.2">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6" x14ac:dyDescent="0.2">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6" x14ac:dyDescent="0.2">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6" x14ac:dyDescent="0.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6" x14ac:dyDescent="0.2">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6" x14ac:dyDescent="0.2">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6" x14ac:dyDescent="0.2">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6" x14ac:dyDescent="0.2">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6" x14ac:dyDescent="0.2">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6" x14ac:dyDescent="0.2">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6" x14ac:dyDescent="0.2">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6" x14ac:dyDescent="0.2">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6" x14ac:dyDescent="0.2">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6" x14ac:dyDescent="0.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6" x14ac:dyDescent="0.2">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6" x14ac:dyDescent="0.2">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6" x14ac:dyDescent="0.2">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6" x14ac:dyDescent="0.2">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6" x14ac:dyDescent="0.2">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6" x14ac:dyDescent="0.2">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6" x14ac:dyDescent="0.2">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6" x14ac:dyDescent="0.2">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6" x14ac:dyDescent="0.2">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6" x14ac:dyDescent="0.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6" x14ac:dyDescent="0.2">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6" x14ac:dyDescent="0.2">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6" x14ac:dyDescent="0.2">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6" x14ac:dyDescent="0.2">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6" x14ac:dyDescent="0.2">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6" x14ac:dyDescent="0.2">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6" x14ac:dyDescent="0.2">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6" x14ac:dyDescent="0.2">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6" x14ac:dyDescent="0.2">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6" x14ac:dyDescent="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6" x14ac:dyDescent="0.2">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6" x14ac:dyDescent="0.2">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6" x14ac:dyDescent="0.2">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6" x14ac:dyDescent="0.2">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6" x14ac:dyDescent="0.2">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6" x14ac:dyDescent="0.2">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6" x14ac:dyDescent="0.2">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6" x14ac:dyDescent="0.2">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6" x14ac:dyDescent="0.2">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6" x14ac:dyDescent="0.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6" x14ac:dyDescent="0.2">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6" x14ac:dyDescent="0.2">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6" x14ac:dyDescent="0.2">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6" x14ac:dyDescent="0.2">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6" x14ac:dyDescent="0.2">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6" x14ac:dyDescent="0.2">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6" x14ac:dyDescent="0.2">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6" x14ac:dyDescent="0.2">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6" x14ac:dyDescent="0.2">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6" x14ac:dyDescent="0.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6" x14ac:dyDescent="0.2">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6" x14ac:dyDescent="0.2">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6" x14ac:dyDescent="0.2">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6" x14ac:dyDescent="0.2">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6" x14ac:dyDescent="0.2">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6" x14ac:dyDescent="0.2">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6" x14ac:dyDescent="0.2">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6" x14ac:dyDescent="0.2">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6" x14ac:dyDescent="0.2">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6" x14ac:dyDescent="0.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6" x14ac:dyDescent="0.2">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6" x14ac:dyDescent="0.2">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6" x14ac:dyDescent="0.2">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6" x14ac:dyDescent="0.2">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6" x14ac:dyDescent="0.2">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6" x14ac:dyDescent="0.2">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6" x14ac:dyDescent="0.2">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6" x14ac:dyDescent="0.2">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6" x14ac:dyDescent="0.2">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6" x14ac:dyDescent="0.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6" x14ac:dyDescent="0.2">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6" x14ac:dyDescent="0.2">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6" x14ac:dyDescent="0.2">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6" x14ac:dyDescent="0.2">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6" x14ac:dyDescent="0.2">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6" x14ac:dyDescent="0.2">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6" x14ac:dyDescent="0.2">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6" x14ac:dyDescent="0.2">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6" x14ac:dyDescent="0.2">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6" x14ac:dyDescent="0.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6" x14ac:dyDescent="0.2">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6" x14ac:dyDescent="0.2">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6" x14ac:dyDescent="0.2">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6" x14ac:dyDescent="0.2">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6" x14ac:dyDescent="0.2">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6" x14ac:dyDescent="0.2">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6" x14ac:dyDescent="0.2">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6" x14ac:dyDescent="0.2">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6" x14ac:dyDescent="0.2">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6" x14ac:dyDescent="0.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6" x14ac:dyDescent="0.2">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6" x14ac:dyDescent="0.2">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6" x14ac:dyDescent="0.2">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6" x14ac:dyDescent="0.2">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6" x14ac:dyDescent="0.2">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6" x14ac:dyDescent="0.2">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6" x14ac:dyDescent="0.2">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6" x14ac:dyDescent="0.2">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6" x14ac:dyDescent="0.2">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6" x14ac:dyDescent="0.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6" x14ac:dyDescent="0.2">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6" x14ac:dyDescent="0.2">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6" x14ac:dyDescent="0.2">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6" x14ac:dyDescent="0.2">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6" x14ac:dyDescent="0.2">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6" x14ac:dyDescent="0.2">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6" x14ac:dyDescent="0.2">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6" x14ac:dyDescent="0.2">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6" x14ac:dyDescent="0.2">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6" x14ac:dyDescent="0.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6" x14ac:dyDescent="0.2">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6" x14ac:dyDescent="0.2">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6" x14ac:dyDescent="0.2">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6" x14ac:dyDescent="0.2">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6" x14ac:dyDescent="0.2">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6" x14ac:dyDescent="0.2">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6" x14ac:dyDescent="0.2">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6" x14ac:dyDescent="0.2">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6" x14ac:dyDescent="0.2">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6" x14ac:dyDescent="0.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6" x14ac:dyDescent="0.2">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6" x14ac:dyDescent="0.2">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6" x14ac:dyDescent="0.2">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6" x14ac:dyDescent="0.2">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6" x14ac:dyDescent="0.2">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6" x14ac:dyDescent="0.2">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6" x14ac:dyDescent="0.2">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6" x14ac:dyDescent="0.2">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6" x14ac:dyDescent="0.2">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6" x14ac:dyDescent="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6" x14ac:dyDescent="0.2">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6" x14ac:dyDescent="0.2">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6" x14ac:dyDescent="0.2">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6" x14ac:dyDescent="0.2">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6" x14ac:dyDescent="0.2">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6" x14ac:dyDescent="0.2">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6" x14ac:dyDescent="0.2">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6" x14ac:dyDescent="0.2">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6" x14ac:dyDescent="0.2">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6" x14ac:dyDescent="0.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6" x14ac:dyDescent="0.2">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6" x14ac:dyDescent="0.2">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6" x14ac:dyDescent="0.2">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6" x14ac:dyDescent="0.2">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6" x14ac:dyDescent="0.2">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6" x14ac:dyDescent="0.2">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6" x14ac:dyDescent="0.2">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6" x14ac:dyDescent="0.2">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6" x14ac:dyDescent="0.2">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6" x14ac:dyDescent="0.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6" x14ac:dyDescent="0.2">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6" x14ac:dyDescent="0.2">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6" x14ac:dyDescent="0.2">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6" x14ac:dyDescent="0.2">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6" x14ac:dyDescent="0.2">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6" x14ac:dyDescent="0.2">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6" x14ac:dyDescent="0.2">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6" x14ac:dyDescent="0.2">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6" x14ac:dyDescent="0.2">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6" x14ac:dyDescent="0.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6" x14ac:dyDescent="0.2">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6" x14ac:dyDescent="0.2">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6" x14ac:dyDescent="0.2">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6" x14ac:dyDescent="0.2">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6" x14ac:dyDescent="0.2">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6" x14ac:dyDescent="0.2">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6" x14ac:dyDescent="0.2">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6" x14ac:dyDescent="0.2">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6" x14ac:dyDescent="0.2">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6" x14ac:dyDescent="0.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6" x14ac:dyDescent="0.2">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6" x14ac:dyDescent="0.2">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6" x14ac:dyDescent="0.2">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6" x14ac:dyDescent="0.2">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6" x14ac:dyDescent="0.2">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6" x14ac:dyDescent="0.2">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6" x14ac:dyDescent="0.2">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6" x14ac:dyDescent="0.2">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6" x14ac:dyDescent="0.2">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6" x14ac:dyDescent="0.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6" x14ac:dyDescent="0.2">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6" x14ac:dyDescent="0.2">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6" x14ac:dyDescent="0.2">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6" x14ac:dyDescent="0.2">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6" x14ac:dyDescent="0.2">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6" x14ac:dyDescent="0.2">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6" x14ac:dyDescent="0.2">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6" x14ac:dyDescent="0.2">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6" x14ac:dyDescent="0.2">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6" x14ac:dyDescent="0.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6" x14ac:dyDescent="0.2">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6" x14ac:dyDescent="0.2">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6" x14ac:dyDescent="0.2">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6" x14ac:dyDescent="0.2">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6" x14ac:dyDescent="0.2">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6" x14ac:dyDescent="0.2">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6" x14ac:dyDescent="0.2">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6" x14ac:dyDescent="0.2">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6" x14ac:dyDescent="0.2">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6" x14ac:dyDescent="0.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6" x14ac:dyDescent="0.2">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6" x14ac:dyDescent="0.2">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6" x14ac:dyDescent="0.2">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6" x14ac:dyDescent="0.2">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6" x14ac:dyDescent="0.2">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6" x14ac:dyDescent="0.2">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6" x14ac:dyDescent="0.2">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6" x14ac:dyDescent="0.2">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6" x14ac:dyDescent="0.2">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6" x14ac:dyDescent="0.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6" x14ac:dyDescent="0.2">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6" x14ac:dyDescent="0.2">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6" x14ac:dyDescent="0.2">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6" x14ac:dyDescent="0.2">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6" x14ac:dyDescent="0.2">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6" x14ac:dyDescent="0.2">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6" x14ac:dyDescent="0.2">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6" x14ac:dyDescent="0.2">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6" x14ac:dyDescent="0.2">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6" x14ac:dyDescent="0.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6" x14ac:dyDescent="0.2">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6" x14ac:dyDescent="0.2">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6" x14ac:dyDescent="0.2">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6" x14ac:dyDescent="0.2">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6" x14ac:dyDescent="0.2">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6" x14ac:dyDescent="0.2">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6" x14ac:dyDescent="0.2">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6" x14ac:dyDescent="0.2">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6" x14ac:dyDescent="0.2">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6" x14ac:dyDescent="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6" x14ac:dyDescent="0.2">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6" x14ac:dyDescent="0.2">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6" x14ac:dyDescent="0.2">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6" x14ac:dyDescent="0.2">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6" x14ac:dyDescent="0.2">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6" x14ac:dyDescent="0.2">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6" x14ac:dyDescent="0.2">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6" x14ac:dyDescent="0.2">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6" x14ac:dyDescent="0.2">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6" x14ac:dyDescent="0.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6" x14ac:dyDescent="0.2">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6" x14ac:dyDescent="0.2">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6" x14ac:dyDescent="0.2">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6" x14ac:dyDescent="0.2">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6" x14ac:dyDescent="0.2">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6" x14ac:dyDescent="0.2">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6" x14ac:dyDescent="0.2">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6" x14ac:dyDescent="0.2">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6" x14ac:dyDescent="0.2">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6" x14ac:dyDescent="0.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6" x14ac:dyDescent="0.2">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6" x14ac:dyDescent="0.2">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6" x14ac:dyDescent="0.2">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6" x14ac:dyDescent="0.2">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6" x14ac:dyDescent="0.2">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6" x14ac:dyDescent="0.2">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6" x14ac:dyDescent="0.2">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6" x14ac:dyDescent="0.2">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6" x14ac:dyDescent="0.2">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6" x14ac:dyDescent="0.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6" x14ac:dyDescent="0.2">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6" x14ac:dyDescent="0.2">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6" x14ac:dyDescent="0.2">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6" x14ac:dyDescent="0.2">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6" x14ac:dyDescent="0.2">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6" x14ac:dyDescent="0.2">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6" x14ac:dyDescent="0.2">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6" x14ac:dyDescent="0.2">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6" x14ac:dyDescent="0.2">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6" x14ac:dyDescent="0.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6" x14ac:dyDescent="0.2">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6" x14ac:dyDescent="0.2">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6" x14ac:dyDescent="0.2">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6" x14ac:dyDescent="0.2">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6" x14ac:dyDescent="0.2">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6" x14ac:dyDescent="0.2">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6" x14ac:dyDescent="0.2">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6" x14ac:dyDescent="0.2">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6" x14ac:dyDescent="0.2">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6" x14ac:dyDescent="0.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6" x14ac:dyDescent="0.2">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6" x14ac:dyDescent="0.2">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6" x14ac:dyDescent="0.2">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6" x14ac:dyDescent="0.2">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6" x14ac:dyDescent="0.2">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6" x14ac:dyDescent="0.2">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6" x14ac:dyDescent="0.2">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6" x14ac:dyDescent="0.2">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6" x14ac:dyDescent="0.2">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6" x14ac:dyDescent="0.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6" x14ac:dyDescent="0.2">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6" x14ac:dyDescent="0.2">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6" x14ac:dyDescent="0.2">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6" x14ac:dyDescent="0.2">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6" x14ac:dyDescent="0.2">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6" x14ac:dyDescent="0.2">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6" x14ac:dyDescent="0.2">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6" x14ac:dyDescent="0.2">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6" x14ac:dyDescent="0.2">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6" x14ac:dyDescent="0.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6" x14ac:dyDescent="0.2">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6" x14ac:dyDescent="0.2">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6" x14ac:dyDescent="0.2">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6" x14ac:dyDescent="0.2">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6" x14ac:dyDescent="0.2">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6" x14ac:dyDescent="0.2">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6" x14ac:dyDescent="0.2">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6" x14ac:dyDescent="0.2">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6" x14ac:dyDescent="0.2">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6" x14ac:dyDescent="0.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6" x14ac:dyDescent="0.2">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6" x14ac:dyDescent="0.2">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6" x14ac:dyDescent="0.2">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6" x14ac:dyDescent="0.2">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6" x14ac:dyDescent="0.2">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6" x14ac:dyDescent="0.2">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6" x14ac:dyDescent="0.2">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6" x14ac:dyDescent="0.2">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6" x14ac:dyDescent="0.2">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6" x14ac:dyDescent="0.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6" x14ac:dyDescent="0.2">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6" x14ac:dyDescent="0.2">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6" x14ac:dyDescent="0.2">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6" x14ac:dyDescent="0.2">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6" x14ac:dyDescent="0.2">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6" x14ac:dyDescent="0.2">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6" x14ac:dyDescent="0.2">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6" x14ac:dyDescent="0.2">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6" x14ac:dyDescent="0.2">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6" x14ac:dyDescent="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6" x14ac:dyDescent="0.2">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6" x14ac:dyDescent="0.2">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6" x14ac:dyDescent="0.2">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6" x14ac:dyDescent="0.2">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6" x14ac:dyDescent="0.2">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6" x14ac:dyDescent="0.2">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6" x14ac:dyDescent="0.2">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6" x14ac:dyDescent="0.2">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6" x14ac:dyDescent="0.2">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6" x14ac:dyDescent="0.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6" x14ac:dyDescent="0.2">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6" x14ac:dyDescent="0.2">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6" x14ac:dyDescent="0.2">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6" x14ac:dyDescent="0.2">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6" x14ac:dyDescent="0.2">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6" x14ac:dyDescent="0.2">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6" x14ac:dyDescent="0.2">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6" x14ac:dyDescent="0.2">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6" x14ac:dyDescent="0.2">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6" x14ac:dyDescent="0.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6" x14ac:dyDescent="0.2">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6" x14ac:dyDescent="0.2">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6" x14ac:dyDescent="0.2">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6" x14ac:dyDescent="0.2">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6" x14ac:dyDescent="0.2">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6" x14ac:dyDescent="0.2">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6" x14ac:dyDescent="0.2">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spans="1:26" ht="16" x14ac:dyDescent="0.2">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spans="1:26" ht="16" x14ac:dyDescent="0.2">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spans="1:26" ht="16" x14ac:dyDescent="0.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spans="1:26" ht="16" x14ac:dyDescent="0.2">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spans="1:26" ht="16" x14ac:dyDescent="0.2">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spans="1:26" ht="16" x14ac:dyDescent="0.2">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spans="1:26" ht="16" x14ac:dyDescent="0.2">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spans="1:26" ht="16" x14ac:dyDescent="0.2">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spans="1:26" ht="16" x14ac:dyDescent="0.2">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spans="1:26" ht="16" x14ac:dyDescent="0.2">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spans="1:26" ht="16" x14ac:dyDescent="0.2">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spans="1:26" ht="16" x14ac:dyDescent="0.2">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spans="1:26" ht="16" x14ac:dyDescent="0.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spans="1:26" ht="16" x14ac:dyDescent="0.2">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spans="1:26" ht="16" x14ac:dyDescent="0.2">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spans="1:26" ht="16" x14ac:dyDescent="0.2">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spans="1:26" ht="16" x14ac:dyDescent="0.2">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spans="1:26" ht="16" x14ac:dyDescent="0.2">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spans="1:26" ht="16" x14ac:dyDescent="0.2">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spans="1:26" ht="16" x14ac:dyDescent="0.2">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spans="1:26" ht="16" x14ac:dyDescent="0.2">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spans="1:26" ht="16" x14ac:dyDescent="0.2">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spans="1:26" ht="16" x14ac:dyDescent="0.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spans="1:26" ht="16" x14ac:dyDescent="0.2">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spans="1:26" ht="16" x14ac:dyDescent="0.2">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spans="1:26" ht="16" x14ac:dyDescent="0.2">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spans="1:26" ht="16" x14ac:dyDescent="0.2">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spans="1:26" ht="16" x14ac:dyDescent="0.2">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spans="1:26" ht="16" x14ac:dyDescent="0.2">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spans="1:26" ht="16" x14ac:dyDescent="0.2">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spans="1:26" ht="16" x14ac:dyDescent="0.2">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spans="1:26" ht="16" x14ac:dyDescent="0.2">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spans="1:26" ht="16" x14ac:dyDescent="0.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spans="1:26" ht="16" x14ac:dyDescent="0.2">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spans="1:26" ht="16" x14ac:dyDescent="0.2">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spans="1:26" ht="16" x14ac:dyDescent="0.2">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spans="1:26" ht="16" x14ac:dyDescent="0.2">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spans="1:26" ht="16" x14ac:dyDescent="0.2">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spans="1:26" ht="16" x14ac:dyDescent="0.2">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spans="1:26" ht="16" x14ac:dyDescent="0.2">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spans="1:26" ht="16" x14ac:dyDescent="0.2">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spans="1:26" ht="16" x14ac:dyDescent="0.2">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spans="1:26" ht="16" x14ac:dyDescent="0.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spans="1:26" ht="16" x14ac:dyDescent="0.2">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spans="1:26" ht="16" x14ac:dyDescent="0.2">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spans="1:26" ht="16" x14ac:dyDescent="0.2">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spans="1:26" ht="16" x14ac:dyDescent="0.2">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spans="1:26" ht="16" x14ac:dyDescent="0.2">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spans="1:26" ht="16" x14ac:dyDescent="0.2">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spans="1:26" ht="16" x14ac:dyDescent="0.2">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spans="1:26" ht="16" x14ac:dyDescent="0.2">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spans="1:26" ht="16" x14ac:dyDescent="0.2">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spans="1:26" ht="16" x14ac:dyDescent="0.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spans="1:26" ht="16" x14ac:dyDescent="0.2">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spans="1:26" ht="16" x14ac:dyDescent="0.2">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spans="1:26" ht="16" x14ac:dyDescent="0.2">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spans="1:26" ht="16" x14ac:dyDescent="0.2">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spans="1:26" ht="16" x14ac:dyDescent="0.2">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spans="1:26" ht="16" x14ac:dyDescent="0.2">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spans="1:26" ht="16" x14ac:dyDescent="0.2">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spans="1:26" ht="16" x14ac:dyDescent="0.2">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spans="1:26" ht="16" x14ac:dyDescent="0.2">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spans="1:26" ht="16" x14ac:dyDescent="0.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spans="1:26" ht="16" x14ac:dyDescent="0.2">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spans="1:26" ht="16" x14ac:dyDescent="0.2">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spans="1:26" ht="16" x14ac:dyDescent="0.2">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spans="1:26" ht="16" x14ac:dyDescent="0.2">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spans="1:26" ht="16" x14ac:dyDescent="0.2">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spans="1:26" ht="16" x14ac:dyDescent="0.2">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spans="1:26" ht="16" x14ac:dyDescent="0.2">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spans="1:26" ht="16" x14ac:dyDescent="0.2">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000"/>
  <sheetViews>
    <sheetView workbookViewId="0">
      <selection sqref="A1:C1"/>
    </sheetView>
  </sheetViews>
  <sheetFormatPr baseColWidth="10" defaultColWidth="11.1640625" defaultRowHeight="15" customHeight="1" x14ac:dyDescent="0.2"/>
  <cols>
    <col min="1" max="1" width="13.83203125" customWidth="1"/>
    <col min="2" max="2" width="10.6640625" customWidth="1"/>
    <col min="3" max="4" width="30.1640625" customWidth="1"/>
    <col min="5" max="5" width="15.83203125" customWidth="1"/>
    <col min="6" max="6" width="14.33203125" customWidth="1"/>
    <col min="7" max="7" width="16.1640625" customWidth="1"/>
    <col min="8" max="9" width="10.6640625" customWidth="1"/>
    <col min="10" max="10" width="27.33203125" customWidth="1"/>
    <col min="11" max="11" width="28" customWidth="1"/>
    <col min="12" max="12" width="12.83203125" customWidth="1"/>
    <col min="13" max="13" width="22.83203125" customWidth="1"/>
    <col min="14" max="14" width="27.33203125" customWidth="1"/>
    <col min="15" max="26" width="10.6640625" customWidth="1"/>
  </cols>
  <sheetData>
    <row r="1" spans="1:17" ht="15.75" customHeight="1" x14ac:dyDescent="0.2">
      <c r="A1" s="388" t="s">
        <v>3935</v>
      </c>
      <c r="B1" s="389"/>
      <c r="C1" s="390"/>
      <c r="D1" s="258"/>
      <c r="E1" s="259"/>
      <c r="M1" s="136"/>
    </row>
    <row r="2" spans="1:17" ht="63" customHeight="1" x14ac:dyDescent="0.2">
      <c r="A2" s="260" t="s">
        <v>3936</v>
      </c>
      <c r="B2" s="260" t="s">
        <v>3678</v>
      </c>
      <c r="C2" s="261" t="s">
        <v>3937</v>
      </c>
      <c r="D2" s="261" t="s">
        <v>3</v>
      </c>
      <c r="E2" s="261" t="s">
        <v>3292</v>
      </c>
      <c r="F2" s="260" t="s">
        <v>3938</v>
      </c>
      <c r="G2" s="260" t="s">
        <v>3939</v>
      </c>
      <c r="H2" s="260" t="s">
        <v>3940</v>
      </c>
      <c r="I2" s="261" t="s">
        <v>3941</v>
      </c>
      <c r="J2" s="261" t="s">
        <v>6</v>
      </c>
      <c r="K2" s="261" t="s">
        <v>3942</v>
      </c>
      <c r="L2" s="262" t="s">
        <v>3943</v>
      </c>
      <c r="M2" s="262" t="s">
        <v>3944</v>
      </c>
      <c r="N2" s="260" t="s">
        <v>3945</v>
      </c>
      <c r="O2" s="263" t="s">
        <v>3946</v>
      </c>
    </row>
    <row r="3" spans="1:17" ht="47.25" customHeight="1" x14ac:dyDescent="0.2">
      <c r="A3" s="391" t="s">
        <v>3947</v>
      </c>
      <c r="B3" s="264" t="s">
        <v>2799</v>
      </c>
      <c r="C3" s="265" t="str">
        <f>VLOOKUP(B3,Liste!A1:O1214,2,0)</f>
        <v>Hydrolat de lavande fine sauvage BIO</v>
      </c>
      <c r="D3" s="229" t="s">
        <v>2801</v>
      </c>
      <c r="E3" s="229" t="str">
        <f>VLOOKUP(C3,Liste!B1:P1214,2,0)</f>
        <v>Florihana</v>
      </c>
      <c r="F3" s="229" t="s">
        <v>3948</v>
      </c>
      <c r="G3" s="265">
        <v>10</v>
      </c>
      <c r="H3" s="229">
        <f>VLOOKUP('Gamme bébé'!B3,Liste!A1:O1260,6,0)</f>
        <v>11.93</v>
      </c>
      <c r="I3" s="229" t="s">
        <v>3949</v>
      </c>
      <c r="J3" s="229"/>
      <c r="K3" s="266" t="s">
        <v>3950</v>
      </c>
      <c r="L3" s="229" t="s">
        <v>3951</v>
      </c>
      <c r="M3" s="267" t="s">
        <v>3952</v>
      </c>
      <c r="N3" s="81"/>
      <c r="O3" s="393" t="s">
        <v>3953</v>
      </c>
      <c r="P3" s="123">
        <f>SUM(G3:G18)</f>
        <v>100</v>
      </c>
    </row>
    <row r="4" spans="1:17" ht="30" customHeight="1" x14ac:dyDescent="0.2">
      <c r="A4" s="392"/>
      <c r="B4" s="230" t="s">
        <v>2860</v>
      </c>
      <c r="C4" s="265" t="str">
        <f>VLOOKUP(B4,Liste!A2:O1215,2,0)</f>
        <v>Montanov 202</v>
      </c>
      <c r="D4" s="229" t="s">
        <v>2861</v>
      </c>
      <c r="E4" s="229" t="str">
        <f>VLOOKUP(C4,Liste!B2:P1215,2,0)</f>
        <v>SEPPIC</v>
      </c>
      <c r="F4" s="229" t="s">
        <v>512</v>
      </c>
      <c r="G4" s="265">
        <v>5</v>
      </c>
      <c r="H4" s="229">
        <f>VLOOKUP('Gamme bébé'!B4,Liste!A2:O1261,6,0)</f>
        <v>24.55</v>
      </c>
      <c r="I4" s="230" t="s">
        <v>311</v>
      </c>
      <c r="J4" s="229" t="s">
        <v>3954</v>
      </c>
      <c r="K4" s="229" t="s">
        <v>3955</v>
      </c>
      <c r="L4" s="229" t="s">
        <v>3951</v>
      </c>
      <c r="M4" s="267" t="s">
        <v>3956</v>
      </c>
      <c r="N4" s="81"/>
      <c r="O4" s="392"/>
    </row>
    <row r="5" spans="1:17" ht="36" customHeight="1" x14ac:dyDescent="0.2">
      <c r="A5" s="392"/>
      <c r="B5" s="230" t="s">
        <v>2616</v>
      </c>
      <c r="C5" s="265" t="str">
        <f>VLOOKUP(B5,Liste!A3:O1216,2,0)</f>
        <v>Opuntia Biocomplex SH</v>
      </c>
      <c r="D5" s="229" t="s">
        <v>2618</v>
      </c>
      <c r="E5" s="229" t="s">
        <v>2617</v>
      </c>
      <c r="F5" s="229" t="s">
        <v>512</v>
      </c>
      <c r="G5" s="265">
        <v>1.4</v>
      </c>
      <c r="H5" s="229">
        <f>VLOOKUP('Gamme bébé'!B5,Liste!A3:O1262,6,0)</f>
        <v>90</v>
      </c>
      <c r="I5" s="230" t="s">
        <v>3957</v>
      </c>
      <c r="J5" s="230"/>
      <c r="K5" s="229" t="s">
        <v>3958</v>
      </c>
      <c r="L5" s="230" t="s">
        <v>53</v>
      </c>
      <c r="M5" s="268" t="s">
        <v>3959</v>
      </c>
      <c r="N5" s="81"/>
      <c r="O5" s="392"/>
    </row>
    <row r="6" spans="1:17" ht="15.75" customHeight="1" x14ac:dyDescent="0.2">
      <c r="A6" s="392"/>
      <c r="B6" s="230" t="s">
        <v>2587</v>
      </c>
      <c r="C6" s="265" t="str">
        <f>VLOOKUP(B6,Liste!A4:O1217,2,0)</f>
        <v xml:space="preserve">CosmePhytami Oat </v>
      </c>
      <c r="D6" s="229" t="s">
        <v>2590</v>
      </c>
      <c r="E6" s="229" t="str">
        <f>VLOOKUP(C6,Liste!B4:P1217,2,0)</f>
        <v>Alban Muller / CRODA</v>
      </c>
      <c r="F6" s="229" t="s">
        <v>512</v>
      </c>
      <c r="G6" s="269">
        <v>3</v>
      </c>
      <c r="H6" s="229">
        <f>VLOOKUP('Gamme bébé'!B6,Liste!A4:O1263,6,0)</f>
        <v>32.82</v>
      </c>
      <c r="I6" s="230" t="s">
        <v>3957</v>
      </c>
      <c r="J6" s="230"/>
      <c r="K6" s="230" t="s">
        <v>3960</v>
      </c>
      <c r="L6" s="230" t="s">
        <v>3961</v>
      </c>
      <c r="M6" s="268" t="s">
        <v>3959</v>
      </c>
      <c r="N6" s="81"/>
      <c r="O6" s="392"/>
    </row>
    <row r="7" spans="1:17" ht="58.5" customHeight="1" x14ac:dyDescent="0.2">
      <c r="A7" s="392"/>
      <c r="B7" s="230" t="s">
        <v>2939</v>
      </c>
      <c r="C7" s="265" t="str">
        <f>VLOOKUP(B7,Liste!A5:O1218,2,0)</f>
        <v>Leucidal SF Max</v>
      </c>
      <c r="D7" s="229" t="s">
        <v>2941</v>
      </c>
      <c r="E7" s="229" t="str">
        <f>VLOOKUP(C7,Liste!B5:P1218,2,0)</f>
        <v>Active Micro</v>
      </c>
      <c r="F7" s="229" t="s">
        <v>512</v>
      </c>
      <c r="G7" s="269">
        <v>4</v>
      </c>
      <c r="H7" s="229">
        <f>VLOOKUP('Gamme bébé'!B7,Liste!A5:O1264,6,0)</f>
        <v>39.43</v>
      </c>
      <c r="I7" s="230" t="s">
        <v>3962</v>
      </c>
      <c r="J7" s="230" t="s">
        <v>3963</v>
      </c>
      <c r="K7" s="270" t="s">
        <v>1533</v>
      </c>
      <c r="L7" s="230" t="s">
        <v>3964</v>
      </c>
      <c r="M7" s="268" t="s">
        <v>3965</v>
      </c>
      <c r="N7" s="173" t="s">
        <v>3966</v>
      </c>
      <c r="O7" s="392"/>
    </row>
    <row r="8" spans="1:17" ht="39" customHeight="1" x14ac:dyDescent="0.2">
      <c r="A8" s="392"/>
      <c r="B8" s="81" t="s">
        <v>2927</v>
      </c>
      <c r="C8" s="92" t="str">
        <f>VLOOKUP(B8,Liste!A6:O1219,2,0)</f>
        <v>AMTicide Coconut</v>
      </c>
      <c r="D8" s="93"/>
      <c r="E8" s="93" t="str">
        <f>VLOOKUP(C8,Liste!B6:P1219,2,0)</f>
        <v>Active Micro</v>
      </c>
      <c r="F8" s="93"/>
      <c r="G8" s="271">
        <v>2</v>
      </c>
      <c r="H8" s="93">
        <f>VLOOKUP('Gamme bébé'!B8,Liste!A6:O1265,6,0)</f>
        <v>48.8</v>
      </c>
      <c r="I8" s="81"/>
      <c r="J8" s="81"/>
      <c r="K8" s="129"/>
      <c r="L8" s="81"/>
      <c r="M8" s="84"/>
      <c r="N8" s="173"/>
      <c r="O8" s="392"/>
    </row>
    <row r="9" spans="1:17" ht="15.75" customHeight="1" x14ac:dyDescent="0.2">
      <c r="A9" s="392"/>
      <c r="B9" s="81" t="s">
        <v>3016</v>
      </c>
      <c r="C9" s="92" t="str">
        <f>VLOOKUP(B9,Liste!A5:O1218,2,0)</f>
        <v xml:space="preserve">Vanilline </v>
      </c>
      <c r="D9" s="93"/>
      <c r="E9" s="93" t="str">
        <f>VLOOKUP(C9,Liste!B5:P1218,2,0)</f>
        <v>Diffusions aromatiques</v>
      </c>
      <c r="F9" s="93"/>
      <c r="G9" s="271">
        <v>0.01</v>
      </c>
      <c r="H9" s="93">
        <f>VLOOKUP('Gamme bébé'!B9,Liste!A6:O1265,6,0)</f>
        <v>520</v>
      </c>
      <c r="I9" s="81"/>
      <c r="J9" s="81"/>
      <c r="K9" s="81"/>
      <c r="L9" s="81"/>
      <c r="M9" s="84"/>
      <c r="N9" s="81"/>
      <c r="O9" s="392"/>
      <c r="Q9" s="253" t="s">
        <v>3967</v>
      </c>
    </row>
    <row r="10" spans="1:17" ht="15.75" customHeight="1" x14ac:dyDescent="0.2">
      <c r="A10" s="392"/>
      <c r="B10" s="81" t="s">
        <v>2885</v>
      </c>
      <c r="C10" s="92" t="str">
        <f>VLOOKUP(B10,Liste!A6:O1219,2,0)</f>
        <v>Glycerine BIO</v>
      </c>
      <c r="D10" s="93"/>
      <c r="E10" s="93" t="str">
        <f>VLOOKUP(C10,Liste!B6:P1219,2,0)</f>
        <v>IES Labo</v>
      </c>
      <c r="F10" s="93"/>
      <c r="G10" s="271">
        <v>8</v>
      </c>
      <c r="H10" s="93">
        <f>VLOOKUP('Gamme bébé'!B10,Liste!A7:O1266,6,0)</f>
        <v>6.86</v>
      </c>
      <c r="I10" s="81"/>
      <c r="J10" s="81"/>
      <c r="K10" s="81"/>
      <c r="L10" s="81"/>
      <c r="M10" s="84"/>
      <c r="N10" s="81"/>
      <c r="O10" s="392"/>
    </row>
    <row r="11" spans="1:17" ht="15.75" customHeight="1" x14ac:dyDescent="0.2">
      <c r="A11" s="392"/>
      <c r="B11" s="81" t="s">
        <v>2827</v>
      </c>
      <c r="C11" s="92" t="str">
        <f>VLOOKUP(B11,Liste!A6:O1219,2,0)</f>
        <v>Gomme Xanthane</v>
      </c>
      <c r="D11" s="93"/>
      <c r="E11" s="93" t="str">
        <f>VLOOKUP(C11,Liste!B6:P1219,2,0)</f>
        <v>AMI</v>
      </c>
      <c r="F11" s="93"/>
      <c r="G11" s="271">
        <v>0.3</v>
      </c>
      <c r="H11" s="93">
        <f>VLOOKUP('Gamme bébé'!B11,Liste!A7:O1266,6,0)</f>
        <v>23.33</v>
      </c>
      <c r="I11" s="81"/>
      <c r="J11" s="81"/>
      <c r="K11" s="81"/>
      <c r="L11" s="81"/>
      <c r="M11" s="84"/>
      <c r="N11" s="81"/>
      <c r="O11" s="392"/>
    </row>
    <row r="12" spans="1:17" ht="15.75" customHeight="1" x14ac:dyDescent="0.2">
      <c r="A12" s="392"/>
      <c r="B12" s="81" t="s">
        <v>2848</v>
      </c>
      <c r="C12" s="92" t="str">
        <f>VLOOKUP(B12,Liste!A7:O1220,2,0)</f>
        <v>Amigum-SM2</v>
      </c>
      <c r="D12" s="93"/>
      <c r="E12" s="93" t="str">
        <f>VLOOKUP(C12,Liste!B7:P1220,2,0)</f>
        <v>Alban Muller</v>
      </c>
      <c r="F12" s="93"/>
      <c r="G12" s="271">
        <v>0.3</v>
      </c>
      <c r="H12" s="93">
        <f>VLOOKUP('Gamme bébé'!B12,Liste!A8:O1267,6,0)</f>
        <v>222.2</v>
      </c>
      <c r="I12" s="81"/>
      <c r="J12" s="81"/>
      <c r="K12" s="81"/>
      <c r="L12" s="81"/>
      <c r="M12" s="84"/>
      <c r="N12" s="81"/>
      <c r="O12" s="392"/>
    </row>
    <row r="13" spans="1:17" ht="15.75" customHeight="1" x14ac:dyDescent="0.2">
      <c r="A13" s="392"/>
      <c r="B13" s="81" t="s">
        <v>2717</v>
      </c>
      <c r="C13" s="92" t="str">
        <f>VLOOKUP(B13,Liste!A8:O1221,2,0)</f>
        <v>HV Olive BIO</v>
      </c>
      <c r="D13" s="93"/>
      <c r="E13" s="93" t="str">
        <f>VLOOKUP(C13,Liste!B8:P1221,2,0)</f>
        <v>Cauvin</v>
      </c>
      <c r="F13" s="93"/>
      <c r="G13" s="271">
        <v>24</v>
      </c>
      <c r="H13" s="93">
        <f>VLOOKUP('Gamme bébé'!B13,Liste!A9:O1268,6,0)</f>
        <v>10.43</v>
      </c>
      <c r="I13" s="81"/>
      <c r="J13" s="81"/>
      <c r="K13" s="81"/>
      <c r="L13" s="81"/>
      <c r="M13" s="84"/>
      <c r="N13" s="81"/>
      <c r="O13" s="392"/>
    </row>
    <row r="14" spans="1:17" ht="15" customHeight="1" x14ac:dyDescent="0.2">
      <c r="A14" s="392"/>
      <c r="B14" s="81" t="s">
        <v>2633</v>
      </c>
      <c r="C14" s="92" t="str">
        <f>VLOOKUP(B14,Liste!A9:O1222,2,0)</f>
        <v>Huile vegetale Noix de Coco Vierge bio</v>
      </c>
      <c r="D14" s="93"/>
      <c r="E14" s="93" t="str">
        <f>VLOOKUP(C14,Liste!B9:P1222,2,0)</f>
        <v>Aldivia</v>
      </c>
      <c r="F14" s="93"/>
      <c r="G14" s="271">
        <v>6</v>
      </c>
      <c r="H14" s="93">
        <f>VLOOKUP('Gamme bébé'!B14,Liste!A10:O1269,6,0)</f>
        <v>12.14</v>
      </c>
      <c r="I14" s="81"/>
      <c r="J14" s="81"/>
      <c r="K14" s="81"/>
      <c r="L14" s="81"/>
      <c r="M14" s="84"/>
      <c r="N14" s="81"/>
      <c r="O14" s="392"/>
    </row>
    <row r="15" spans="1:17" ht="15.75" customHeight="1" x14ac:dyDescent="0.2">
      <c r="A15" s="392"/>
      <c r="B15" s="81" t="s">
        <v>2932</v>
      </c>
      <c r="C15" s="92" t="str">
        <f>VLOOKUP(B15,Liste!A10:O1223,2,0)</f>
        <v>Cosphaderm Sodium LAAS</v>
      </c>
      <c r="D15" s="93"/>
      <c r="E15" s="93" t="str">
        <f>VLOOKUP(C15,Liste!B10:P1223,2,0)</f>
        <v>Cosphatec</v>
      </c>
      <c r="F15" s="93"/>
      <c r="G15" s="271">
        <v>1</v>
      </c>
      <c r="H15" s="93">
        <f>VLOOKUP('Gamme bébé'!B15,Liste!A11:O1270,6,0)</f>
        <v>94.57</v>
      </c>
      <c r="I15" s="81"/>
      <c r="J15" s="81"/>
      <c r="K15" s="81"/>
      <c r="L15" s="81"/>
      <c r="M15" s="84"/>
      <c r="N15" s="81"/>
      <c r="O15" s="392"/>
    </row>
    <row r="16" spans="1:17" ht="15.75" customHeight="1" x14ac:dyDescent="0.2">
      <c r="A16" s="392"/>
      <c r="B16" s="81" t="s">
        <v>2892</v>
      </c>
      <c r="C16" s="92" t="str">
        <f>VLOOKUP(B16,Liste!A11:O1224,2,0)</f>
        <v>Vitamine E</v>
      </c>
      <c r="D16" s="93"/>
      <c r="E16" s="93" t="str">
        <f>VLOOKUP(C16,Liste!B11:P1224,2,0)</f>
        <v>Azélis</v>
      </c>
      <c r="F16" s="93"/>
      <c r="G16" s="271">
        <v>7.0000000000000007E-2</v>
      </c>
      <c r="H16" s="93">
        <f>VLOOKUP('Gamme bébé'!B16,Liste!A12:O1271,6,0)</f>
        <v>230.23</v>
      </c>
      <c r="I16" s="81"/>
      <c r="J16" s="81"/>
      <c r="K16" s="81"/>
      <c r="L16" s="81"/>
      <c r="M16" s="84"/>
      <c r="N16" s="81"/>
      <c r="O16" s="392"/>
    </row>
    <row r="17" spans="1:16" ht="15.75" customHeight="1" x14ac:dyDescent="0.2">
      <c r="A17" s="392"/>
      <c r="B17" s="81" t="s">
        <v>2898</v>
      </c>
      <c r="C17" s="92" t="str">
        <f>VLOOKUP(B17,Liste!A12:O1225,2,0)</f>
        <v>Acide lactique</v>
      </c>
      <c r="D17" s="93"/>
      <c r="E17" s="93" t="str">
        <f>VLOOKUP(C17,Liste!B12:P1225,2,0)</f>
        <v>AMI</v>
      </c>
      <c r="F17" s="93"/>
      <c r="G17" s="271">
        <v>0.4</v>
      </c>
      <c r="H17" s="93">
        <f>VLOOKUP('Gamme bébé'!B17,Liste!A13:O1272,6,0)</f>
        <v>6.4</v>
      </c>
      <c r="I17" s="81"/>
      <c r="J17" s="81"/>
      <c r="K17" s="81"/>
      <c r="L17" s="81"/>
      <c r="M17" s="84"/>
      <c r="N17" s="81"/>
      <c r="O17" s="392"/>
    </row>
    <row r="18" spans="1:16" ht="15.75" customHeight="1" x14ac:dyDescent="0.2">
      <c r="A18" s="359"/>
      <c r="B18" s="52" t="s">
        <v>2543</v>
      </c>
      <c r="C18" s="272" t="str">
        <f>VLOOKUP(B18,Liste!A13:O1226,2,0)</f>
        <v>Eau déminéralisée</v>
      </c>
      <c r="D18" s="54"/>
      <c r="E18" s="54"/>
      <c r="F18" s="54"/>
      <c r="G18" s="273">
        <f>100-SUM(G3:G17)</f>
        <v>34.52000000000001</v>
      </c>
      <c r="H18" s="54"/>
      <c r="I18" s="52"/>
      <c r="J18" s="52"/>
      <c r="K18" s="52"/>
      <c r="L18" s="52"/>
      <c r="M18" s="53"/>
      <c r="N18" s="81"/>
      <c r="O18" s="359"/>
    </row>
    <row r="19" spans="1:16" ht="58.5" customHeight="1" x14ac:dyDescent="0.2">
      <c r="A19" s="391" t="s">
        <v>3968</v>
      </c>
      <c r="B19" s="230" t="s">
        <v>2737</v>
      </c>
      <c r="C19" s="265" t="str">
        <f>VLOOKUP(B19,Liste!A5:O1218,2,0)</f>
        <v>Cire de candelilla</v>
      </c>
      <c r="D19" s="229" t="s">
        <v>2739</v>
      </c>
      <c r="E19" s="229" t="str">
        <f>VLOOKUP(C19,Liste!B5:P1218,2,0)</f>
        <v xml:space="preserve">Ingretech </v>
      </c>
      <c r="F19" s="229" t="s">
        <v>2065</v>
      </c>
      <c r="G19" s="274">
        <v>3</v>
      </c>
      <c r="H19" s="229">
        <f>VLOOKUP('Gamme bébé'!B19,Liste!A5:O1264,6,0)</f>
        <v>28.9</v>
      </c>
      <c r="I19" s="230" t="s">
        <v>3969</v>
      </c>
      <c r="J19" s="230" t="s">
        <v>3970</v>
      </c>
      <c r="K19" s="268" t="s">
        <v>3971</v>
      </c>
      <c r="L19" s="230" t="s">
        <v>3951</v>
      </c>
      <c r="M19" s="275" t="s">
        <v>3959</v>
      </c>
      <c r="N19" s="267" t="s">
        <v>3972</v>
      </c>
      <c r="O19" s="393" t="s">
        <v>3973</v>
      </c>
      <c r="P19" s="123">
        <f>SUM(G19:G24)</f>
        <v>100</v>
      </c>
    </row>
    <row r="20" spans="1:16" ht="44.25" customHeight="1" x14ac:dyDescent="0.2">
      <c r="A20" s="392"/>
      <c r="B20" s="230" t="s">
        <v>2730</v>
      </c>
      <c r="C20" s="265" t="str">
        <f>VLOOKUP(B20,Liste!A6:O1219,2,0)</f>
        <v>Cire de Sumac</v>
      </c>
      <c r="D20" s="229" t="s">
        <v>3974</v>
      </c>
      <c r="E20" s="229" t="str">
        <f>VLOOKUP(C20,Liste!B6:P1219,2,0)</f>
        <v>Naturochim</v>
      </c>
      <c r="F20" s="229" t="s">
        <v>3971</v>
      </c>
      <c r="G20" s="274">
        <v>10</v>
      </c>
      <c r="H20" s="229">
        <f>VLOOKUP('Gamme bébé'!B20,Liste!A6:O1265,6,0)</f>
        <v>40.53</v>
      </c>
      <c r="I20" s="230" t="s">
        <v>3969</v>
      </c>
      <c r="J20" s="228" t="s">
        <v>3975</v>
      </c>
      <c r="K20" s="229" t="s">
        <v>3976</v>
      </c>
      <c r="L20" s="230" t="s">
        <v>3977</v>
      </c>
      <c r="M20" s="268" t="s">
        <v>3959</v>
      </c>
      <c r="N20" s="81"/>
      <c r="O20" s="392"/>
    </row>
    <row r="21" spans="1:16" ht="15.75" customHeight="1" x14ac:dyDescent="0.2">
      <c r="A21" s="392"/>
      <c r="B21" s="81" t="s">
        <v>2717</v>
      </c>
      <c r="C21" s="92" t="str">
        <f>VLOOKUP(B21,Liste!A7:O1220,2,0)</f>
        <v>HV Olive BIO</v>
      </c>
      <c r="D21" s="93"/>
      <c r="E21" s="93" t="str">
        <f>VLOOKUP(C21,Liste!B7:P1220,2,0)</f>
        <v>Cauvin</v>
      </c>
      <c r="F21" s="93"/>
      <c r="G21" s="89">
        <v>61.45</v>
      </c>
      <c r="H21" s="93">
        <f>VLOOKUP('Gamme bébé'!B21,Liste!A7:O1266,6,0)</f>
        <v>10.43</v>
      </c>
      <c r="I21" s="81"/>
      <c r="J21" s="81"/>
      <c r="K21" s="81"/>
      <c r="L21" s="81"/>
      <c r="M21" s="84"/>
      <c r="N21" s="81"/>
      <c r="O21" s="392"/>
    </row>
    <row r="22" spans="1:16" ht="15.75" customHeight="1" x14ac:dyDescent="0.2">
      <c r="A22" s="392"/>
      <c r="B22" s="81" t="s">
        <v>3016</v>
      </c>
      <c r="C22" s="92" t="str">
        <f>VLOOKUP(B22,Liste!A8:O1221,2,0)</f>
        <v xml:space="preserve">Vanilline </v>
      </c>
      <c r="D22" s="93"/>
      <c r="E22" s="93" t="str">
        <f>VLOOKUP(C22,Liste!B8:P1221,2,0)</f>
        <v>Diffusions aromatiques</v>
      </c>
      <c r="F22" s="93"/>
      <c r="G22" s="89">
        <v>0.05</v>
      </c>
      <c r="H22" s="93">
        <f>VLOOKUP('Gamme bébé'!B22,Liste!A8:O1267,6,0)</f>
        <v>520</v>
      </c>
      <c r="I22" s="81"/>
      <c r="J22" s="81"/>
      <c r="K22" s="81"/>
      <c r="L22" s="81"/>
      <c r="M22" s="84"/>
      <c r="N22" s="81"/>
      <c r="O22" s="392"/>
    </row>
    <row r="23" spans="1:16" ht="15.75" customHeight="1" x14ac:dyDescent="0.2">
      <c r="A23" s="392"/>
      <c r="B23" s="81" t="s">
        <v>2724</v>
      </c>
      <c r="C23" s="92" t="str">
        <f>VLOOKUP(B23,Liste!A9:O1222,2,0)</f>
        <v>Macérât de lavande bio</v>
      </c>
      <c r="D23" s="93"/>
      <c r="E23" s="93" t="str">
        <f>VLOOKUP(C23,Liste!B9:P1222,2,0)</f>
        <v>La Canopée</v>
      </c>
      <c r="F23" s="93"/>
      <c r="G23" s="89">
        <v>25</v>
      </c>
      <c r="H23" s="93">
        <f>VLOOKUP('Gamme bébé'!B23,Liste!A9:O1268,6,0)</f>
        <v>13.1</v>
      </c>
      <c r="I23" s="81"/>
      <c r="J23" s="81"/>
      <c r="K23" s="81"/>
      <c r="L23" s="81"/>
      <c r="M23" s="84"/>
      <c r="N23" s="81"/>
      <c r="O23" s="392"/>
    </row>
    <row r="24" spans="1:16" ht="15.75" customHeight="1" x14ac:dyDescent="0.2">
      <c r="A24" s="359"/>
      <c r="B24" s="81" t="s">
        <v>2892</v>
      </c>
      <c r="C24" s="92" t="str">
        <f>VLOOKUP(B24,Liste!A10:O1223,2,0)</f>
        <v>Vitamine E</v>
      </c>
      <c r="D24" s="93"/>
      <c r="E24" s="93" t="str">
        <f>VLOOKUP(C24,Liste!B10:P1223,2,0)</f>
        <v>Azélis</v>
      </c>
      <c r="F24" s="93"/>
      <c r="G24" s="89">
        <v>0.5</v>
      </c>
      <c r="H24" s="93">
        <f>VLOOKUP('Gamme bébé'!B24,Liste!A10:O1269,6,0)</f>
        <v>230.23</v>
      </c>
      <c r="I24" s="81"/>
      <c r="J24" s="81"/>
      <c r="K24" s="81"/>
      <c r="L24" s="81"/>
      <c r="M24" s="84"/>
      <c r="N24" s="81"/>
      <c r="O24" s="359"/>
    </row>
    <row r="25" spans="1:16" ht="56.25" customHeight="1" x14ac:dyDescent="0.2">
      <c r="A25" s="391" t="s">
        <v>3978</v>
      </c>
      <c r="B25" s="230" t="s">
        <v>2754</v>
      </c>
      <c r="C25" s="265" t="str">
        <f>VLOOKUP(B25,Liste!A7:O1220,2,0)</f>
        <v>Huile de cameline vierge BIO</v>
      </c>
      <c r="D25" s="229" t="s">
        <v>1240</v>
      </c>
      <c r="E25" s="229" t="s">
        <v>1221</v>
      </c>
      <c r="F25" s="229" t="s">
        <v>873</v>
      </c>
      <c r="G25" s="274">
        <v>16</v>
      </c>
      <c r="H25" s="229">
        <f>VLOOKUP('Gamme bébé'!B25,Liste!A7:O1266,6,0)</f>
        <v>12.67</v>
      </c>
      <c r="I25" s="230" t="s">
        <v>3979</v>
      </c>
      <c r="J25" s="230" t="s">
        <v>3980</v>
      </c>
      <c r="K25" s="268" t="s">
        <v>3981</v>
      </c>
      <c r="L25" s="230" t="s">
        <v>3951</v>
      </c>
      <c r="M25" s="268" t="s">
        <v>3965</v>
      </c>
      <c r="N25" s="93" t="s">
        <v>3966</v>
      </c>
      <c r="O25" s="393" t="s">
        <v>3982</v>
      </c>
      <c r="P25" s="123">
        <f>SUM(G25:G32)</f>
        <v>100</v>
      </c>
    </row>
    <row r="26" spans="1:16" ht="60" customHeight="1" x14ac:dyDescent="0.2">
      <c r="A26" s="392"/>
      <c r="B26" s="81" t="s">
        <v>2717</v>
      </c>
      <c r="C26" s="92" t="str">
        <f>VLOOKUP(B26,Liste!A8:O1221,2,0)</f>
        <v>HV Olive BIO</v>
      </c>
      <c r="D26" s="93"/>
      <c r="E26" s="93" t="str">
        <f>VLOOKUP(C26,Liste!B8:P1221,2,0)</f>
        <v>Cauvin</v>
      </c>
      <c r="F26" s="173" t="s">
        <v>3983</v>
      </c>
      <c r="G26" s="89">
        <v>56.95</v>
      </c>
      <c r="H26" s="93">
        <f>VLOOKUP('Gamme bébé'!B26,Liste!A8:O1267,6,0)</f>
        <v>10.43</v>
      </c>
      <c r="I26" s="81"/>
      <c r="J26" s="81"/>
      <c r="K26" s="81"/>
      <c r="L26" s="81"/>
      <c r="M26" s="84"/>
      <c r="N26" s="81"/>
      <c r="O26" s="392"/>
    </row>
    <row r="27" spans="1:16" ht="37.5" customHeight="1" x14ac:dyDescent="0.2">
      <c r="A27" s="392"/>
      <c r="B27" s="81" t="s">
        <v>2921</v>
      </c>
      <c r="C27" s="92" t="str">
        <f>VLOOKUP(B27,Liste!A9:O1222,2,0)</f>
        <v>DUB MUG</v>
      </c>
      <c r="D27" s="93"/>
      <c r="E27" s="93" t="str">
        <f>VLOOKUP(C27,Liste!B9:P1222,2,0)</f>
        <v>Azelis</v>
      </c>
      <c r="F27" s="173"/>
      <c r="G27" s="89">
        <v>1</v>
      </c>
      <c r="H27" s="93"/>
      <c r="I27" s="81"/>
      <c r="J27" s="81"/>
      <c r="K27" s="81"/>
      <c r="L27" s="81"/>
      <c r="M27" s="84"/>
      <c r="N27" s="81"/>
      <c r="O27" s="392"/>
    </row>
    <row r="28" spans="1:16" ht="24" customHeight="1" x14ac:dyDescent="0.2">
      <c r="A28" s="392"/>
      <c r="B28" s="81" t="s">
        <v>2730</v>
      </c>
      <c r="C28" s="92" t="str">
        <f>VLOOKUP(B28,Liste!A9:O1222,2,0)</f>
        <v>Cire de Sumac</v>
      </c>
      <c r="D28" s="93"/>
      <c r="E28" s="93" t="str">
        <f>VLOOKUP(C28,Liste!B9:P1222,2,0)</f>
        <v>Naturochim</v>
      </c>
      <c r="F28" s="173" t="s">
        <v>3971</v>
      </c>
      <c r="G28" s="89">
        <v>3.1</v>
      </c>
      <c r="H28" s="93">
        <f>VLOOKUP('Gamme bébé'!B28,Liste!A9:O1268,6,0)</f>
        <v>40.53</v>
      </c>
      <c r="I28" s="81"/>
      <c r="J28" s="81"/>
      <c r="K28" s="81"/>
      <c r="L28" s="81"/>
      <c r="M28" s="84"/>
      <c r="N28" s="81"/>
      <c r="O28" s="392"/>
    </row>
    <row r="29" spans="1:16" ht="33" customHeight="1" x14ac:dyDescent="0.2">
      <c r="A29" s="392"/>
      <c r="B29" s="81" t="s">
        <v>2737</v>
      </c>
      <c r="C29" s="92" t="str">
        <f>VLOOKUP(B29,Liste!A10:O1223,2,0)</f>
        <v>Cire de candelilla</v>
      </c>
      <c r="D29" s="93"/>
      <c r="E29" s="93" t="str">
        <f>VLOOKUP(C29,Liste!B10:P1223,2,0)</f>
        <v xml:space="preserve">Ingretech </v>
      </c>
      <c r="F29" s="93" t="s">
        <v>2065</v>
      </c>
      <c r="G29" s="89">
        <v>1.75</v>
      </c>
      <c r="H29" s="93">
        <f>VLOOKUP('Gamme bébé'!B29,Liste!A10:O1269,6,0)</f>
        <v>28.9</v>
      </c>
      <c r="I29" s="81"/>
      <c r="J29" s="81"/>
      <c r="K29" s="81"/>
      <c r="L29" s="81"/>
      <c r="M29" s="84"/>
      <c r="N29" s="81"/>
      <c r="O29" s="392"/>
    </row>
    <row r="30" spans="1:16" ht="32.25" customHeight="1" x14ac:dyDescent="0.2">
      <c r="A30" s="392"/>
      <c r="B30" s="81" t="s">
        <v>3039</v>
      </c>
      <c r="C30" s="92" t="str">
        <f>VLOOKUP(B30,Liste!A11:O1224,2,0)</f>
        <v>Extrait CO2 Calendula Marigold flower</v>
      </c>
      <c r="D30" s="93"/>
      <c r="E30" s="93" t="str">
        <f>VLOOKUP(C30,Liste!B11:P1224,2,0)</f>
        <v>Flavex</v>
      </c>
      <c r="F30" s="93"/>
      <c r="G30" s="89">
        <v>1</v>
      </c>
      <c r="H30" s="93">
        <f>VLOOKUP('Gamme bébé'!B30,Liste!A11:O1270,6,0)</f>
        <v>320</v>
      </c>
      <c r="I30" s="81"/>
      <c r="J30" s="81"/>
      <c r="K30" s="81"/>
      <c r="L30" s="81"/>
      <c r="M30" s="84"/>
      <c r="N30" s="81"/>
      <c r="O30" s="392"/>
    </row>
    <row r="31" spans="1:16" ht="34.5" customHeight="1" x14ac:dyDescent="0.2">
      <c r="A31" s="392"/>
      <c r="B31" s="81" t="s">
        <v>2743</v>
      </c>
      <c r="C31" s="92" t="str">
        <f>VLOOKUP(B31,Liste!A12:O1225,2,0)</f>
        <v>Viamerine 10 000</v>
      </c>
      <c r="D31" s="93"/>
      <c r="E31" s="93" t="str">
        <f>VLOOKUP(C31,Liste!B12:P1225,2,0)</f>
        <v>Aldivia</v>
      </c>
      <c r="F31" s="93"/>
      <c r="G31" s="89">
        <v>20</v>
      </c>
      <c r="H31" s="93">
        <f>VLOOKUP('Gamme bébé'!B31,Liste!A12:O1271,6,0)</f>
        <v>41.74</v>
      </c>
      <c r="I31" s="81"/>
      <c r="J31" s="81"/>
      <c r="K31" s="81"/>
      <c r="L31" s="81"/>
      <c r="M31" s="84"/>
      <c r="N31" s="81"/>
      <c r="O31" s="392"/>
    </row>
    <row r="32" spans="1:16" ht="24" customHeight="1" x14ac:dyDescent="0.2">
      <c r="A32" s="359"/>
      <c r="B32" s="81" t="s">
        <v>2892</v>
      </c>
      <c r="C32" s="92" t="str">
        <f>VLOOKUP(B32,Liste!A14:O1227,2,0)</f>
        <v>Vitamine E</v>
      </c>
      <c r="D32" s="93"/>
      <c r="E32" s="93" t="str">
        <f>VLOOKUP(C32,Liste!B14:P1227,2,0)</f>
        <v>Azélis</v>
      </c>
      <c r="F32" s="93"/>
      <c r="G32" s="89">
        <v>0.2</v>
      </c>
      <c r="H32" s="93">
        <f>VLOOKUP('Gamme bébé'!B32,Liste!A14:O1273,6,0)</f>
        <v>230.23</v>
      </c>
      <c r="I32" s="81"/>
      <c r="J32" s="81"/>
      <c r="K32" s="81"/>
      <c r="L32" s="81"/>
      <c r="M32" s="84"/>
      <c r="N32" s="81"/>
      <c r="O32" s="359"/>
    </row>
    <row r="33" spans="1:16" ht="40.5" customHeight="1" x14ac:dyDescent="0.2">
      <c r="A33" s="391" t="s">
        <v>3984</v>
      </c>
      <c r="B33" s="170" t="s">
        <v>2821</v>
      </c>
      <c r="C33" s="276" t="str">
        <f>VLOOKUP(B33,Liste!A8:O1221,2,0)</f>
        <v>Pureact Gluco D CO</v>
      </c>
      <c r="D33" s="277" t="s">
        <v>2823</v>
      </c>
      <c r="E33" s="277" t="str">
        <f>VLOOKUP(C33,Liste!B8:P1221,2,0)</f>
        <v xml:space="preserve">Ingretech </v>
      </c>
      <c r="F33" s="278" t="s">
        <v>512</v>
      </c>
      <c r="G33" s="279">
        <v>6</v>
      </c>
      <c r="H33" s="277">
        <f>VLOOKUP('Gamme bébé'!B33,Liste!A8:O1267,6,0)</f>
        <v>4.45</v>
      </c>
      <c r="I33" s="170"/>
      <c r="J33" s="278" t="s">
        <v>3985</v>
      </c>
      <c r="K33" s="280" t="s">
        <v>3971</v>
      </c>
      <c r="L33" s="170" t="s">
        <v>3986</v>
      </c>
      <c r="M33" s="281"/>
      <c r="N33" s="81"/>
      <c r="O33" s="393" t="s">
        <v>3987</v>
      </c>
      <c r="P33" s="123">
        <f>SUM(G33:G45)</f>
        <v>100</v>
      </c>
    </row>
    <row r="34" spans="1:16" ht="57" customHeight="1" x14ac:dyDescent="0.2">
      <c r="A34" s="392"/>
      <c r="B34" s="230" t="s">
        <v>2865</v>
      </c>
      <c r="C34" s="265" t="str">
        <f>VLOOKUP(B34,Liste!A9:O1222,2,0)</f>
        <v>Holisurf HF</v>
      </c>
      <c r="D34" s="228" t="s">
        <v>2336</v>
      </c>
      <c r="E34" s="229" t="str">
        <f>VLOOKUP(C34,Liste!B9:P1222,2,0)</f>
        <v xml:space="preserve">Ingretech </v>
      </c>
      <c r="F34" s="229" t="s">
        <v>512</v>
      </c>
      <c r="G34" s="274">
        <v>4</v>
      </c>
      <c r="H34" s="229">
        <f>VLOOKUP('Gamme bébé'!B34,Liste!A9:O1268,6,0)</f>
        <v>12.5</v>
      </c>
      <c r="I34" s="230" t="s">
        <v>3988</v>
      </c>
      <c r="J34" s="230" t="s">
        <v>3989</v>
      </c>
      <c r="K34" s="267" t="s">
        <v>3990</v>
      </c>
      <c r="L34" s="230" t="s">
        <v>3991</v>
      </c>
      <c r="M34" s="268"/>
      <c r="N34" s="81"/>
      <c r="O34" s="392"/>
    </row>
    <row r="35" spans="1:16" ht="33" customHeight="1" x14ac:dyDescent="0.2">
      <c r="A35" s="392"/>
      <c r="B35" s="230" t="s">
        <v>2795</v>
      </c>
      <c r="C35" s="265" t="str">
        <f>VLOOKUP(B35,Liste!A10:O1223,2,0)</f>
        <v>Hydrolat de fleur d'oranger (Néroli) BIO non conservé</v>
      </c>
      <c r="D35" s="229" t="s">
        <v>2797</v>
      </c>
      <c r="E35" s="229" t="str">
        <f>VLOOKUP(C35,Liste!B10:P1223,2,0)</f>
        <v>Florihana</v>
      </c>
      <c r="F35" s="229" t="s">
        <v>3992</v>
      </c>
      <c r="G35" s="274">
        <v>20</v>
      </c>
      <c r="H35" s="229">
        <f>VLOOKUP('Gamme bébé'!B35,Liste!A10:O1269,6,0)</f>
        <v>11.93</v>
      </c>
      <c r="I35" s="230" t="s">
        <v>3949</v>
      </c>
      <c r="J35" s="229" t="s">
        <v>3993</v>
      </c>
      <c r="K35" s="268" t="s">
        <v>3950</v>
      </c>
      <c r="L35" s="230" t="s">
        <v>3951</v>
      </c>
      <c r="M35" s="268" t="s">
        <v>3952</v>
      </c>
      <c r="N35" s="81"/>
      <c r="O35" s="392"/>
    </row>
    <row r="36" spans="1:16" ht="58.5" customHeight="1" x14ac:dyDescent="0.2">
      <c r="A36" s="392"/>
      <c r="B36" s="81" t="s">
        <v>2939</v>
      </c>
      <c r="C36" s="92" t="str">
        <f>VLOOKUP(B36,Liste!A11:O1224,2,0)</f>
        <v>Leucidal SF Max</v>
      </c>
      <c r="D36" s="93" t="s">
        <v>2941</v>
      </c>
      <c r="E36" s="93" t="str">
        <f>VLOOKUP(C36,Liste!B11:P1224,2,0)</f>
        <v>Active Micro</v>
      </c>
      <c r="F36" s="93"/>
      <c r="G36" s="89">
        <v>4</v>
      </c>
      <c r="H36" s="93">
        <f>VLOOKUP('Gamme bébé'!B36,Liste!A11:O1270,6,0)</f>
        <v>39.43</v>
      </c>
      <c r="I36" s="81" t="s">
        <v>3969</v>
      </c>
      <c r="J36" s="81"/>
      <c r="K36" s="109" t="s">
        <v>3994</v>
      </c>
      <c r="L36" s="81" t="s">
        <v>3964</v>
      </c>
      <c r="M36" s="84" t="s">
        <v>3965</v>
      </c>
      <c r="N36" s="81"/>
      <c r="O36" s="392"/>
    </row>
    <row r="37" spans="1:16" ht="33" customHeight="1" x14ac:dyDescent="0.2">
      <c r="A37" s="392"/>
      <c r="B37" s="81" t="s">
        <v>3016</v>
      </c>
      <c r="C37" s="92" t="str">
        <f>VLOOKUP(B37,Liste!A12:O1225,2,0)</f>
        <v xml:space="preserve">Vanilline </v>
      </c>
      <c r="D37" s="93"/>
      <c r="E37" s="93" t="str">
        <f>VLOOKUP(C37,Liste!B12:P1225,2,0)</f>
        <v>Diffusions aromatiques</v>
      </c>
      <c r="F37" s="93"/>
      <c r="G37" s="89">
        <v>0.05</v>
      </c>
      <c r="H37" s="93">
        <f>VLOOKUP('Gamme bébé'!B37,Liste!A12:O1271,6,0)</f>
        <v>520</v>
      </c>
      <c r="I37" s="81"/>
      <c r="J37" s="81"/>
      <c r="K37" s="81"/>
      <c r="L37" s="81"/>
      <c r="M37" s="84"/>
      <c r="N37" s="81"/>
      <c r="O37" s="392"/>
    </row>
    <row r="38" spans="1:16" ht="33" customHeight="1" x14ac:dyDescent="0.2">
      <c r="A38" s="392"/>
      <c r="B38" s="81" t="s">
        <v>2932</v>
      </c>
      <c r="C38" s="92" t="str">
        <f>VLOOKUP(B38,Liste!A13:O1226,2,0)</f>
        <v>Cosphaderm Sodium LAAS</v>
      </c>
      <c r="D38" s="93"/>
      <c r="E38" s="93" t="str">
        <f>VLOOKUP(C38,Liste!B13:P1226,2,0)</f>
        <v>Cosphatec</v>
      </c>
      <c r="F38" s="93"/>
      <c r="G38" s="89">
        <v>1</v>
      </c>
      <c r="H38" s="93">
        <f>VLOOKUP('Gamme bébé'!B38,Liste!A13:O1272,6,0)</f>
        <v>94.57</v>
      </c>
      <c r="I38" s="81"/>
      <c r="J38" s="81"/>
      <c r="K38" s="81"/>
      <c r="L38" s="81"/>
      <c r="M38" s="84"/>
      <c r="N38" s="81"/>
      <c r="O38" s="392"/>
    </row>
    <row r="39" spans="1:16" ht="33" customHeight="1" x14ac:dyDescent="0.2">
      <c r="A39" s="392"/>
      <c r="B39" s="81" t="s">
        <v>2717</v>
      </c>
      <c r="C39" s="92" t="str">
        <f>VLOOKUP(B39,Liste!A14:O1227,2,0)</f>
        <v>HV Olive BIO</v>
      </c>
      <c r="D39" s="93"/>
      <c r="E39" s="93" t="str">
        <f>VLOOKUP(C39,Liste!B14:P1227,2,0)</f>
        <v>Cauvin</v>
      </c>
      <c r="F39" s="93"/>
      <c r="G39" s="89">
        <v>1</v>
      </c>
      <c r="H39" s="93">
        <f>VLOOKUP('Gamme bébé'!B39,Liste!A14:O1273,6,0)</f>
        <v>10.43</v>
      </c>
      <c r="I39" s="81"/>
      <c r="J39" s="81"/>
      <c r="K39" s="81"/>
      <c r="L39" s="81"/>
      <c r="M39" s="84"/>
      <c r="N39" s="81"/>
      <c r="O39" s="392"/>
    </row>
    <row r="40" spans="1:16" ht="33" customHeight="1" x14ac:dyDescent="0.2">
      <c r="A40" s="392"/>
      <c r="B40" s="81" t="s">
        <v>2713</v>
      </c>
      <c r="C40" s="92" t="str">
        <f>VLOOKUP(B40,Liste!A15:O1228,2,0)</f>
        <v>HV Buah Merah</v>
      </c>
      <c r="D40" s="93"/>
      <c r="E40" s="93" t="str">
        <f>VLOOKUP(C40,Liste!B15:P1228,2,0)</f>
        <v>DKSH</v>
      </c>
      <c r="F40" s="93"/>
      <c r="G40" s="89">
        <v>0.01</v>
      </c>
      <c r="H40" s="93">
        <f>VLOOKUP('Gamme bébé'!B40,Liste!A15:O1274,6,0)</f>
        <v>170</v>
      </c>
      <c r="I40" s="81"/>
      <c r="J40" s="81"/>
      <c r="K40" s="81"/>
      <c r="L40" s="81"/>
      <c r="M40" s="84"/>
      <c r="N40" s="81"/>
      <c r="O40" s="392"/>
    </row>
    <row r="41" spans="1:16" ht="33" customHeight="1" x14ac:dyDescent="0.2">
      <c r="A41" s="392"/>
      <c r="B41" s="81" t="s">
        <v>2587</v>
      </c>
      <c r="C41" s="92" t="str">
        <f>VLOOKUP(B41,Liste!A16:O1229,2,0)</f>
        <v xml:space="preserve">CosmePhytami Oat </v>
      </c>
      <c r="D41" s="93" t="s">
        <v>2590</v>
      </c>
      <c r="E41" s="93" t="str">
        <f>VLOOKUP(C41,Liste!B16:P1229,2,0)</f>
        <v>Alban Muller / CRODA</v>
      </c>
      <c r="F41" s="93"/>
      <c r="G41" s="89">
        <v>1</v>
      </c>
      <c r="H41" s="93">
        <f>VLOOKUP('Gamme bébé'!B41,Liste!A16:O1275,6,0)</f>
        <v>32.82</v>
      </c>
      <c r="I41" s="81" t="s">
        <v>3957</v>
      </c>
      <c r="J41" s="81"/>
      <c r="K41" s="84" t="s">
        <v>3995</v>
      </c>
      <c r="L41" s="81" t="s">
        <v>3961</v>
      </c>
      <c r="M41" s="84" t="s">
        <v>3959</v>
      </c>
      <c r="N41" s="81"/>
      <c r="O41" s="392"/>
    </row>
    <row r="42" spans="1:16" ht="33" customHeight="1" x14ac:dyDescent="0.2">
      <c r="A42" s="392"/>
      <c r="B42" s="81" t="s">
        <v>2885</v>
      </c>
      <c r="C42" s="92" t="str">
        <f>VLOOKUP(B42,Liste!A17:O1230,2,0)</f>
        <v>Glycerine BIO</v>
      </c>
      <c r="D42" s="93"/>
      <c r="E42" s="93" t="str">
        <f>VLOOKUP(C42,Liste!B17:P1230,2,0)</f>
        <v>IES Labo</v>
      </c>
      <c r="F42" s="93"/>
      <c r="G42" s="89">
        <v>9</v>
      </c>
      <c r="H42" s="93">
        <f>VLOOKUP('Gamme bébé'!B42,Liste!A17:O1276,6,0)</f>
        <v>6.86</v>
      </c>
      <c r="I42" s="81"/>
      <c r="J42" s="81"/>
      <c r="K42" s="81"/>
      <c r="L42" s="81"/>
      <c r="M42" s="84"/>
      <c r="N42" s="81"/>
      <c r="O42" s="392"/>
    </row>
    <row r="43" spans="1:16" ht="33" customHeight="1" x14ac:dyDescent="0.2">
      <c r="A43" s="392"/>
      <c r="B43" s="81" t="s">
        <v>2827</v>
      </c>
      <c r="C43" s="92" t="str">
        <f>VLOOKUP(B43,Liste!A18:O1231,2,0)</f>
        <v>Gomme Xanthane</v>
      </c>
      <c r="D43" s="93"/>
      <c r="E43" s="93" t="str">
        <f>VLOOKUP(C43,Liste!B18:P1231,2,0)</f>
        <v>AMI</v>
      </c>
      <c r="F43" s="93"/>
      <c r="G43" s="89">
        <v>1.2</v>
      </c>
      <c r="H43" s="93">
        <f>VLOOKUP('Gamme bébé'!B43,Liste!A18:O1277,6,0)</f>
        <v>23.33</v>
      </c>
      <c r="I43" s="81"/>
      <c r="J43" s="81"/>
      <c r="K43" s="81"/>
      <c r="L43" s="81"/>
      <c r="M43" s="84"/>
      <c r="N43" s="81"/>
      <c r="O43" s="392"/>
    </row>
    <row r="44" spans="1:16" ht="33" customHeight="1" x14ac:dyDescent="0.2">
      <c r="A44" s="392"/>
      <c r="B44" s="81" t="s">
        <v>2898</v>
      </c>
      <c r="C44" s="92" t="str">
        <f>VLOOKUP(B44,Liste!A19:O1232,2,0)</f>
        <v>Acide lactique</v>
      </c>
      <c r="D44" s="93"/>
      <c r="E44" s="93" t="str">
        <f>VLOOKUP(C44,Liste!B19:P1232,2,0)</f>
        <v>AMI</v>
      </c>
      <c r="F44" s="93"/>
      <c r="G44" s="89">
        <v>0.6</v>
      </c>
      <c r="H44" s="93">
        <f>VLOOKUP('Gamme bébé'!B44,Liste!A19:O1278,6,0)</f>
        <v>6.4</v>
      </c>
      <c r="I44" s="81"/>
      <c r="J44" s="81"/>
      <c r="K44" s="81"/>
      <c r="L44" s="81"/>
      <c r="M44" s="84"/>
      <c r="N44" s="81"/>
      <c r="O44" s="359"/>
    </row>
    <row r="45" spans="1:16" ht="21" customHeight="1" x14ac:dyDescent="0.2">
      <c r="A45" s="359"/>
      <c r="B45" s="52" t="s">
        <v>2543</v>
      </c>
      <c r="C45" s="272" t="str">
        <f>VLOOKUP(B45,Liste!A20:O1233,2,0)</f>
        <v>Eau déminéralisée</v>
      </c>
      <c r="D45" s="54"/>
      <c r="E45" s="54" t="str">
        <f>VLOOKUP(C45,Liste!B20:P1233,2,0)</f>
        <v>La Canopée</v>
      </c>
      <c r="F45" s="54"/>
      <c r="G45" s="282">
        <v>52.14</v>
      </c>
      <c r="H45" s="54"/>
      <c r="I45" s="52"/>
      <c r="J45" s="52"/>
      <c r="K45" s="52"/>
      <c r="L45" s="52"/>
      <c r="M45" s="53"/>
      <c r="N45" s="81"/>
      <c r="O45" s="283"/>
    </row>
    <row r="46" spans="1:16" ht="35.25" customHeight="1" x14ac:dyDescent="0.2">
      <c r="A46" s="391" t="s">
        <v>3996</v>
      </c>
      <c r="B46" s="230" t="s">
        <v>3090</v>
      </c>
      <c r="C46" s="265" t="str">
        <f>VLOOKUP(B46,Liste!A21:O1234,2,0)</f>
        <v xml:space="preserve">Hydroxyde de calcium </v>
      </c>
      <c r="D46" s="229" t="s">
        <v>3997</v>
      </c>
      <c r="E46" s="229" t="s">
        <v>3998</v>
      </c>
      <c r="F46" s="229" t="s">
        <v>512</v>
      </c>
      <c r="G46" s="274">
        <v>50</v>
      </c>
      <c r="H46" s="229">
        <v>0.41199999999999998</v>
      </c>
      <c r="I46" s="230" t="s">
        <v>311</v>
      </c>
      <c r="J46" s="229"/>
      <c r="K46" s="229" t="s">
        <v>3999</v>
      </c>
      <c r="L46" s="230" t="s">
        <v>3964</v>
      </c>
      <c r="M46" s="268"/>
      <c r="N46" s="81"/>
      <c r="O46" s="393" t="s">
        <v>3987</v>
      </c>
      <c r="P46" s="123">
        <f>SUM(G46:G51)</f>
        <v>100</v>
      </c>
    </row>
    <row r="47" spans="1:16" ht="15.75" customHeight="1" x14ac:dyDescent="0.2">
      <c r="A47" s="392"/>
      <c r="B47" s="81" t="s">
        <v>2717</v>
      </c>
      <c r="C47" s="92" t="str">
        <f>VLOOKUP(B47,Liste!A22:O1235,2,0)</f>
        <v>HV Olive BIO</v>
      </c>
      <c r="D47" s="93"/>
      <c r="E47" s="93"/>
      <c r="F47" s="93"/>
      <c r="G47" s="89">
        <v>27.8</v>
      </c>
      <c r="H47" s="93">
        <f>VLOOKUP('Gamme bébé'!B47,Liste!A19:O1278,6,0)</f>
        <v>10.43</v>
      </c>
      <c r="I47" s="81"/>
      <c r="J47" s="81"/>
      <c r="K47" s="129"/>
      <c r="L47" s="81"/>
      <c r="M47" s="84"/>
      <c r="N47" s="81"/>
      <c r="O47" s="392"/>
    </row>
    <row r="48" spans="1:16" ht="15.75" customHeight="1" x14ac:dyDescent="0.2">
      <c r="A48" s="392"/>
      <c r="B48" s="81" t="s">
        <v>2754</v>
      </c>
      <c r="C48" s="92" t="str">
        <f>VLOOKUP(B48,Liste!A23:O1236,2,0)</f>
        <v>Huile de cameline vierge BIO</v>
      </c>
      <c r="D48" s="93"/>
      <c r="E48" s="93" t="s">
        <v>1221</v>
      </c>
      <c r="F48" s="93"/>
      <c r="G48" s="89">
        <v>10</v>
      </c>
      <c r="H48" s="93">
        <f>VLOOKUP('Gamme bébé'!B48,Liste!A20:O1279,6,0)</f>
        <v>12.67</v>
      </c>
      <c r="I48" s="81"/>
      <c r="J48" s="81"/>
      <c r="K48" s="81"/>
      <c r="L48" s="81"/>
      <c r="M48" s="84"/>
      <c r="N48" s="81"/>
      <c r="O48" s="392"/>
    </row>
    <row r="49" spans="1:15" ht="15.75" customHeight="1" x14ac:dyDescent="0.2">
      <c r="A49" s="392"/>
      <c r="B49" s="81" t="s">
        <v>2724</v>
      </c>
      <c r="C49" s="92" t="str">
        <f>VLOOKUP(B49,Liste!A24:O1237,2,0)</f>
        <v>Macérât de lavande bio</v>
      </c>
      <c r="D49" s="93"/>
      <c r="E49" s="93"/>
      <c r="F49" s="93"/>
      <c r="G49" s="89">
        <v>10</v>
      </c>
      <c r="H49" s="93">
        <f>VLOOKUP('Gamme bébé'!B49,Liste!A21:O1280,6,0)</f>
        <v>13.1</v>
      </c>
      <c r="I49" s="81"/>
      <c r="J49" s="81"/>
      <c r="K49" s="81"/>
      <c r="L49" s="81"/>
      <c r="M49" s="84"/>
      <c r="N49" s="81"/>
      <c r="O49" s="392"/>
    </row>
    <row r="50" spans="1:15" ht="15.75" customHeight="1" x14ac:dyDescent="0.2">
      <c r="A50" s="392"/>
      <c r="B50" s="81" t="s">
        <v>2737</v>
      </c>
      <c r="C50" s="92" t="str">
        <f>VLOOKUP(B50,Liste!A25:O1238,2,0)</f>
        <v>Cire de candelilla</v>
      </c>
      <c r="D50" s="93"/>
      <c r="E50" s="93"/>
      <c r="F50" s="93"/>
      <c r="G50" s="89">
        <v>2</v>
      </c>
      <c r="H50" s="93">
        <f>VLOOKUP('Gamme bébé'!B50,Liste!A22:O1281,6,0)</f>
        <v>28.9</v>
      </c>
      <c r="I50" s="81"/>
      <c r="J50" s="81"/>
      <c r="K50" s="81"/>
      <c r="L50" s="81"/>
      <c r="M50" s="84"/>
      <c r="N50" s="81"/>
      <c r="O50" s="392"/>
    </row>
    <row r="51" spans="1:15" ht="15.75" customHeight="1" x14ac:dyDescent="0.2">
      <c r="A51" s="359"/>
      <c r="B51" s="81" t="s">
        <v>2892</v>
      </c>
      <c r="C51" s="92" t="str">
        <f>VLOOKUP(B51,Liste!A27:O1240,2,0)</f>
        <v>Vitamine E</v>
      </c>
      <c r="D51" s="93"/>
      <c r="E51" s="93"/>
      <c r="F51" s="93"/>
      <c r="G51" s="89">
        <v>0.2</v>
      </c>
      <c r="H51" s="93" t="e">
        <f>VLOOKUP('[1]Gamme bébé'!B49,[1]Liste!A16:O1116,6,0)</f>
        <v>#N/A</v>
      </c>
      <c r="I51" s="81"/>
      <c r="J51" s="81"/>
      <c r="K51" s="81"/>
      <c r="L51" s="81"/>
      <c r="M51" s="84"/>
      <c r="N51" s="81"/>
      <c r="O51" s="359"/>
    </row>
    <row r="52" spans="1:15" ht="15.75" customHeight="1" x14ac:dyDescent="0.2">
      <c r="M52" s="136"/>
      <c r="N52" s="284"/>
    </row>
    <row r="53" spans="1:15" ht="15.75" customHeight="1" x14ac:dyDescent="0.2">
      <c r="A53" s="394" t="s">
        <v>4000</v>
      </c>
      <c r="B53" s="285" t="s">
        <v>3090</v>
      </c>
      <c r="C53" s="285" t="e">
        <f>VLOOKUP(B53,[1]Liste!A10:O1064,2,0)</f>
        <v>#N/A</v>
      </c>
      <c r="D53" s="285"/>
      <c r="E53" s="285" t="s">
        <v>3092</v>
      </c>
      <c r="F53" s="285"/>
      <c r="G53" s="286">
        <v>0.52</v>
      </c>
      <c r="H53" s="285">
        <v>11.5</v>
      </c>
      <c r="I53" s="285"/>
      <c r="J53" s="285"/>
      <c r="K53" s="285"/>
      <c r="L53" s="287"/>
      <c r="M53" s="288"/>
      <c r="N53" s="285"/>
      <c r="O53" s="289"/>
    </row>
    <row r="54" spans="1:15" ht="15.75" customHeight="1" x14ac:dyDescent="0.2">
      <c r="A54" s="395"/>
      <c r="B54" s="290" t="s">
        <v>2543</v>
      </c>
      <c r="C54" s="290" t="e">
        <f>VLOOKUP(B54,[1]Liste!A11:O1065,2,0)</f>
        <v>#N/A</v>
      </c>
      <c r="D54" s="290"/>
      <c r="E54" s="290" t="s">
        <v>855</v>
      </c>
      <c r="F54" s="290"/>
      <c r="G54" s="291">
        <v>51.48</v>
      </c>
      <c r="H54" s="290">
        <v>0.3</v>
      </c>
      <c r="I54" s="290"/>
      <c r="J54" s="290"/>
      <c r="K54" s="290"/>
      <c r="L54" s="292"/>
      <c r="M54" s="293"/>
      <c r="N54" s="290"/>
      <c r="O54" s="294"/>
    </row>
    <row r="55" spans="1:15" ht="15.75" customHeight="1" x14ac:dyDescent="0.2">
      <c r="M55" s="136"/>
    </row>
    <row r="56" spans="1:15" ht="15.75" customHeight="1" x14ac:dyDescent="0.2">
      <c r="C56" s="123" t="s">
        <v>4001</v>
      </c>
      <c r="M56" s="136"/>
    </row>
    <row r="57" spans="1:15" ht="15.75" customHeight="1" x14ac:dyDescent="0.2">
      <c r="A57" s="295" t="s">
        <v>4002</v>
      </c>
      <c r="B57" s="296"/>
      <c r="C57" s="296"/>
      <c r="D57" s="296"/>
      <c r="E57" s="297"/>
      <c r="M57" s="136"/>
    </row>
    <row r="58" spans="1:15" ht="15.75" customHeight="1" x14ac:dyDescent="0.2">
      <c r="A58" s="298" t="s">
        <v>4003</v>
      </c>
      <c r="B58" s="299">
        <f>10*11.5/1000</f>
        <v>0.115</v>
      </c>
      <c r="C58" s="385">
        <f>SUM(B58:B59)</f>
        <v>0.41199999999999998</v>
      </c>
      <c r="D58" s="300"/>
      <c r="E58" s="301"/>
      <c r="M58" s="136"/>
    </row>
    <row r="59" spans="1:15" ht="15.75" customHeight="1" x14ac:dyDescent="0.2">
      <c r="A59" s="302" t="s">
        <v>4004</v>
      </c>
      <c r="B59" s="303">
        <f>990*0.3/1000</f>
        <v>0.29699999999999999</v>
      </c>
      <c r="C59" s="386"/>
      <c r="D59" s="304"/>
      <c r="E59" s="305"/>
      <c r="F59" s="306"/>
      <c r="M59" s="136"/>
    </row>
    <row r="60" spans="1:15" ht="15.75" customHeight="1" x14ac:dyDescent="0.2">
      <c r="M60" s="136"/>
    </row>
    <row r="61" spans="1:15" ht="15.75" customHeight="1" x14ac:dyDescent="0.2">
      <c r="A61" s="295" t="s">
        <v>4005</v>
      </c>
      <c r="B61" s="296"/>
      <c r="C61" s="296"/>
      <c r="D61" s="296"/>
      <c r="E61" s="297"/>
      <c r="M61" s="136"/>
    </row>
    <row r="62" spans="1:15" ht="15.75" customHeight="1" x14ac:dyDescent="0.2">
      <c r="A62" s="298" t="s">
        <v>4006</v>
      </c>
      <c r="B62" s="307">
        <f>0.85*7.14</f>
        <v>6.069</v>
      </c>
      <c r="C62" s="387">
        <f>SUM(B62:B63)</f>
        <v>13.103999999999999</v>
      </c>
      <c r="D62" s="308"/>
      <c r="E62" s="301"/>
      <c r="M62" s="136"/>
    </row>
    <row r="63" spans="1:15" ht="15.75" customHeight="1" x14ac:dyDescent="0.2">
      <c r="A63" s="309" t="s">
        <v>4007</v>
      </c>
      <c r="B63" s="303">
        <f>0.15*46.9</f>
        <v>7.0349999999999993</v>
      </c>
      <c r="C63" s="386"/>
      <c r="D63" s="310"/>
      <c r="E63" s="311"/>
      <c r="M63" s="136"/>
    </row>
    <row r="64" spans="1:15" ht="15.75" customHeight="1" x14ac:dyDescent="0.2">
      <c r="M64" s="136"/>
    </row>
    <row r="65" spans="13:13" ht="15.75" customHeight="1" x14ac:dyDescent="0.2">
      <c r="M65" s="136"/>
    </row>
    <row r="66" spans="13:13" ht="15.75" customHeight="1" x14ac:dyDescent="0.2">
      <c r="M66" s="136"/>
    </row>
    <row r="67" spans="13:13" ht="15.75" customHeight="1" x14ac:dyDescent="0.2">
      <c r="M67" s="136"/>
    </row>
    <row r="68" spans="13:13" ht="15.75" customHeight="1" x14ac:dyDescent="0.2">
      <c r="M68" s="136"/>
    </row>
    <row r="69" spans="13:13" ht="15.75" customHeight="1" x14ac:dyDescent="0.2">
      <c r="M69" s="136"/>
    </row>
    <row r="70" spans="13:13" ht="15.75" customHeight="1" x14ac:dyDescent="0.2">
      <c r="M70" s="136"/>
    </row>
    <row r="71" spans="13:13" ht="15.75" customHeight="1" x14ac:dyDescent="0.2">
      <c r="M71" s="136"/>
    </row>
    <row r="72" spans="13:13" ht="15.75" customHeight="1" x14ac:dyDescent="0.2">
      <c r="M72" s="136"/>
    </row>
    <row r="73" spans="13:13" ht="15.75" customHeight="1" x14ac:dyDescent="0.2">
      <c r="M73" s="136"/>
    </row>
    <row r="74" spans="13:13" ht="15.75" customHeight="1" x14ac:dyDescent="0.2">
      <c r="M74" s="136"/>
    </row>
    <row r="75" spans="13:13" ht="15.75" customHeight="1" x14ac:dyDescent="0.2">
      <c r="M75" s="136"/>
    </row>
    <row r="76" spans="13:13" ht="15.75" customHeight="1" x14ac:dyDescent="0.2">
      <c r="M76" s="136"/>
    </row>
    <row r="77" spans="13:13" ht="15.75" customHeight="1" x14ac:dyDescent="0.2">
      <c r="M77" s="136"/>
    </row>
    <row r="78" spans="13:13" ht="15.75" customHeight="1" x14ac:dyDescent="0.2">
      <c r="M78" s="136"/>
    </row>
    <row r="79" spans="13:13" ht="15.75" customHeight="1" x14ac:dyDescent="0.2">
      <c r="M79" s="136"/>
    </row>
    <row r="80" spans="13:13" ht="15.75" customHeight="1" x14ac:dyDescent="0.2">
      <c r="M80" s="136"/>
    </row>
    <row r="81" spans="13:13" ht="15.75" customHeight="1" x14ac:dyDescent="0.2">
      <c r="M81" s="136"/>
    </row>
    <row r="82" spans="13:13" ht="15.75" customHeight="1" x14ac:dyDescent="0.2">
      <c r="M82" s="136"/>
    </row>
    <row r="83" spans="13:13" ht="15.75" customHeight="1" x14ac:dyDescent="0.2">
      <c r="M83" s="136"/>
    </row>
    <row r="84" spans="13:13" ht="15.75" customHeight="1" x14ac:dyDescent="0.2">
      <c r="M84" s="136"/>
    </row>
    <row r="85" spans="13:13" ht="15.75" customHeight="1" x14ac:dyDescent="0.2">
      <c r="M85" s="136"/>
    </row>
    <row r="86" spans="13:13" ht="15.75" customHeight="1" x14ac:dyDescent="0.2">
      <c r="M86" s="136"/>
    </row>
    <row r="87" spans="13:13" ht="15.75" customHeight="1" x14ac:dyDescent="0.2">
      <c r="M87" s="136"/>
    </row>
    <row r="88" spans="13:13" ht="15.75" customHeight="1" x14ac:dyDescent="0.2">
      <c r="M88" s="136"/>
    </row>
    <row r="89" spans="13:13" ht="15.75" customHeight="1" x14ac:dyDescent="0.2">
      <c r="M89" s="136"/>
    </row>
    <row r="90" spans="13:13" ht="15.75" customHeight="1" x14ac:dyDescent="0.2">
      <c r="M90" s="136"/>
    </row>
    <row r="91" spans="13:13" ht="15.75" customHeight="1" x14ac:dyDescent="0.2">
      <c r="M91" s="136"/>
    </row>
    <row r="92" spans="13:13" ht="15.75" customHeight="1" x14ac:dyDescent="0.2">
      <c r="M92" s="136"/>
    </row>
    <row r="93" spans="13:13" ht="15.75" customHeight="1" x14ac:dyDescent="0.2">
      <c r="M93" s="136"/>
    </row>
    <row r="94" spans="13:13" ht="15.75" customHeight="1" x14ac:dyDescent="0.2">
      <c r="M94" s="136"/>
    </row>
    <row r="95" spans="13:13" ht="15.75" customHeight="1" x14ac:dyDescent="0.2">
      <c r="M95" s="136"/>
    </row>
    <row r="96" spans="13:13" ht="15.75" customHeight="1" x14ac:dyDescent="0.2">
      <c r="M96" s="136"/>
    </row>
    <row r="97" spans="13:13" ht="15.75" customHeight="1" x14ac:dyDescent="0.2">
      <c r="M97" s="136"/>
    </row>
    <row r="98" spans="13:13" ht="15.75" customHeight="1" x14ac:dyDescent="0.2">
      <c r="M98" s="136"/>
    </row>
    <row r="99" spans="13:13" ht="15.75" customHeight="1" x14ac:dyDescent="0.2">
      <c r="M99" s="136"/>
    </row>
    <row r="100" spans="13:13" ht="15.75" customHeight="1" x14ac:dyDescent="0.2">
      <c r="M100" s="136"/>
    </row>
    <row r="101" spans="13:13" ht="15.75" customHeight="1" x14ac:dyDescent="0.2">
      <c r="M101" s="136"/>
    </row>
    <row r="102" spans="13:13" ht="15.75" customHeight="1" x14ac:dyDescent="0.2">
      <c r="M102" s="136"/>
    </row>
    <row r="103" spans="13:13" ht="15.75" customHeight="1" x14ac:dyDescent="0.2">
      <c r="M103" s="136"/>
    </row>
    <row r="104" spans="13:13" ht="15.75" customHeight="1" x14ac:dyDescent="0.2">
      <c r="M104" s="136"/>
    </row>
    <row r="105" spans="13:13" ht="15.75" customHeight="1" x14ac:dyDescent="0.2">
      <c r="M105" s="136"/>
    </row>
    <row r="106" spans="13:13" ht="15.75" customHeight="1" x14ac:dyDescent="0.2">
      <c r="M106" s="136"/>
    </row>
    <row r="107" spans="13:13" ht="15.75" customHeight="1" x14ac:dyDescent="0.2">
      <c r="M107" s="136"/>
    </row>
    <row r="108" spans="13:13" ht="15.75" customHeight="1" x14ac:dyDescent="0.2">
      <c r="M108" s="136"/>
    </row>
    <row r="109" spans="13:13" ht="15.75" customHeight="1" x14ac:dyDescent="0.2">
      <c r="M109" s="136"/>
    </row>
    <row r="110" spans="13:13" ht="15.75" customHeight="1" x14ac:dyDescent="0.2">
      <c r="M110" s="136"/>
    </row>
    <row r="111" spans="13:13" ht="15.75" customHeight="1" x14ac:dyDescent="0.2">
      <c r="M111" s="136"/>
    </row>
    <row r="112" spans="13:13" ht="15.75" customHeight="1" x14ac:dyDescent="0.2">
      <c r="M112" s="136"/>
    </row>
    <row r="113" spans="13:13" ht="15.75" customHeight="1" x14ac:dyDescent="0.2">
      <c r="M113" s="136"/>
    </row>
    <row r="114" spans="13:13" ht="15.75" customHeight="1" x14ac:dyDescent="0.2">
      <c r="M114" s="136"/>
    </row>
    <row r="115" spans="13:13" ht="15.75" customHeight="1" x14ac:dyDescent="0.2">
      <c r="M115" s="136"/>
    </row>
    <row r="116" spans="13:13" ht="15.75" customHeight="1" x14ac:dyDescent="0.2">
      <c r="M116" s="136"/>
    </row>
    <row r="117" spans="13:13" ht="15.75" customHeight="1" x14ac:dyDescent="0.2">
      <c r="M117" s="136"/>
    </row>
    <row r="118" spans="13:13" ht="15.75" customHeight="1" x14ac:dyDescent="0.2">
      <c r="M118" s="136"/>
    </row>
    <row r="119" spans="13:13" ht="15.75" customHeight="1" x14ac:dyDescent="0.2">
      <c r="M119" s="136"/>
    </row>
    <row r="120" spans="13:13" ht="15.75" customHeight="1" x14ac:dyDescent="0.2">
      <c r="M120" s="136"/>
    </row>
    <row r="121" spans="13:13" ht="15.75" customHeight="1" x14ac:dyDescent="0.2">
      <c r="M121" s="136"/>
    </row>
    <row r="122" spans="13:13" ht="15.75" customHeight="1" x14ac:dyDescent="0.2">
      <c r="M122" s="136"/>
    </row>
    <row r="123" spans="13:13" ht="15.75" customHeight="1" x14ac:dyDescent="0.2">
      <c r="M123" s="136"/>
    </row>
    <row r="124" spans="13:13" ht="15.75" customHeight="1" x14ac:dyDescent="0.2">
      <c r="M124" s="136"/>
    </row>
    <row r="125" spans="13:13" ht="15.75" customHeight="1" x14ac:dyDescent="0.2">
      <c r="M125" s="136"/>
    </row>
    <row r="126" spans="13:13" ht="15.75" customHeight="1" x14ac:dyDescent="0.2">
      <c r="M126" s="136"/>
    </row>
    <row r="127" spans="13:13" ht="15.75" customHeight="1" x14ac:dyDescent="0.2">
      <c r="M127" s="136"/>
    </row>
    <row r="128" spans="13:13" ht="15.75" customHeight="1" x14ac:dyDescent="0.2">
      <c r="M128" s="136"/>
    </row>
    <row r="129" spans="13:13" ht="15.75" customHeight="1" x14ac:dyDescent="0.2">
      <c r="M129" s="136"/>
    </row>
    <row r="130" spans="13:13" ht="15.75" customHeight="1" x14ac:dyDescent="0.2">
      <c r="M130" s="136"/>
    </row>
    <row r="131" spans="13:13" ht="15.75" customHeight="1" x14ac:dyDescent="0.2">
      <c r="M131" s="136"/>
    </row>
    <row r="132" spans="13:13" ht="15.75" customHeight="1" x14ac:dyDescent="0.2">
      <c r="M132" s="136"/>
    </row>
    <row r="133" spans="13:13" ht="15.75" customHeight="1" x14ac:dyDescent="0.2">
      <c r="M133" s="136"/>
    </row>
    <row r="134" spans="13:13" ht="15.75" customHeight="1" x14ac:dyDescent="0.2">
      <c r="M134" s="136"/>
    </row>
    <row r="135" spans="13:13" ht="15.75" customHeight="1" x14ac:dyDescent="0.2">
      <c r="M135" s="136"/>
    </row>
    <row r="136" spans="13:13" ht="15.75" customHeight="1" x14ac:dyDescent="0.2">
      <c r="M136" s="136"/>
    </row>
    <row r="137" spans="13:13" ht="15.75" customHeight="1" x14ac:dyDescent="0.2">
      <c r="M137" s="136"/>
    </row>
    <row r="138" spans="13:13" ht="15.75" customHeight="1" x14ac:dyDescent="0.2">
      <c r="M138" s="136"/>
    </row>
    <row r="139" spans="13:13" ht="15.75" customHeight="1" x14ac:dyDescent="0.2">
      <c r="M139" s="136"/>
    </row>
    <row r="140" spans="13:13" ht="15.75" customHeight="1" x14ac:dyDescent="0.2">
      <c r="M140" s="136"/>
    </row>
    <row r="141" spans="13:13" ht="15.75" customHeight="1" x14ac:dyDescent="0.2">
      <c r="M141" s="136"/>
    </row>
    <row r="142" spans="13:13" ht="15.75" customHeight="1" x14ac:dyDescent="0.2">
      <c r="M142" s="136"/>
    </row>
    <row r="143" spans="13:13" ht="15.75" customHeight="1" x14ac:dyDescent="0.2">
      <c r="M143" s="136"/>
    </row>
    <row r="144" spans="13:13" ht="15.75" customHeight="1" x14ac:dyDescent="0.2">
      <c r="M144" s="136"/>
    </row>
    <row r="145" spans="13:13" ht="15.75" customHeight="1" x14ac:dyDescent="0.2">
      <c r="M145" s="136"/>
    </row>
    <row r="146" spans="13:13" ht="15.75" customHeight="1" x14ac:dyDescent="0.2">
      <c r="M146" s="136"/>
    </row>
    <row r="147" spans="13:13" ht="15.75" customHeight="1" x14ac:dyDescent="0.2">
      <c r="M147" s="136"/>
    </row>
    <row r="148" spans="13:13" ht="15.75" customHeight="1" x14ac:dyDescent="0.2">
      <c r="M148" s="136"/>
    </row>
    <row r="149" spans="13:13" ht="15.75" customHeight="1" x14ac:dyDescent="0.2">
      <c r="M149" s="136"/>
    </row>
    <row r="150" spans="13:13" ht="15.75" customHeight="1" x14ac:dyDescent="0.2">
      <c r="M150" s="136"/>
    </row>
    <row r="151" spans="13:13" ht="15.75" customHeight="1" x14ac:dyDescent="0.2">
      <c r="M151" s="136"/>
    </row>
    <row r="152" spans="13:13" ht="15.75" customHeight="1" x14ac:dyDescent="0.2">
      <c r="M152" s="136"/>
    </row>
    <row r="153" spans="13:13" ht="15.75" customHeight="1" x14ac:dyDescent="0.2">
      <c r="M153" s="136"/>
    </row>
    <row r="154" spans="13:13" ht="15.75" customHeight="1" x14ac:dyDescent="0.2">
      <c r="M154" s="136"/>
    </row>
    <row r="155" spans="13:13" ht="15.75" customHeight="1" x14ac:dyDescent="0.2">
      <c r="M155" s="136"/>
    </row>
    <row r="156" spans="13:13" ht="15.75" customHeight="1" x14ac:dyDescent="0.2">
      <c r="M156" s="136"/>
    </row>
    <row r="157" spans="13:13" ht="15.75" customHeight="1" x14ac:dyDescent="0.2">
      <c r="M157" s="136"/>
    </row>
    <row r="158" spans="13:13" ht="15.75" customHeight="1" x14ac:dyDescent="0.2">
      <c r="M158" s="136"/>
    </row>
    <row r="159" spans="13:13" ht="15.75" customHeight="1" x14ac:dyDescent="0.2">
      <c r="M159" s="136"/>
    </row>
    <row r="160" spans="13:13" ht="15.75" customHeight="1" x14ac:dyDescent="0.2">
      <c r="M160" s="136"/>
    </row>
    <row r="161" spans="13:13" ht="15.75" customHeight="1" x14ac:dyDescent="0.2">
      <c r="M161" s="136"/>
    </row>
    <row r="162" spans="13:13" ht="15.75" customHeight="1" x14ac:dyDescent="0.2">
      <c r="M162" s="136"/>
    </row>
    <row r="163" spans="13:13" ht="15.75" customHeight="1" x14ac:dyDescent="0.2">
      <c r="M163" s="136"/>
    </row>
    <row r="164" spans="13:13" ht="15.75" customHeight="1" x14ac:dyDescent="0.2">
      <c r="M164" s="136"/>
    </row>
    <row r="165" spans="13:13" ht="15.75" customHeight="1" x14ac:dyDescent="0.2">
      <c r="M165" s="136"/>
    </row>
    <row r="166" spans="13:13" ht="15.75" customHeight="1" x14ac:dyDescent="0.2">
      <c r="M166" s="136"/>
    </row>
    <row r="167" spans="13:13" ht="15.75" customHeight="1" x14ac:dyDescent="0.2">
      <c r="M167" s="136"/>
    </row>
    <row r="168" spans="13:13" ht="15.75" customHeight="1" x14ac:dyDescent="0.2">
      <c r="M168" s="136"/>
    </row>
    <row r="169" spans="13:13" ht="15.75" customHeight="1" x14ac:dyDescent="0.2">
      <c r="M169" s="136"/>
    </row>
    <row r="170" spans="13:13" ht="15.75" customHeight="1" x14ac:dyDescent="0.2">
      <c r="M170" s="136"/>
    </row>
    <row r="171" spans="13:13" ht="15.75" customHeight="1" x14ac:dyDescent="0.2">
      <c r="M171" s="136"/>
    </row>
    <row r="172" spans="13:13" ht="15.75" customHeight="1" x14ac:dyDescent="0.2">
      <c r="M172" s="136"/>
    </row>
    <row r="173" spans="13:13" ht="15.75" customHeight="1" x14ac:dyDescent="0.2">
      <c r="M173" s="136"/>
    </row>
    <row r="174" spans="13:13" ht="15.75" customHeight="1" x14ac:dyDescent="0.2">
      <c r="M174" s="136"/>
    </row>
    <row r="175" spans="13:13" ht="15.75" customHeight="1" x14ac:dyDescent="0.2">
      <c r="M175" s="136"/>
    </row>
    <row r="176" spans="13:13" ht="15.75" customHeight="1" x14ac:dyDescent="0.2">
      <c r="M176" s="136"/>
    </row>
    <row r="177" spans="13:13" ht="15.75" customHeight="1" x14ac:dyDescent="0.2">
      <c r="M177" s="136"/>
    </row>
    <row r="178" spans="13:13" ht="15.75" customHeight="1" x14ac:dyDescent="0.2">
      <c r="M178" s="136"/>
    </row>
    <row r="179" spans="13:13" ht="15.75" customHeight="1" x14ac:dyDescent="0.2">
      <c r="M179" s="136"/>
    </row>
    <row r="180" spans="13:13" ht="15.75" customHeight="1" x14ac:dyDescent="0.2">
      <c r="M180" s="136"/>
    </row>
    <row r="181" spans="13:13" ht="15.75" customHeight="1" x14ac:dyDescent="0.2">
      <c r="M181" s="136"/>
    </row>
    <row r="182" spans="13:13" ht="15.75" customHeight="1" x14ac:dyDescent="0.2">
      <c r="M182" s="136"/>
    </row>
    <row r="183" spans="13:13" ht="15.75" customHeight="1" x14ac:dyDescent="0.2">
      <c r="M183" s="136"/>
    </row>
    <row r="184" spans="13:13" ht="15.75" customHeight="1" x14ac:dyDescent="0.2">
      <c r="M184" s="136"/>
    </row>
    <row r="185" spans="13:13" ht="15.75" customHeight="1" x14ac:dyDescent="0.2">
      <c r="M185" s="136"/>
    </row>
    <row r="186" spans="13:13" ht="15.75" customHeight="1" x14ac:dyDescent="0.2">
      <c r="M186" s="136"/>
    </row>
    <row r="187" spans="13:13" ht="15.75" customHeight="1" x14ac:dyDescent="0.2">
      <c r="M187" s="136"/>
    </row>
    <row r="188" spans="13:13" ht="15.75" customHeight="1" x14ac:dyDescent="0.2">
      <c r="M188" s="136"/>
    </row>
    <row r="189" spans="13:13" ht="15.75" customHeight="1" x14ac:dyDescent="0.2">
      <c r="M189" s="136"/>
    </row>
    <row r="190" spans="13:13" ht="15.75" customHeight="1" x14ac:dyDescent="0.2">
      <c r="M190" s="136"/>
    </row>
    <row r="191" spans="13:13" ht="15.75" customHeight="1" x14ac:dyDescent="0.2">
      <c r="M191" s="136"/>
    </row>
    <row r="192" spans="13:13" ht="15.75" customHeight="1" x14ac:dyDescent="0.2">
      <c r="M192" s="136"/>
    </row>
    <row r="193" spans="13:13" ht="15.75" customHeight="1" x14ac:dyDescent="0.2">
      <c r="M193" s="136"/>
    </row>
    <row r="194" spans="13:13" ht="15.75" customHeight="1" x14ac:dyDescent="0.2">
      <c r="M194" s="136"/>
    </row>
    <row r="195" spans="13:13" ht="15.75" customHeight="1" x14ac:dyDescent="0.2">
      <c r="M195" s="136"/>
    </row>
    <row r="196" spans="13:13" ht="15.75" customHeight="1" x14ac:dyDescent="0.2">
      <c r="M196" s="136"/>
    </row>
    <row r="197" spans="13:13" ht="15.75" customHeight="1" x14ac:dyDescent="0.2">
      <c r="M197" s="136"/>
    </row>
    <row r="198" spans="13:13" ht="15.75" customHeight="1" x14ac:dyDescent="0.2">
      <c r="M198" s="136"/>
    </row>
    <row r="199" spans="13:13" ht="15.75" customHeight="1" x14ac:dyDescent="0.2">
      <c r="M199" s="136"/>
    </row>
    <row r="200" spans="13:13" ht="15.75" customHeight="1" x14ac:dyDescent="0.2">
      <c r="M200" s="136"/>
    </row>
    <row r="201" spans="13:13" ht="15.75" customHeight="1" x14ac:dyDescent="0.2">
      <c r="M201" s="136"/>
    </row>
    <row r="202" spans="13:13" ht="15.75" customHeight="1" x14ac:dyDescent="0.2">
      <c r="M202" s="136"/>
    </row>
    <row r="203" spans="13:13" ht="15.75" customHeight="1" x14ac:dyDescent="0.2">
      <c r="M203" s="136"/>
    </row>
    <row r="204" spans="13:13" ht="15.75" customHeight="1" x14ac:dyDescent="0.2">
      <c r="M204" s="136"/>
    </row>
    <row r="205" spans="13:13" ht="15.75" customHeight="1" x14ac:dyDescent="0.2">
      <c r="M205" s="136"/>
    </row>
    <row r="206" spans="13:13" ht="15.75" customHeight="1" x14ac:dyDescent="0.2">
      <c r="M206" s="136"/>
    </row>
    <row r="207" spans="13:13" ht="15.75" customHeight="1" x14ac:dyDescent="0.2">
      <c r="M207" s="136"/>
    </row>
    <row r="208" spans="13:13" ht="15.75" customHeight="1" x14ac:dyDescent="0.2">
      <c r="M208" s="136"/>
    </row>
    <row r="209" spans="13:13" ht="15.75" customHeight="1" x14ac:dyDescent="0.2">
      <c r="M209" s="136"/>
    </row>
    <row r="210" spans="13:13" ht="15.75" customHeight="1" x14ac:dyDescent="0.2">
      <c r="M210" s="136"/>
    </row>
    <row r="211" spans="13:13" ht="15.75" customHeight="1" x14ac:dyDescent="0.2">
      <c r="M211" s="136"/>
    </row>
    <row r="212" spans="13:13" ht="15.75" customHeight="1" x14ac:dyDescent="0.2">
      <c r="M212" s="136"/>
    </row>
    <row r="213" spans="13:13" ht="15.75" customHeight="1" x14ac:dyDescent="0.2">
      <c r="M213" s="136"/>
    </row>
    <row r="214" spans="13:13" ht="15.75" customHeight="1" x14ac:dyDescent="0.2">
      <c r="M214" s="136"/>
    </row>
    <row r="215" spans="13:13" ht="15.75" customHeight="1" x14ac:dyDescent="0.2">
      <c r="M215" s="136"/>
    </row>
    <row r="216" spans="13:13" ht="15.75" customHeight="1" x14ac:dyDescent="0.2">
      <c r="M216" s="136"/>
    </row>
    <row r="217" spans="13:13" ht="15.75" customHeight="1" x14ac:dyDescent="0.2">
      <c r="M217" s="136"/>
    </row>
    <row r="218" spans="13:13" ht="15.75" customHeight="1" x14ac:dyDescent="0.2">
      <c r="M218" s="136"/>
    </row>
    <row r="219" spans="13:13" ht="15.75" customHeight="1" x14ac:dyDescent="0.2">
      <c r="M219" s="136"/>
    </row>
    <row r="220" spans="13:13" ht="15.75" customHeight="1" x14ac:dyDescent="0.2">
      <c r="M220" s="136"/>
    </row>
    <row r="221" spans="13:13" ht="15.75" customHeight="1" x14ac:dyDescent="0.2">
      <c r="M221" s="136"/>
    </row>
    <row r="222" spans="13:13" ht="15.75" customHeight="1" x14ac:dyDescent="0.2">
      <c r="M222" s="136"/>
    </row>
    <row r="223" spans="13:13" ht="15.75" customHeight="1" x14ac:dyDescent="0.2">
      <c r="M223" s="136"/>
    </row>
    <row r="224" spans="13:13" ht="15.75" customHeight="1" x14ac:dyDescent="0.2">
      <c r="M224" s="136"/>
    </row>
    <row r="225" spans="13:13" ht="15.75" customHeight="1" x14ac:dyDescent="0.2">
      <c r="M225" s="136"/>
    </row>
    <row r="226" spans="13:13" ht="15.75" customHeight="1" x14ac:dyDescent="0.2">
      <c r="M226" s="136"/>
    </row>
    <row r="227" spans="13:13" ht="15.75" customHeight="1" x14ac:dyDescent="0.2">
      <c r="M227" s="136"/>
    </row>
    <row r="228" spans="13:13" ht="15.75" customHeight="1" x14ac:dyDescent="0.2">
      <c r="M228" s="136"/>
    </row>
    <row r="229" spans="13:13" ht="15.75" customHeight="1" x14ac:dyDescent="0.2">
      <c r="M229" s="136"/>
    </row>
    <row r="230" spans="13:13" ht="15.75" customHeight="1" x14ac:dyDescent="0.2">
      <c r="M230" s="136"/>
    </row>
    <row r="231" spans="13:13" ht="15.75" customHeight="1" x14ac:dyDescent="0.2">
      <c r="M231" s="136"/>
    </row>
    <row r="232" spans="13:13" ht="15.75" customHeight="1" x14ac:dyDescent="0.2">
      <c r="M232" s="136"/>
    </row>
    <row r="233" spans="13:13" ht="15.75" customHeight="1" x14ac:dyDescent="0.2">
      <c r="M233" s="136"/>
    </row>
    <row r="234" spans="13:13" ht="15.75" customHeight="1" x14ac:dyDescent="0.2">
      <c r="M234" s="136"/>
    </row>
    <row r="235" spans="13:13" ht="15.75" customHeight="1" x14ac:dyDescent="0.2">
      <c r="M235" s="136"/>
    </row>
    <row r="236" spans="13:13" ht="15.75" customHeight="1" x14ac:dyDescent="0.2">
      <c r="M236" s="136"/>
    </row>
    <row r="237" spans="13:13" ht="15.75" customHeight="1" x14ac:dyDescent="0.2">
      <c r="M237" s="136"/>
    </row>
    <row r="238" spans="13:13" ht="15.75" customHeight="1" x14ac:dyDescent="0.2">
      <c r="M238" s="136"/>
    </row>
    <row r="239" spans="13:13" ht="15.75" customHeight="1" x14ac:dyDescent="0.2">
      <c r="M239" s="136"/>
    </row>
    <row r="240" spans="13:13" ht="15.75" customHeight="1" x14ac:dyDescent="0.2">
      <c r="M240" s="136"/>
    </row>
    <row r="241" spans="13:13" ht="15.75" customHeight="1" x14ac:dyDescent="0.2">
      <c r="M241" s="136"/>
    </row>
    <row r="242" spans="13:13" ht="15.75" customHeight="1" x14ac:dyDescent="0.2">
      <c r="M242" s="136"/>
    </row>
    <row r="243" spans="13:13" ht="15.75" customHeight="1" x14ac:dyDescent="0.2">
      <c r="M243" s="136"/>
    </row>
    <row r="244" spans="13:13" ht="15.75" customHeight="1" x14ac:dyDescent="0.2">
      <c r="M244" s="136"/>
    </row>
    <row r="245" spans="13:13" ht="15.75" customHeight="1" x14ac:dyDescent="0.2">
      <c r="M245" s="136"/>
    </row>
    <row r="246" spans="13:13" ht="15.75" customHeight="1" x14ac:dyDescent="0.2">
      <c r="M246" s="136"/>
    </row>
    <row r="247" spans="13:13" ht="15.75" customHeight="1" x14ac:dyDescent="0.2">
      <c r="M247" s="136"/>
    </row>
    <row r="248" spans="13:13" ht="15.75" customHeight="1" x14ac:dyDescent="0.2">
      <c r="M248" s="136"/>
    </row>
    <row r="249" spans="13:13" ht="15.75" customHeight="1" x14ac:dyDescent="0.2">
      <c r="M249" s="136"/>
    </row>
    <row r="250" spans="13:13" ht="15.75" customHeight="1" x14ac:dyDescent="0.2">
      <c r="M250" s="136"/>
    </row>
    <row r="251" spans="13:13" ht="15.75" customHeight="1" x14ac:dyDescent="0.2">
      <c r="M251" s="136"/>
    </row>
    <row r="252" spans="13:13" ht="15.75" customHeight="1" x14ac:dyDescent="0.2">
      <c r="M252" s="136"/>
    </row>
    <row r="253" spans="13:13" ht="15.75" customHeight="1" x14ac:dyDescent="0.2">
      <c r="M253" s="136"/>
    </row>
    <row r="254" spans="13:13" ht="15.75" customHeight="1" x14ac:dyDescent="0.2">
      <c r="M254" s="136"/>
    </row>
    <row r="255" spans="13:13" ht="15.75" customHeight="1" x14ac:dyDescent="0.2">
      <c r="M255" s="136"/>
    </row>
    <row r="256" spans="13:13" ht="15.75" customHeight="1" x14ac:dyDescent="0.2">
      <c r="M256" s="136"/>
    </row>
    <row r="257" spans="13:13" ht="15.75" customHeight="1" x14ac:dyDescent="0.2">
      <c r="M257" s="136"/>
    </row>
    <row r="258" spans="13:13" ht="15.75" customHeight="1" x14ac:dyDescent="0.2">
      <c r="M258" s="136"/>
    </row>
    <row r="259" spans="13:13" ht="15.75" customHeight="1" x14ac:dyDescent="0.2">
      <c r="M259" s="136"/>
    </row>
    <row r="260" spans="13:13" ht="15.75" customHeight="1" x14ac:dyDescent="0.2">
      <c r="M260" s="136"/>
    </row>
    <row r="261" spans="13:13" ht="15.75" customHeight="1" x14ac:dyDescent="0.2">
      <c r="M261" s="136"/>
    </row>
    <row r="262" spans="13:13" ht="15.75" customHeight="1" x14ac:dyDescent="0.2">
      <c r="M262" s="136"/>
    </row>
    <row r="263" spans="13:13" ht="15.75" customHeight="1" x14ac:dyDescent="0.2">
      <c r="M263" s="136"/>
    </row>
    <row r="264" spans="13:13" ht="15.75" customHeight="1" x14ac:dyDescent="0.2">
      <c r="M264" s="136"/>
    </row>
    <row r="265" spans="13:13" ht="15.75" customHeight="1" x14ac:dyDescent="0.2">
      <c r="M265" s="136"/>
    </row>
    <row r="266" spans="13:13" ht="15.75" customHeight="1" x14ac:dyDescent="0.2">
      <c r="M266" s="136"/>
    </row>
    <row r="267" spans="13:13" ht="15.75" customHeight="1" x14ac:dyDescent="0.2">
      <c r="M267" s="136"/>
    </row>
    <row r="268" spans="13:13" ht="15.75" customHeight="1" x14ac:dyDescent="0.2">
      <c r="M268" s="136"/>
    </row>
    <row r="269" spans="13:13" ht="15.75" customHeight="1" x14ac:dyDescent="0.2">
      <c r="M269" s="136"/>
    </row>
    <row r="270" spans="13:13" ht="15.75" customHeight="1" x14ac:dyDescent="0.2">
      <c r="M270" s="136"/>
    </row>
    <row r="271" spans="13:13" ht="15.75" customHeight="1" x14ac:dyDescent="0.2">
      <c r="M271" s="136"/>
    </row>
    <row r="272" spans="13:13" ht="15.75" customHeight="1" x14ac:dyDescent="0.2">
      <c r="M272" s="136"/>
    </row>
    <row r="273" spans="13:13" ht="15.75" customHeight="1" x14ac:dyDescent="0.2">
      <c r="M273" s="136"/>
    </row>
    <row r="274" spans="13:13" ht="15.75" customHeight="1" x14ac:dyDescent="0.2">
      <c r="M274" s="136"/>
    </row>
    <row r="275" spans="13:13" ht="15.75" customHeight="1" x14ac:dyDescent="0.2">
      <c r="M275" s="136"/>
    </row>
    <row r="276" spans="13:13" ht="15.75" customHeight="1" x14ac:dyDescent="0.2">
      <c r="M276" s="136"/>
    </row>
    <row r="277" spans="13:13" ht="15.75" customHeight="1" x14ac:dyDescent="0.2">
      <c r="M277" s="136"/>
    </row>
    <row r="278" spans="13:13" ht="15.75" customHeight="1" x14ac:dyDescent="0.2">
      <c r="M278" s="136"/>
    </row>
    <row r="279" spans="13:13" ht="15.75" customHeight="1" x14ac:dyDescent="0.2">
      <c r="M279" s="136"/>
    </row>
    <row r="280" spans="13:13" ht="15.75" customHeight="1" x14ac:dyDescent="0.2">
      <c r="M280" s="136"/>
    </row>
    <row r="281" spans="13:13" ht="15.75" customHeight="1" x14ac:dyDescent="0.2">
      <c r="M281" s="136"/>
    </row>
    <row r="282" spans="13:13" ht="15.75" customHeight="1" x14ac:dyDescent="0.2">
      <c r="M282" s="136"/>
    </row>
    <row r="283" spans="13:13" ht="15.75" customHeight="1" x14ac:dyDescent="0.2">
      <c r="M283" s="136"/>
    </row>
    <row r="284" spans="13:13" ht="15.75" customHeight="1" x14ac:dyDescent="0.2">
      <c r="M284" s="136"/>
    </row>
    <row r="285" spans="13:13" ht="15.75" customHeight="1" x14ac:dyDescent="0.2">
      <c r="M285" s="136"/>
    </row>
    <row r="286" spans="13:13" ht="15.75" customHeight="1" x14ac:dyDescent="0.2">
      <c r="M286" s="136"/>
    </row>
    <row r="287" spans="13:13" ht="15.75" customHeight="1" x14ac:dyDescent="0.2">
      <c r="M287" s="136"/>
    </row>
    <row r="288" spans="13:13" ht="15.75" customHeight="1" x14ac:dyDescent="0.2">
      <c r="M288" s="136"/>
    </row>
    <row r="289" spans="13:13" ht="15.75" customHeight="1" x14ac:dyDescent="0.2">
      <c r="M289" s="136"/>
    </row>
    <row r="290" spans="13:13" ht="15.75" customHeight="1" x14ac:dyDescent="0.2">
      <c r="M290" s="136"/>
    </row>
    <row r="291" spans="13:13" ht="15.75" customHeight="1" x14ac:dyDescent="0.2">
      <c r="M291" s="136"/>
    </row>
    <row r="292" spans="13:13" ht="15.75" customHeight="1" x14ac:dyDescent="0.2">
      <c r="M292" s="136"/>
    </row>
    <row r="293" spans="13:13" ht="15.75" customHeight="1" x14ac:dyDescent="0.2">
      <c r="M293" s="136"/>
    </row>
    <row r="294" spans="13:13" ht="15.75" customHeight="1" x14ac:dyDescent="0.2">
      <c r="M294" s="136"/>
    </row>
    <row r="295" spans="13:13" ht="15.75" customHeight="1" x14ac:dyDescent="0.2">
      <c r="M295" s="136"/>
    </row>
    <row r="296" spans="13:13" ht="15.75" customHeight="1" x14ac:dyDescent="0.2">
      <c r="M296" s="136"/>
    </row>
    <row r="297" spans="13:13" ht="15.75" customHeight="1" x14ac:dyDescent="0.2">
      <c r="M297" s="136"/>
    </row>
    <row r="298" spans="13:13" ht="15.75" customHeight="1" x14ac:dyDescent="0.2">
      <c r="M298" s="136"/>
    </row>
    <row r="299" spans="13:13" ht="15.75" customHeight="1" x14ac:dyDescent="0.2">
      <c r="M299" s="136"/>
    </row>
    <row r="300" spans="13:13" ht="15.75" customHeight="1" x14ac:dyDescent="0.2">
      <c r="M300" s="136"/>
    </row>
    <row r="301" spans="13:13" ht="15.75" customHeight="1" x14ac:dyDescent="0.2">
      <c r="M301" s="136"/>
    </row>
    <row r="302" spans="13:13" ht="15.75" customHeight="1" x14ac:dyDescent="0.2">
      <c r="M302" s="136"/>
    </row>
    <row r="303" spans="13:13" ht="15.75" customHeight="1" x14ac:dyDescent="0.2">
      <c r="M303" s="136"/>
    </row>
    <row r="304" spans="13:13" ht="15.75" customHeight="1" x14ac:dyDescent="0.2">
      <c r="M304" s="136"/>
    </row>
    <row r="305" spans="13:13" ht="15.75" customHeight="1" x14ac:dyDescent="0.2">
      <c r="M305" s="136"/>
    </row>
    <row r="306" spans="13:13" ht="15.75" customHeight="1" x14ac:dyDescent="0.2">
      <c r="M306" s="136"/>
    </row>
    <row r="307" spans="13:13" ht="15.75" customHeight="1" x14ac:dyDescent="0.2">
      <c r="M307" s="136"/>
    </row>
    <row r="308" spans="13:13" ht="15.75" customHeight="1" x14ac:dyDescent="0.2">
      <c r="M308" s="136"/>
    </row>
    <row r="309" spans="13:13" ht="15.75" customHeight="1" x14ac:dyDescent="0.2">
      <c r="M309" s="136"/>
    </row>
    <row r="310" spans="13:13" ht="15.75" customHeight="1" x14ac:dyDescent="0.2">
      <c r="M310" s="136"/>
    </row>
    <row r="311" spans="13:13" ht="15.75" customHeight="1" x14ac:dyDescent="0.2">
      <c r="M311" s="136"/>
    </row>
    <row r="312" spans="13:13" ht="15.75" customHeight="1" x14ac:dyDescent="0.2">
      <c r="M312" s="136"/>
    </row>
    <row r="313" spans="13:13" ht="15.75" customHeight="1" x14ac:dyDescent="0.2">
      <c r="M313" s="136"/>
    </row>
    <row r="314" spans="13:13" ht="15.75" customHeight="1" x14ac:dyDescent="0.2">
      <c r="M314" s="136"/>
    </row>
    <row r="315" spans="13:13" ht="15.75" customHeight="1" x14ac:dyDescent="0.2">
      <c r="M315" s="136"/>
    </row>
    <row r="316" spans="13:13" ht="15.75" customHeight="1" x14ac:dyDescent="0.2">
      <c r="M316" s="136"/>
    </row>
    <row r="317" spans="13:13" ht="15.75" customHeight="1" x14ac:dyDescent="0.2">
      <c r="M317" s="136"/>
    </row>
    <row r="318" spans="13:13" ht="15.75" customHeight="1" x14ac:dyDescent="0.2">
      <c r="M318" s="136"/>
    </row>
    <row r="319" spans="13:13" ht="15.75" customHeight="1" x14ac:dyDescent="0.2">
      <c r="M319" s="136"/>
    </row>
    <row r="320" spans="13:13" ht="15.75" customHeight="1" x14ac:dyDescent="0.2">
      <c r="M320" s="136"/>
    </row>
    <row r="321" spans="13:13" ht="15.75" customHeight="1" x14ac:dyDescent="0.2">
      <c r="M321" s="136"/>
    </row>
    <row r="322" spans="13:13" ht="15.75" customHeight="1" x14ac:dyDescent="0.2">
      <c r="M322" s="136"/>
    </row>
    <row r="323" spans="13:13" ht="15.75" customHeight="1" x14ac:dyDescent="0.2">
      <c r="M323" s="136"/>
    </row>
    <row r="324" spans="13:13" ht="15.75" customHeight="1" x14ac:dyDescent="0.2">
      <c r="M324" s="136"/>
    </row>
    <row r="325" spans="13:13" ht="15.75" customHeight="1" x14ac:dyDescent="0.2">
      <c r="M325" s="136"/>
    </row>
    <row r="326" spans="13:13" ht="15.75" customHeight="1" x14ac:dyDescent="0.2">
      <c r="M326" s="136"/>
    </row>
    <row r="327" spans="13:13" ht="15.75" customHeight="1" x14ac:dyDescent="0.2">
      <c r="M327" s="136"/>
    </row>
    <row r="328" spans="13:13" ht="15.75" customHeight="1" x14ac:dyDescent="0.2">
      <c r="M328" s="136"/>
    </row>
    <row r="329" spans="13:13" ht="15.75" customHeight="1" x14ac:dyDescent="0.2">
      <c r="M329" s="136"/>
    </row>
    <row r="330" spans="13:13" ht="15.75" customHeight="1" x14ac:dyDescent="0.2">
      <c r="M330" s="136"/>
    </row>
    <row r="331" spans="13:13" ht="15.75" customHeight="1" x14ac:dyDescent="0.2">
      <c r="M331" s="136"/>
    </row>
    <row r="332" spans="13:13" ht="15.75" customHeight="1" x14ac:dyDescent="0.2">
      <c r="M332" s="136"/>
    </row>
    <row r="333" spans="13:13" ht="15.75" customHeight="1" x14ac:dyDescent="0.2">
      <c r="M333" s="136"/>
    </row>
    <row r="334" spans="13:13" ht="15.75" customHeight="1" x14ac:dyDescent="0.2">
      <c r="M334" s="136"/>
    </row>
    <row r="335" spans="13:13" ht="15.75" customHeight="1" x14ac:dyDescent="0.2">
      <c r="M335" s="136"/>
    </row>
    <row r="336" spans="13:13" ht="15.75" customHeight="1" x14ac:dyDescent="0.2">
      <c r="M336" s="136"/>
    </row>
    <row r="337" spans="13:13" ht="15.75" customHeight="1" x14ac:dyDescent="0.2">
      <c r="M337" s="136"/>
    </row>
    <row r="338" spans="13:13" ht="15.75" customHeight="1" x14ac:dyDescent="0.2">
      <c r="M338" s="136"/>
    </row>
    <row r="339" spans="13:13" ht="15.75" customHeight="1" x14ac:dyDescent="0.2">
      <c r="M339" s="136"/>
    </row>
    <row r="340" spans="13:13" ht="15.75" customHeight="1" x14ac:dyDescent="0.2">
      <c r="M340" s="136"/>
    </row>
    <row r="341" spans="13:13" ht="15.75" customHeight="1" x14ac:dyDescent="0.2">
      <c r="M341" s="136"/>
    </row>
    <row r="342" spans="13:13" ht="15.75" customHeight="1" x14ac:dyDescent="0.2">
      <c r="M342" s="136"/>
    </row>
    <row r="343" spans="13:13" ht="15.75" customHeight="1" x14ac:dyDescent="0.2">
      <c r="M343" s="136"/>
    </row>
    <row r="344" spans="13:13" ht="15.75" customHeight="1" x14ac:dyDescent="0.2">
      <c r="M344" s="136"/>
    </row>
    <row r="345" spans="13:13" ht="15.75" customHeight="1" x14ac:dyDescent="0.2">
      <c r="M345" s="136"/>
    </row>
    <row r="346" spans="13:13" ht="15.75" customHeight="1" x14ac:dyDescent="0.2">
      <c r="M346" s="136"/>
    </row>
    <row r="347" spans="13:13" ht="15.75" customHeight="1" x14ac:dyDescent="0.2">
      <c r="M347" s="136"/>
    </row>
    <row r="348" spans="13:13" ht="15.75" customHeight="1" x14ac:dyDescent="0.2">
      <c r="M348" s="136"/>
    </row>
    <row r="349" spans="13:13" ht="15.75" customHeight="1" x14ac:dyDescent="0.2">
      <c r="M349" s="136"/>
    </row>
    <row r="350" spans="13:13" ht="15.75" customHeight="1" x14ac:dyDescent="0.2">
      <c r="M350" s="136"/>
    </row>
    <row r="351" spans="13:13" ht="15.75" customHeight="1" x14ac:dyDescent="0.2">
      <c r="M351" s="136"/>
    </row>
    <row r="352" spans="13:13" ht="15.75" customHeight="1" x14ac:dyDescent="0.2">
      <c r="M352" s="136"/>
    </row>
    <row r="353" spans="13:13" ht="15.75" customHeight="1" x14ac:dyDescent="0.2">
      <c r="M353" s="136"/>
    </row>
    <row r="354" spans="13:13" ht="15.75" customHeight="1" x14ac:dyDescent="0.2">
      <c r="M354" s="136"/>
    </row>
    <row r="355" spans="13:13" ht="15.75" customHeight="1" x14ac:dyDescent="0.2">
      <c r="M355" s="136"/>
    </row>
    <row r="356" spans="13:13" ht="15.75" customHeight="1" x14ac:dyDescent="0.2">
      <c r="M356" s="136"/>
    </row>
    <row r="357" spans="13:13" ht="15.75" customHeight="1" x14ac:dyDescent="0.2">
      <c r="M357" s="136"/>
    </row>
    <row r="358" spans="13:13" ht="15.75" customHeight="1" x14ac:dyDescent="0.2">
      <c r="M358" s="136"/>
    </row>
    <row r="359" spans="13:13" ht="15.75" customHeight="1" x14ac:dyDescent="0.2">
      <c r="M359" s="136"/>
    </row>
    <row r="360" spans="13:13" ht="15.75" customHeight="1" x14ac:dyDescent="0.2">
      <c r="M360" s="136"/>
    </row>
    <row r="361" spans="13:13" ht="15.75" customHeight="1" x14ac:dyDescent="0.2">
      <c r="M361" s="136"/>
    </row>
    <row r="362" spans="13:13" ht="15.75" customHeight="1" x14ac:dyDescent="0.2">
      <c r="M362" s="136"/>
    </row>
    <row r="363" spans="13:13" ht="15.75" customHeight="1" x14ac:dyDescent="0.2">
      <c r="M363" s="136"/>
    </row>
    <row r="364" spans="13:13" ht="15.75" customHeight="1" x14ac:dyDescent="0.2">
      <c r="M364" s="136"/>
    </row>
    <row r="365" spans="13:13" ht="15.75" customHeight="1" x14ac:dyDescent="0.2">
      <c r="M365" s="136"/>
    </row>
    <row r="366" spans="13:13" ht="15.75" customHeight="1" x14ac:dyDescent="0.2">
      <c r="M366" s="136"/>
    </row>
    <row r="367" spans="13:13" ht="15.75" customHeight="1" x14ac:dyDescent="0.2">
      <c r="M367" s="136"/>
    </row>
    <row r="368" spans="13:13" ht="15.75" customHeight="1" x14ac:dyDescent="0.2">
      <c r="M368" s="136"/>
    </row>
    <row r="369" spans="13:13" ht="15.75" customHeight="1" x14ac:dyDescent="0.2">
      <c r="M369" s="136"/>
    </row>
    <row r="370" spans="13:13" ht="15.75" customHeight="1" x14ac:dyDescent="0.2">
      <c r="M370" s="136"/>
    </row>
    <row r="371" spans="13:13" ht="15.75" customHeight="1" x14ac:dyDescent="0.2">
      <c r="M371" s="136"/>
    </row>
    <row r="372" spans="13:13" ht="15.75" customHeight="1" x14ac:dyDescent="0.2">
      <c r="M372" s="136"/>
    </row>
    <row r="373" spans="13:13" ht="15.75" customHeight="1" x14ac:dyDescent="0.2">
      <c r="M373" s="136"/>
    </row>
    <row r="374" spans="13:13" ht="15.75" customHeight="1" x14ac:dyDescent="0.2">
      <c r="M374" s="136"/>
    </row>
    <row r="375" spans="13:13" ht="15.75" customHeight="1" x14ac:dyDescent="0.2">
      <c r="M375" s="136"/>
    </row>
    <row r="376" spans="13:13" ht="15.75" customHeight="1" x14ac:dyDescent="0.2">
      <c r="M376" s="136"/>
    </row>
    <row r="377" spans="13:13" ht="15.75" customHeight="1" x14ac:dyDescent="0.2">
      <c r="M377" s="136"/>
    </row>
    <row r="378" spans="13:13" ht="15.75" customHeight="1" x14ac:dyDescent="0.2">
      <c r="M378" s="136"/>
    </row>
    <row r="379" spans="13:13" ht="15.75" customHeight="1" x14ac:dyDescent="0.2">
      <c r="M379" s="136"/>
    </row>
    <row r="380" spans="13:13" ht="15.75" customHeight="1" x14ac:dyDescent="0.2">
      <c r="M380" s="136"/>
    </row>
    <row r="381" spans="13:13" ht="15.75" customHeight="1" x14ac:dyDescent="0.2">
      <c r="M381" s="136"/>
    </row>
    <row r="382" spans="13:13" ht="15.75" customHeight="1" x14ac:dyDescent="0.2">
      <c r="M382" s="136"/>
    </row>
    <row r="383" spans="13:13" ht="15.75" customHeight="1" x14ac:dyDescent="0.2">
      <c r="M383" s="136"/>
    </row>
    <row r="384" spans="13:13" ht="15.75" customHeight="1" x14ac:dyDescent="0.2">
      <c r="M384" s="136"/>
    </row>
    <row r="385" spans="13:13" ht="15.75" customHeight="1" x14ac:dyDescent="0.2">
      <c r="M385" s="136"/>
    </row>
    <row r="386" spans="13:13" ht="15.75" customHeight="1" x14ac:dyDescent="0.2">
      <c r="M386" s="136"/>
    </row>
    <row r="387" spans="13:13" ht="15.75" customHeight="1" x14ac:dyDescent="0.2">
      <c r="M387" s="136"/>
    </row>
    <row r="388" spans="13:13" ht="15.75" customHeight="1" x14ac:dyDescent="0.2">
      <c r="M388" s="136"/>
    </row>
    <row r="389" spans="13:13" ht="15.75" customHeight="1" x14ac:dyDescent="0.2">
      <c r="M389" s="136"/>
    </row>
    <row r="390" spans="13:13" ht="15.75" customHeight="1" x14ac:dyDescent="0.2">
      <c r="M390" s="136"/>
    </row>
    <row r="391" spans="13:13" ht="15.75" customHeight="1" x14ac:dyDescent="0.2">
      <c r="M391" s="136"/>
    </row>
    <row r="392" spans="13:13" ht="15.75" customHeight="1" x14ac:dyDescent="0.2">
      <c r="M392" s="136"/>
    </row>
    <row r="393" spans="13:13" ht="15.75" customHeight="1" x14ac:dyDescent="0.2">
      <c r="M393" s="136"/>
    </row>
    <row r="394" spans="13:13" ht="15.75" customHeight="1" x14ac:dyDescent="0.2">
      <c r="M394" s="136"/>
    </row>
    <row r="395" spans="13:13" ht="15.75" customHeight="1" x14ac:dyDescent="0.2">
      <c r="M395" s="136"/>
    </row>
    <row r="396" spans="13:13" ht="15.75" customHeight="1" x14ac:dyDescent="0.2">
      <c r="M396" s="136"/>
    </row>
    <row r="397" spans="13:13" ht="15.75" customHeight="1" x14ac:dyDescent="0.2">
      <c r="M397" s="136"/>
    </row>
    <row r="398" spans="13:13" ht="15.75" customHeight="1" x14ac:dyDescent="0.2">
      <c r="M398" s="136"/>
    </row>
    <row r="399" spans="13:13" ht="15.75" customHeight="1" x14ac:dyDescent="0.2">
      <c r="M399" s="136"/>
    </row>
    <row r="400" spans="13:13" ht="15.75" customHeight="1" x14ac:dyDescent="0.2">
      <c r="M400" s="136"/>
    </row>
    <row r="401" spans="13:13" ht="15.75" customHeight="1" x14ac:dyDescent="0.2">
      <c r="M401" s="136"/>
    </row>
    <row r="402" spans="13:13" ht="15.75" customHeight="1" x14ac:dyDescent="0.2">
      <c r="M402" s="136"/>
    </row>
    <row r="403" spans="13:13" ht="15.75" customHeight="1" x14ac:dyDescent="0.2">
      <c r="M403" s="136"/>
    </row>
    <row r="404" spans="13:13" ht="15.75" customHeight="1" x14ac:dyDescent="0.2">
      <c r="M404" s="136"/>
    </row>
    <row r="405" spans="13:13" ht="15.75" customHeight="1" x14ac:dyDescent="0.2">
      <c r="M405" s="136"/>
    </row>
    <row r="406" spans="13:13" ht="15.75" customHeight="1" x14ac:dyDescent="0.2">
      <c r="M406" s="136"/>
    </row>
    <row r="407" spans="13:13" ht="15.75" customHeight="1" x14ac:dyDescent="0.2">
      <c r="M407" s="136"/>
    </row>
    <row r="408" spans="13:13" ht="15.75" customHeight="1" x14ac:dyDescent="0.2">
      <c r="M408" s="136"/>
    </row>
    <row r="409" spans="13:13" ht="15.75" customHeight="1" x14ac:dyDescent="0.2">
      <c r="M409" s="136"/>
    </row>
    <row r="410" spans="13:13" ht="15.75" customHeight="1" x14ac:dyDescent="0.2">
      <c r="M410" s="136"/>
    </row>
    <row r="411" spans="13:13" ht="15.75" customHeight="1" x14ac:dyDescent="0.2">
      <c r="M411" s="136"/>
    </row>
    <row r="412" spans="13:13" ht="15.75" customHeight="1" x14ac:dyDescent="0.2">
      <c r="M412" s="136"/>
    </row>
    <row r="413" spans="13:13" ht="15.75" customHeight="1" x14ac:dyDescent="0.2">
      <c r="M413" s="136"/>
    </row>
    <row r="414" spans="13:13" ht="15.75" customHeight="1" x14ac:dyDescent="0.2">
      <c r="M414" s="136"/>
    </row>
    <row r="415" spans="13:13" ht="15.75" customHeight="1" x14ac:dyDescent="0.2">
      <c r="M415" s="136"/>
    </row>
    <row r="416" spans="13:13" ht="15.75" customHeight="1" x14ac:dyDescent="0.2">
      <c r="M416" s="136"/>
    </row>
    <row r="417" spans="13:13" ht="15.75" customHeight="1" x14ac:dyDescent="0.2">
      <c r="M417" s="136"/>
    </row>
    <row r="418" spans="13:13" ht="15.75" customHeight="1" x14ac:dyDescent="0.2">
      <c r="M418" s="136"/>
    </row>
    <row r="419" spans="13:13" ht="15.75" customHeight="1" x14ac:dyDescent="0.2">
      <c r="M419" s="136"/>
    </row>
    <row r="420" spans="13:13" ht="15.75" customHeight="1" x14ac:dyDescent="0.2">
      <c r="M420" s="136"/>
    </row>
    <row r="421" spans="13:13" ht="15.75" customHeight="1" x14ac:dyDescent="0.2">
      <c r="M421" s="136"/>
    </row>
    <row r="422" spans="13:13" ht="15.75" customHeight="1" x14ac:dyDescent="0.2">
      <c r="M422" s="136"/>
    </row>
    <row r="423" spans="13:13" ht="15.75" customHeight="1" x14ac:dyDescent="0.2">
      <c r="M423" s="136"/>
    </row>
    <row r="424" spans="13:13" ht="15.75" customHeight="1" x14ac:dyDescent="0.2">
      <c r="M424" s="136"/>
    </row>
    <row r="425" spans="13:13" ht="15.75" customHeight="1" x14ac:dyDescent="0.2">
      <c r="M425" s="136"/>
    </row>
    <row r="426" spans="13:13" ht="15.75" customHeight="1" x14ac:dyDescent="0.2">
      <c r="M426" s="136"/>
    </row>
    <row r="427" spans="13:13" ht="15.75" customHeight="1" x14ac:dyDescent="0.2">
      <c r="M427" s="136"/>
    </row>
    <row r="428" spans="13:13" ht="15.75" customHeight="1" x14ac:dyDescent="0.2">
      <c r="M428" s="136"/>
    </row>
    <row r="429" spans="13:13" ht="15.75" customHeight="1" x14ac:dyDescent="0.2">
      <c r="M429" s="136"/>
    </row>
    <row r="430" spans="13:13" ht="15.75" customHeight="1" x14ac:dyDescent="0.2">
      <c r="M430" s="136"/>
    </row>
    <row r="431" spans="13:13" ht="15.75" customHeight="1" x14ac:dyDescent="0.2">
      <c r="M431" s="136"/>
    </row>
    <row r="432" spans="13:13" ht="15.75" customHeight="1" x14ac:dyDescent="0.2">
      <c r="M432" s="136"/>
    </row>
    <row r="433" spans="13:13" ht="15.75" customHeight="1" x14ac:dyDescent="0.2">
      <c r="M433" s="136"/>
    </row>
    <row r="434" spans="13:13" ht="15.75" customHeight="1" x14ac:dyDescent="0.2">
      <c r="M434" s="136"/>
    </row>
    <row r="435" spans="13:13" ht="15.75" customHeight="1" x14ac:dyDescent="0.2">
      <c r="M435" s="136"/>
    </row>
    <row r="436" spans="13:13" ht="15.75" customHeight="1" x14ac:dyDescent="0.2">
      <c r="M436" s="136"/>
    </row>
    <row r="437" spans="13:13" ht="15.75" customHeight="1" x14ac:dyDescent="0.2">
      <c r="M437" s="136"/>
    </row>
    <row r="438" spans="13:13" ht="15.75" customHeight="1" x14ac:dyDescent="0.2">
      <c r="M438" s="136"/>
    </row>
    <row r="439" spans="13:13" ht="15.75" customHeight="1" x14ac:dyDescent="0.2">
      <c r="M439" s="136"/>
    </row>
    <row r="440" spans="13:13" ht="15.75" customHeight="1" x14ac:dyDescent="0.2">
      <c r="M440" s="136"/>
    </row>
    <row r="441" spans="13:13" ht="15.75" customHeight="1" x14ac:dyDescent="0.2">
      <c r="M441" s="136"/>
    </row>
    <row r="442" spans="13:13" ht="15.75" customHeight="1" x14ac:dyDescent="0.2">
      <c r="M442" s="136"/>
    </row>
    <row r="443" spans="13:13" ht="15.75" customHeight="1" x14ac:dyDescent="0.2">
      <c r="M443" s="136"/>
    </row>
    <row r="444" spans="13:13" ht="15.75" customHeight="1" x14ac:dyDescent="0.2">
      <c r="M444" s="136"/>
    </row>
    <row r="445" spans="13:13" ht="15.75" customHeight="1" x14ac:dyDescent="0.2">
      <c r="M445" s="136"/>
    </row>
    <row r="446" spans="13:13" ht="15.75" customHeight="1" x14ac:dyDescent="0.2">
      <c r="M446" s="136"/>
    </row>
    <row r="447" spans="13:13" ht="15.75" customHeight="1" x14ac:dyDescent="0.2">
      <c r="M447" s="136"/>
    </row>
    <row r="448" spans="13:13" ht="15.75" customHeight="1" x14ac:dyDescent="0.2">
      <c r="M448" s="136"/>
    </row>
    <row r="449" spans="13:13" ht="15.75" customHeight="1" x14ac:dyDescent="0.2">
      <c r="M449" s="136"/>
    </row>
    <row r="450" spans="13:13" ht="15.75" customHeight="1" x14ac:dyDescent="0.2">
      <c r="M450" s="136"/>
    </row>
    <row r="451" spans="13:13" ht="15.75" customHeight="1" x14ac:dyDescent="0.2">
      <c r="M451" s="136"/>
    </row>
    <row r="452" spans="13:13" ht="15.75" customHeight="1" x14ac:dyDescent="0.2">
      <c r="M452" s="136"/>
    </row>
    <row r="453" spans="13:13" ht="15.75" customHeight="1" x14ac:dyDescent="0.2">
      <c r="M453" s="136"/>
    </row>
    <row r="454" spans="13:13" ht="15.75" customHeight="1" x14ac:dyDescent="0.2">
      <c r="M454" s="136"/>
    </row>
    <row r="455" spans="13:13" ht="15.75" customHeight="1" x14ac:dyDescent="0.2">
      <c r="M455" s="136"/>
    </row>
    <row r="456" spans="13:13" ht="15.75" customHeight="1" x14ac:dyDescent="0.2">
      <c r="M456" s="136"/>
    </row>
    <row r="457" spans="13:13" ht="15.75" customHeight="1" x14ac:dyDescent="0.2">
      <c r="M457" s="136"/>
    </row>
    <row r="458" spans="13:13" ht="15.75" customHeight="1" x14ac:dyDescent="0.2">
      <c r="M458" s="136"/>
    </row>
    <row r="459" spans="13:13" ht="15.75" customHeight="1" x14ac:dyDescent="0.2">
      <c r="M459" s="136"/>
    </row>
    <row r="460" spans="13:13" ht="15.75" customHeight="1" x14ac:dyDescent="0.2">
      <c r="M460" s="136"/>
    </row>
    <row r="461" spans="13:13" ht="15.75" customHeight="1" x14ac:dyDescent="0.2">
      <c r="M461" s="136"/>
    </row>
    <row r="462" spans="13:13" ht="15.75" customHeight="1" x14ac:dyDescent="0.2">
      <c r="M462" s="136"/>
    </row>
    <row r="463" spans="13:13" ht="15.75" customHeight="1" x14ac:dyDescent="0.2">
      <c r="M463" s="136"/>
    </row>
    <row r="464" spans="13:13" ht="15.75" customHeight="1" x14ac:dyDescent="0.2">
      <c r="M464" s="136"/>
    </row>
    <row r="465" spans="13:13" ht="15.75" customHeight="1" x14ac:dyDescent="0.2">
      <c r="M465" s="136"/>
    </row>
    <row r="466" spans="13:13" ht="15.75" customHeight="1" x14ac:dyDescent="0.2">
      <c r="M466" s="136"/>
    </row>
    <row r="467" spans="13:13" ht="15.75" customHeight="1" x14ac:dyDescent="0.2">
      <c r="M467" s="136"/>
    </row>
    <row r="468" spans="13:13" ht="15.75" customHeight="1" x14ac:dyDescent="0.2">
      <c r="M468" s="136"/>
    </row>
    <row r="469" spans="13:13" ht="15.75" customHeight="1" x14ac:dyDescent="0.2">
      <c r="M469" s="136"/>
    </row>
    <row r="470" spans="13:13" ht="15.75" customHeight="1" x14ac:dyDescent="0.2">
      <c r="M470" s="136"/>
    </row>
    <row r="471" spans="13:13" ht="15.75" customHeight="1" x14ac:dyDescent="0.2">
      <c r="M471" s="136"/>
    </row>
    <row r="472" spans="13:13" ht="15.75" customHeight="1" x14ac:dyDescent="0.2">
      <c r="M472" s="136"/>
    </row>
    <row r="473" spans="13:13" ht="15.75" customHeight="1" x14ac:dyDescent="0.2">
      <c r="M473" s="136"/>
    </row>
    <row r="474" spans="13:13" ht="15.75" customHeight="1" x14ac:dyDescent="0.2">
      <c r="M474" s="136"/>
    </row>
    <row r="475" spans="13:13" ht="15.75" customHeight="1" x14ac:dyDescent="0.2">
      <c r="M475" s="136"/>
    </row>
    <row r="476" spans="13:13" ht="15.75" customHeight="1" x14ac:dyDescent="0.2">
      <c r="M476" s="136"/>
    </row>
    <row r="477" spans="13:13" ht="15.75" customHeight="1" x14ac:dyDescent="0.2">
      <c r="M477" s="136"/>
    </row>
    <row r="478" spans="13:13" ht="15.75" customHeight="1" x14ac:dyDescent="0.2">
      <c r="M478" s="136"/>
    </row>
    <row r="479" spans="13:13" ht="15.75" customHeight="1" x14ac:dyDescent="0.2">
      <c r="M479" s="136"/>
    </row>
    <row r="480" spans="13:13" ht="15.75" customHeight="1" x14ac:dyDescent="0.2">
      <c r="M480" s="136"/>
    </row>
    <row r="481" spans="13:13" ht="15.75" customHeight="1" x14ac:dyDescent="0.2">
      <c r="M481" s="136"/>
    </row>
    <row r="482" spans="13:13" ht="15.75" customHeight="1" x14ac:dyDescent="0.2">
      <c r="M482" s="136"/>
    </row>
    <row r="483" spans="13:13" ht="15.75" customHeight="1" x14ac:dyDescent="0.2">
      <c r="M483" s="136"/>
    </row>
    <row r="484" spans="13:13" ht="15.75" customHeight="1" x14ac:dyDescent="0.2">
      <c r="M484" s="136"/>
    </row>
    <row r="485" spans="13:13" ht="15.75" customHeight="1" x14ac:dyDescent="0.2">
      <c r="M485" s="136"/>
    </row>
    <row r="486" spans="13:13" ht="15.75" customHeight="1" x14ac:dyDescent="0.2">
      <c r="M486" s="136"/>
    </row>
    <row r="487" spans="13:13" ht="15.75" customHeight="1" x14ac:dyDescent="0.2">
      <c r="M487" s="136"/>
    </row>
    <row r="488" spans="13:13" ht="15.75" customHeight="1" x14ac:dyDescent="0.2">
      <c r="M488" s="136"/>
    </row>
    <row r="489" spans="13:13" ht="15.75" customHeight="1" x14ac:dyDescent="0.2">
      <c r="M489" s="136"/>
    </row>
    <row r="490" spans="13:13" ht="15.75" customHeight="1" x14ac:dyDescent="0.2">
      <c r="M490" s="136"/>
    </row>
    <row r="491" spans="13:13" ht="15.75" customHeight="1" x14ac:dyDescent="0.2">
      <c r="M491" s="136"/>
    </row>
    <row r="492" spans="13:13" ht="15.75" customHeight="1" x14ac:dyDescent="0.2">
      <c r="M492" s="136"/>
    </row>
    <row r="493" spans="13:13" ht="15.75" customHeight="1" x14ac:dyDescent="0.2">
      <c r="M493" s="136"/>
    </row>
    <row r="494" spans="13:13" ht="15.75" customHeight="1" x14ac:dyDescent="0.2">
      <c r="M494" s="136"/>
    </row>
    <row r="495" spans="13:13" ht="15.75" customHeight="1" x14ac:dyDescent="0.2">
      <c r="M495" s="136"/>
    </row>
    <row r="496" spans="13:13" ht="15.75" customHeight="1" x14ac:dyDescent="0.2">
      <c r="M496" s="136"/>
    </row>
    <row r="497" spans="13:13" ht="15.75" customHeight="1" x14ac:dyDescent="0.2">
      <c r="M497" s="136"/>
    </row>
    <row r="498" spans="13:13" ht="15.75" customHeight="1" x14ac:dyDescent="0.2">
      <c r="M498" s="136"/>
    </row>
    <row r="499" spans="13:13" ht="15.75" customHeight="1" x14ac:dyDescent="0.2">
      <c r="M499" s="136"/>
    </row>
    <row r="500" spans="13:13" ht="15.75" customHeight="1" x14ac:dyDescent="0.2">
      <c r="M500" s="136"/>
    </row>
    <row r="501" spans="13:13" ht="15.75" customHeight="1" x14ac:dyDescent="0.2">
      <c r="M501" s="136"/>
    </row>
    <row r="502" spans="13:13" ht="15.75" customHeight="1" x14ac:dyDescent="0.2">
      <c r="M502" s="136"/>
    </row>
    <row r="503" spans="13:13" ht="15.75" customHeight="1" x14ac:dyDescent="0.2">
      <c r="M503" s="136"/>
    </row>
    <row r="504" spans="13:13" ht="15.75" customHeight="1" x14ac:dyDescent="0.2">
      <c r="M504" s="136"/>
    </row>
    <row r="505" spans="13:13" ht="15.75" customHeight="1" x14ac:dyDescent="0.2">
      <c r="M505" s="136"/>
    </row>
    <row r="506" spans="13:13" ht="15.75" customHeight="1" x14ac:dyDescent="0.2">
      <c r="M506" s="136"/>
    </row>
    <row r="507" spans="13:13" ht="15.75" customHeight="1" x14ac:dyDescent="0.2">
      <c r="M507" s="136"/>
    </row>
    <row r="508" spans="13:13" ht="15.75" customHeight="1" x14ac:dyDescent="0.2">
      <c r="M508" s="136"/>
    </row>
    <row r="509" spans="13:13" ht="15.75" customHeight="1" x14ac:dyDescent="0.2">
      <c r="M509" s="136"/>
    </row>
    <row r="510" spans="13:13" ht="15.75" customHeight="1" x14ac:dyDescent="0.2">
      <c r="M510" s="136"/>
    </row>
    <row r="511" spans="13:13" ht="15.75" customHeight="1" x14ac:dyDescent="0.2">
      <c r="M511" s="136"/>
    </row>
    <row r="512" spans="13:13" ht="15.75" customHeight="1" x14ac:dyDescent="0.2">
      <c r="M512" s="136"/>
    </row>
    <row r="513" spans="13:13" ht="15.75" customHeight="1" x14ac:dyDescent="0.2">
      <c r="M513" s="136"/>
    </row>
    <row r="514" spans="13:13" ht="15.75" customHeight="1" x14ac:dyDescent="0.2">
      <c r="M514" s="136"/>
    </row>
    <row r="515" spans="13:13" ht="15.75" customHeight="1" x14ac:dyDescent="0.2">
      <c r="M515" s="136"/>
    </row>
    <row r="516" spans="13:13" ht="15.75" customHeight="1" x14ac:dyDescent="0.2">
      <c r="M516" s="136"/>
    </row>
    <row r="517" spans="13:13" ht="15.75" customHeight="1" x14ac:dyDescent="0.2">
      <c r="M517" s="136"/>
    </row>
    <row r="518" spans="13:13" ht="15.75" customHeight="1" x14ac:dyDescent="0.2">
      <c r="M518" s="136"/>
    </row>
    <row r="519" spans="13:13" ht="15.75" customHeight="1" x14ac:dyDescent="0.2">
      <c r="M519" s="136"/>
    </row>
    <row r="520" spans="13:13" ht="15.75" customHeight="1" x14ac:dyDescent="0.2">
      <c r="M520" s="136"/>
    </row>
    <row r="521" spans="13:13" ht="15.75" customHeight="1" x14ac:dyDescent="0.2">
      <c r="M521" s="136"/>
    </row>
    <row r="522" spans="13:13" ht="15.75" customHeight="1" x14ac:dyDescent="0.2">
      <c r="M522" s="136"/>
    </row>
    <row r="523" spans="13:13" ht="15.75" customHeight="1" x14ac:dyDescent="0.2">
      <c r="M523" s="136"/>
    </row>
    <row r="524" spans="13:13" ht="15.75" customHeight="1" x14ac:dyDescent="0.2">
      <c r="M524" s="136"/>
    </row>
    <row r="525" spans="13:13" ht="15.75" customHeight="1" x14ac:dyDescent="0.2">
      <c r="M525" s="136"/>
    </row>
    <row r="526" spans="13:13" ht="15.75" customHeight="1" x14ac:dyDescent="0.2">
      <c r="M526" s="136"/>
    </row>
    <row r="527" spans="13:13" ht="15.75" customHeight="1" x14ac:dyDescent="0.2">
      <c r="M527" s="136"/>
    </row>
    <row r="528" spans="13:13" ht="15.75" customHeight="1" x14ac:dyDescent="0.2">
      <c r="M528" s="136"/>
    </row>
    <row r="529" spans="13:13" ht="15.75" customHeight="1" x14ac:dyDescent="0.2">
      <c r="M529" s="136"/>
    </row>
    <row r="530" spans="13:13" ht="15.75" customHeight="1" x14ac:dyDescent="0.2">
      <c r="M530" s="136"/>
    </row>
    <row r="531" spans="13:13" ht="15.75" customHeight="1" x14ac:dyDescent="0.2">
      <c r="M531" s="136"/>
    </row>
    <row r="532" spans="13:13" ht="15.75" customHeight="1" x14ac:dyDescent="0.2">
      <c r="M532" s="136"/>
    </row>
    <row r="533" spans="13:13" ht="15.75" customHeight="1" x14ac:dyDescent="0.2">
      <c r="M533" s="136"/>
    </row>
    <row r="534" spans="13:13" ht="15.75" customHeight="1" x14ac:dyDescent="0.2">
      <c r="M534" s="136"/>
    </row>
    <row r="535" spans="13:13" ht="15.75" customHeight="1" x14ac:dyDescent="0.2">
      <c r="M535" s="136"/>
    </row>
    <row r="536" spans="13:13" ht="15.75" customHeight="1" x14ac:dyDescent="0.2">
      <c r="M536" s="136"/>
    </row>
    <row r="537" spans="13:13" ht="15.75" customHeight="1" x14ac:dyDescent="0.2">
      <c r="M537" s="136"/>
    </row>
    <row r="538" spans="13:13" ht="15.75" customHeight="1" x14ac:dyDescent="0.2">
      <c r="M538" s="136"/>
    </row>
    <row r="539" spans="13:13" ht="15.75" customHeight="1" x14ac:dyDescent="0.2">
      <c r="M539" s="136"/>
    </row>
    <row r="540" spans="13:13" ht="15.75" customHeight="1" x14ac:dyDescent="0.2">
      <c r="M540" s="136"/>
    </row>
    <row r="541" spans="13:13" ht="15.75" customHeight="1" x14ac:dyDescent="0.2">
      <c r="M541" s="136"/>
    </row>
    <row r="542" spans="13:13" ht="15.75" customHeight="1" x14ac:dyDescent="0.2">
      <c r="M542" s="136"/>
    </row>
    <row r="543" spans="13:13" ht="15.75" customHeight="1" x14ac:dyDescent="0.2">
      <c r="M543" s="136"/>
    </row>
    <row r="544" spans="13:13" ht="15.75" customHeight="1" x14ac:dyDescent="0.2">
      <c r="M544" s="136"/>
    </row>
    <row r="545" spans="13:13" ht="15.75" customHeight="1" x14ac:dyDescent="0.2">
      <c r="M545" s="136"/>
    </row>
    <row r="546" spans="13:13" ht="15.75" customHeight="1" x14ac:dyDescent="0.2">
      <c r="M546" s="136"/>
    </row>
    <row r="547" spans="13:13" ht="15.75" customHeight="1" x14ac:dyDescent="0.2">
      <c r="M547" s="136"/>
    </row>
    <row r="548" spans="13:13" ht="15.75" customHeight="1" x14ac:dyDescent="0.2">
      <c r="M548" s="136"/>
    </row>
    <row r="549" spans="13:13" ht="15.75" customHeight="1" x14ac:dyDescent="0.2">
      <c r="M549" s="136"/>
    </row>
    <row r="550" spans="13:13" ht="15.75" customHeight="1" x14ac:dyDescent="0.2">
      <c r="M550" s="136"/>
    </row>
    <row r="551" spans="13:13" ht="15.75" customHeight="1" x14ac:dyDescent="0.2">
      <c r="M551" s="136"/>
    </row>
    <row r="552" spans="13:13" ht="15.75" customHeight="1" x14ac:dyDescent="0.2">
      <c r="M552" s="136"/>
    </row>
    <row r="553" spans="13:13" ht="15.75" customHeight="1" x14ac:dyDescent="0.2">
      <c r="M553" s="136"/>
    </row>
    <row r="554" spans="13:13" ht="15.75" customHeight="1" x14ac:dyDescent="0.2">
      <c r="M554" s="136"/>
    </row>
    <row r="555" spans="13:13" ht="15.75" customHeight="1" x14ac:dyDescent="0.2">
      <c r="M555" s="136"/>
    </row>
    <row r="556" spans="13:13" ht="15.75" customHeight="1" x14ac:dyDescent="0.2">
      <c r="M556" s="136"/>
    </row>
    <row r="557" spans="13:13" ht="15.75" customHeight="1" x14ac:dyDescent="0.2">
      <c r="M557" s="136"/>
    </row>
    <row r="558" spans="13:13" ht="15.75" customHeight="1" x14ac:dyDescent="0.2">
      <c r="M558" s="136"/>
    </row>
    <row r="559" spans="13:13" ht="15.75" customHeight="1" x14ac:dyDescent="0.2">
      <c r="M559" s="136"/>
    </row>
    <row r="560" spans="13:13" ht="15.75" customHeight="1" x14ac:dyDescent="0.2">
      <c r="M560" s="136"/>
    </row>
    <row r="561" spans="13:13" ht="15.75" customHeight="1" x14ac:dyDescent="0.2">
      <c r="M561" s="136"/>
    </row>
    <row r="562" spans="13:13" ht="15.75" customHeight="1" x14ac:dyDescent="0.2">
      <c r="M562" s="136"/>
    </row>
    <row r="563" spans="13:13" ht="15.75" customHeight="1" x14ac:dyDescent="0.2">
      <c r="M563" s="136"/>
    </row>
    <row r="564" spans="13:13" ht="15.75" customHeight="1" x14ac:dyDescent="0.2">
      <c r="M564" s="136"/>
    </row>
    <row r="565" spans="13:13" ht="15.75" customHeight="1" x14ac:dyDescent="0.2">
      <c r="M565" s="136"/>
    </row>
    <row r="566" spans="13:13" ht="15.75" customHeight="1" x14ac:dyDescent="0.2">
      <c r="M566" s="136"/>
    </row>
    <row r="567" spans="13:13" ht="15.75" customHeight="1" x14ac:dyDescent="0.2">
      <c r="M567" s="136"/>
    </row>
    <row r="568" spans="13:13" ht="15.75" customHeight="1" x14ac:dyDescent="0.2">
      <c r="M568" s="136"/>
    </row>
    <row r="569" spans="13:13" ht="15.75" customHeight="1" x14ac:dyDescent="0.2">
      <c r="M569" s="136"/>
    </row>
    <row r="570" spans="13:13" ht="15.75" customHeight="1" x14ac:dyDescent="0.2">
      <c r="M570" s="136"/>
    </row>
    <row r="571" spans="13:13" ht="15.75" customHeight="1" x14ac:dyDescent="0.2">
      <c r="M571" s="136"/>
    </row>
    <row r="572" spans="13:13" ht="15.75" customHeight="1" x14ac:dyDescent="0.2">
      <c r="M572" s="136"/>
    </row>
    <row r="573" spans="13:13" ht="15.75" customHeight="1" x14ac:dyDescent="0.2">
      <c r="M573" s="136"/>
    </row>
    <row r="574" spans="13:13" ht="15.75" customHeight="1" x14ac:dyDescent="0.2">
      <c r="M574" s="136"/>
    </row>
    <row r="575" spans="13:13" ht="15.75" customHeight="1" x14ac:dyDescent="0.2">
      <c r="M575" s="136"/>
    </row>
    <row r="576" spans="13:13" ht="15.75" customHeight="1" x14ac:dyDescent="0.2">
      <c r="M576" s="136"/>
    </row>
    <row r="577" spans="13:13" ht="15.75" customHeight="1" x14ac:dyDescent="0.2">
      <c r="M577" s="136"/>
    </row>
    <row r="578" spans="13:13" ht="15.75" customHeight="1" x14ac:dyDescent="0.2">
      <c r="M578" s="136"/>
    </row>
    <row r="579" spans="13:13" ht="15.75" customHeight="1" x14ac:dyDescent="0.2">
      <c r="M579" s="136"/>
    </row>
    <row r="580" spans="13:13" ht="15.75" customHeight="1" x14ac:dyDescent="0.2">
      <c r="M580" s="136"/>
    </row>
    <row r="581" spans="13:13" ht="15.75" customHeight="1" x14ac:dyDescent="0.2">
      <c r="M581" s="136"/>
    </row>
    <row r="582" spans="13:13" ht="15.75" customHeight="1" x14ac:dyDescent="0.2">
      <c r="M582" s="136"/>
    </row>
    <row r="583" spans="13:13" ht="15.75" customHeight="1" x14ac:dyDescent="0.2">
      <c r="M583" s="136"/>
    </row>
    <row r="584" spans="13:13" ht="15.75" customHeight="1" x14ac:dyDescent="0.2">
      <c r="M584" s="136"/>
    </row>
    <row r="585" spans="13:13" ht="15.75" customHeight="1" x14ac:dyDescent="0.2">
      <c r="M585" s="136"/>
    </row>
    <row r="586" spans="13:13" ht="15.75" customHeight="1" x14ac:dyDescent="0.2">
      <c r="M586" s="136"/>
    </row>
    <row r="587" spans="13:13" ht="15.75" customHeight="1" x14ac:dyDescent="0.2">
      <c r="M587" s="136"/>
    </row>
    <row r="588" spans="13:13" ht="15.75" customHeight="1" x14ac:dyDescent="0.2">
      <c r="M588" s="136"/>
    </row>
    <row r="589" spans="13:13" ht="15.75" customHeight="1" x14ac:dyDescent="0.2">
      <c r="M589" s="136"/>
    </row>
    <row r="590" spans="13:13" ht="15.75" customHeight="1" x14ac:dyDescent="0.2">
      <c r="M590" s="136"/>
    </row>
    <row r="591" spans="13:13" ht="15.75" customHeight="1" x14ac:dyDescent="0.2">
      <c r="M591" s="136"/>
    </row>
    <row r="592" spans="13:13" ht="15.75" customHeight="1" x14ac:dyDescent="0.2">
      <c r="M592" s="136"/>
    </row>
    <row r="593" spans="13:13" ht="15.75" customHeight="1" x14ac:dyDescent="0.2">
      <c r="M593" s="136"/>
    </row>
    <row r="594" spans="13:13" ht="15.75" customHeight="1" x14ac:dyDescent="0.2">
      <c r="M594" s="136"/>
    </row>
    <row r="595" spans="13:13" ht="15.75" customHeight="1" x14ac:dyDescent="0.2">
      <c r="M595" s="136"/>
    </row>
    <row r="596" spans="13:13" ht="15.75" customHeight="1" x14ac:dyDescent="0.2">
      <c r="M596" s="136"/>
    </row>
    <row r="597" spans="13:13" ht="15.75" customHeight="1" x14ac:dyDescent="0.2">
      <c r="M597" s="136"/>
    </row>
    <row r="598" spans="13:13" ht="15.75" customHeight="1" x14ac:dyDescent="0.2">
      <c r="M598" s="136"/>
    </row>
    <row r="599" spans="13:13" ht="15.75" customHeight="1" x14ac:dyDescent="0.2">
      <c r="M599" s="136"/>
    </row>
    <row r="600" spans="13:13" ht="15.75" customHeight="1" x14ac:dyDescent="0.2">
      <c r="M600" s="136"/>
    </row>
    <row r="601" spans="13:13" ht="15.75" customHeight="1" x14ac:dyDescent="0.2">
      <c r="M601" s="136"/>
    </row>
    <row r="602" spans="13:13" ht="15.75" customHeight="1" x14ac:dyDescent="0.2">
      <c r="M602" s="136"/>
    </row>
    <row r="603" spans="13:13" ht="15.75" customHeight="1" x14ac:dyDescent="0.2">
      <c r="M603" s="136"/>
    </row>
    <row r="604" spans="13:13" ht="15.75" customHeight="1" x14ac:dyDescent="0.2">
      <c r="M604" s="136"/>
    </row>
    <row r="605" spans="13:13" ht="15.75" customHeight="1" x14ac:dyDescent="0.2">
      <c r="M605" s="136"/>
    </row>
    <row r="606" spans="13:13" ht="15.75" customHeight="1" x14ac:dyDescent="0.2">
      <c r="M606" s="136"/>
    </row>
    <row r="607" spans="13:13" ht="15.75" customHeight="1" x14ac:dyDescent="0.2">
      <c r="M607" s="136"/>
    </row>
    <row r="608" spans="13:13" ht="15.75" customHeight="1" x14ac:dyDescent="0.2">
      <c r="M608" s="136"/>
    </row>
    <row r="609" spans="13:13" ht="15.75" customHeight="1" x14ac:dyDescent="0.2">
      <c r="M609" s="136"/>
    </row>
    <row r="610" spans="13:13" ht="15.75" customHeight="1" x14ac:dyDescent="0.2">
      <c r="M610" s="136"/>
    </row>
    <row r="611" spans="13:13" ht="15.75" customHeight="1" x14ac:dyDescent="0.2">
      <c r="M611" s="136"/>
    </row>
    <row r="612" spans="13:13" ht="15.75" customHeight="1" x14ac:dyDescent="0.2">
      <c r="M612" s="136"/>
    </row>
    <row r="613" spans="13:13" ht="15.75" customHeight="1" x14ac:dyDescent="0.2">
      <c r="M613" s="136"/>
    </row>
    <row r="614" spans="13:13" ht="15.75" customHeight="1" x14ac:dyDescent="0.2">
      <c r="M614" s="136"/>
    </row>
    <row r="615" spans="13:13" ht="15.75" customHeight="1" x14ac:dyDescent="0.2">
      <c r="M615" s="136"/>
    </row>
    <row r="616" spans="13:13" ht="15.75" customHeight="1" x14ac:dyDescent="0.2">
      <c r="M616" s="136"/>
    </row>
    <row r="617" spans="13:13" ht="15.75" customHeight="1" x14ac:dyDescent="0.2">
      <c r="M617" s="136"/>
    </row>
    <row r="618" spans="13:13" ht="15.75" customHeight="1" x14ac:dyDescent="0.2">
      <c r="M618" s="136"/>
    </row>
    <row r="619" spans="13:13" ht="15.75" customHeight="1" x14ac:dyDescent="0.2">
      <c r="M619" s="136"/>
    </row>
    <row r="620" spans="13:13" ht="15.75" customHeight="1" x14ac:dyDescent="0.2">
      <c r="M620" s="136"/>
    </row>
    <row r="621" spans="13:13" ht="15.75" customHeight="1" x14ac:dyDescent="0.2">
      <c r="M621" s="136"/>
    </row>
    <row r="622" spans="13:13" ht="15.75" customHeight="1" x14ac:dyDescent="0.2">
      <c r="M622" s="136"/>
    </row>
    <row r="623" spans="13:13" ht="15.75" customHeight="1" x14ac:dyDescent="0.2">
      <c r="M623" s="136"/>
    </row>
    <row r="624" spans="13:13" ht="15.75" customHeight="1" x14ac:dyDescent="0.2">
      <c r="M624" s="136"/>
    </row>
    <row r="625" spans="13:13" ht="15.75" customHeight="1" x14ac:dyDescent="0.2">
      <c r="M625" s="136"/>
    </row>
    <row r="626" spans="13:13" ht="15.75" customHeight="1" x14ac:dyDescent="0.2">
      <c r="M626" s="136"/>
    </row>
    <row r="627" spans="13:13" ht="15.75" customHeight="1" x14ac:dyDescent="0.2">
      <c r="M627" s="136"/>
    </row>
    <row r="628" spans="13:13" ht="15.75" customHeight="1" x14ac:dyDescent="0.2">
      <c r="M628" s="136"/>
    </row>
    <row r="629" spans="13:13" ht="15.75" customHeight="1" x14ac:dyDescent="0.2">
      <c r="M629" s="136"/>
    </row>
    <row r="630" spans="13:13" ht="15.75" customHeight="1" x14ac:dyDescent="0.2">
      <c r="M630" s="136"/>
    </row>
    <row r="631" spans="13:13" ht="15.75" customHeight="1" x14ac:dyDescent="0.2">
      <c r="M631" s="136"/>
    </row>
    <row r="632" spans="13:13" ht="15.75" customHeight="1" x14ac:dyDescent="0.2">
      <c r="M632" s="136"/>
    </row>
    <row r="633" spans="13:13" ht="15.75" customHeight="1" x14ac:dyDescent="0.2">
      <c r="M633" s="136"/>
    </row>
    <row r="634" spans="13:13" ht="15.75" customHeight="1" x14ac:dyDescent="0.2">
      <c r="M634" s="136"/>
    </row>
    <row r="635" spans="13:13" ht="15.75" customHeight="1" x14ac:dyDescent="0.2">
      <c r="M635" s="136"/>
    </row>
    <row r="636" spans="13:13" ht="15.75" customHeight="1" x14ac:dyDescent="0.2">
      <c r="M636" s="136"/>
    </row>
    <row r="637" spans="13:13" ht="15.75" customHeight="1" x14ac:dyDescent="0.2">
      <c r="M637" s="136"/>
    </row>
    <row r="638" spans="13:13" ht="15.75" customHeight="1" x14ac:dyDescent="0.2">
      <c r="M638" s="136"/>
    </row>
    <row r="639" spans="13:13" ht="15.75" customHeight="1" x14ac:dyDescent="0.2">
      <c r="M639" s="136"/>
    </row>
    <row r="640" spans="13:13" ht="15.75" customHeight="1" x14ac:dyDescent="0.2">
      <c r="M640" s="136"/>
    </row>
    <row r="641" spans="13:13" ht="15.75" customHeight="1" x14ac:dyDescent="0.2">
      <c r="M641" s="136"/>
    </row>
    <row r="642" spans="13:13" ht="15.75" customHeight="1" x14ac:dyDescent="0.2">
      <c r="M642" s="136"/>
    </row>
    <row r="643" spans="13:13" ht="15.75" customHeight="1" x14ac:dyDescent="0.2">
      <c r="M643" s="136"/>
    </row>
    <row r="644" spans="13:13" ht="15.75" customHeight="1" x14ac:dyDescent="0.2">
      <c r="M644" s="136"/>
    </row>
    <row r="645" spans="13:13" ht="15.75" customHeight="1" x14ac:dyDescent="0.2">
      <c r="M645" s="136"/>
    </row>
    <row r="646" spans="13:13" ht="15.75" customHeight="1" x14ac:dyDescent="0.2">
      <c r="M646" s="136"/>
    </row>
    <row r="647" spans="13:13" ht="15.75" customHeight="1" x14ac:dyDescent="0.2">
      <c r="M647" s="136"/>
    </row>
    <row r="648" spans="13:13" ht="15.75" customHeight="1" x14ac:dyDescent="0.2">
      <c r="M648" s="136"/>
    </row>
    <row r="649" spans="13:13" ht="15.75" customHeight="1" x14ac:dyDescent="0.2">
      <c r="M649" s="136"/>
    </row>
    <row r="650" spans="13:13" ht="15.75" customHeight="1" x14ac:dyDescent="0.2">
      <c r="M650" s="136"/>
    </row>
    <row r="651" spans="13:13" ht="15.75" customHeight="1" x14ac:dyDescent="0.2">
      <c r="M651" s="136"/>
    </row>
    <row r="652" spans="13:13" ht="15.75" customHeight="1" x14ac:dyDescent="0.2">
      <c r="M652" s="136"/>
    </row>
    <row r="653" spans="13:13" ht="15.75" customHeight="1" x14ac:dyDescent="0.2">
      <c r="M653" s="136"/>
    </row>
    <row r="654" spans="13:13" ht="15.75" customHeight="1" x14ac:dyDescent="0.2">
      <c r="M654" s="136"/>
    </row>
    <row r="655" spans="13:13" ht="15.75" customHeight="1" x14ac:dyDescent="0.2">
      <c r="M655" s="136"/>
    </row>
    <row r="656" spans="13:13" ht="15.75" customHeight="1" x14ac:dyDescent="0.2">
      <c r="M656" s="136"/>
    </row>
    <row r="657" spans="13:13" ht="15.75" customHeight="1" x14ac:dyDescent="0.2">
      <c r="M657" s="136"/>
    </row>
    <row r="658" spans="13:13" ht="15.75" customHeight="1" x14ac:dyDescent="0.2">
      <c r="M658" s="136"/>
    </row>
    <row r="659" spans="13:13" ht="15.75" customHeight="1" x14ac:dyDescent="0.2">
      <c r="M659" s="136"/>
    </row>
    <row r="660" spans="13:13" ht="15.75" customHeight="1" x14ac:dyDescent="0.2">
      <c r="M660" s="136"/>
    </row>
    <row r="661" spans="13:13" ht="15.75" customHeight="1" x14ac:dyDescent="0.2">
      <c r="M661" s="136"/>
    </row>
    <row r="662" spans="13:13" ht="15.75" customHeight="1" x14ac:dyDescent="0.2">
      <c r="M662" s="136"/>
    </row>
    <row r="663" spans="13:13" ht="15.75" customHeight="1" x14ac:dyDescent="0.2">
      <c r="M663" s="136"/>
    </row>
    <row r="664" spans="13:13" ht="15.75" customHeight="1" x14ac:dyDescent="0.2">
      <c r="M664" s="136"/>
    </row>
    <row r="665" spans="13:13" ht="15.75" customHeight="1" x14ac:dyDescent="0.2">
      <c r="M665" s="136"/>
    </row>
    <row r="666" spans="13:13" ht="15.75" customHeight="1" x14ac:dyDescent="0.2">
      <c r="M666" s="136"/>
    </row>
    <row r="667" spans="13:13" ht="15.75" customHeight="1" x14ac:dyDescent="0.2">
      <c r="M667" s="136"/>
    </row>
    <row r="668" spans="13:13" ht="15.75" customHeight="1" x14ac:dyDescent="0.2">
      <c r="M668" s="136"/>
    </row>
    <row r="669" spans="13:13" ht="15.75" customHeight="1" x14ac:dyDescent="0.2">
      <c r="M669" s="136"/>
    </row>
    <row r="670" spans="13:13" ht="15.75" customHeight="1" x14ac:dyDescent="0.2">
      <c r="M670" s="136"/>
    </row>
    <row r="671" spans="13:13" ht="15.75" customHeight="1" x14ac:dyDescent="0.2">
      <c r="M671" s="136"/>
    </row>
    <row r="672" spans="13:13" ht="15.75" customHeight="1" x14ac:dyDescent="0.2">
      <c r="M672" s="136"/>
    </row>
    <row r="673" spans="13:13" ht="15.75" customHeight="1" x14ac:dyDescent="0.2">
      <c r="M673" s="136"/>
    </row>
    <row r="674" spans="13:13" ht="15.75" customHeight="1" x14ac:dyDescent="0.2">
      <c r="M674" s="136"/>
    </row>
    <row r="675" spans="13:13" ht="15.75" customHeight="1" x14ac:dyDescent="0.2">
      <c r="M675" s="136"/>
    </row>
    <row r="676" spans="13:13" ht="15.75" customHeight="1" x14ac:dyDescent="0.2">
      <c r="M676" s="136"/>
    </row>
    <row r="677" spans="13:13" ht="15.75" customHeight="1" x14ac:dyDescent="0.2">
      <c r="M677" s="136"/>
    </row>
    <row r="678" spans="13:13" ht="15.75" customHeight="1" x14ac:dyDescent="0.2">
      <c r="M678" s="136"/>
    </row>
    <row r="679" spans="13:13" ht="15.75" customHeight="1" x14ac:dyDescent="0.2">
      <c r="M679" s="136"/>
    </row>
    <row r="680" spans="13:13" ht="15.75" customHeight="1" x14ac:dyDescent="0.2">
      <c r="M680" s="136"/>
    </row>
    <row r="681" spans="13:13" ht="15.75" customHeight="1" x14ac:dyDescent="0.2">
      <c r="M681" s="136"/>
    </row>
    <row r="682" spans="13:13" ht="15.75" customHeight="1" x14ac:dyDescent="0.2">
      <c r="M682" s="136"/>
    </row>
    <row r="683" spans="13:13" ht="15.75" customHeight="1" x14ac:dyDescent="0.2">
      <c r="M683" s="136"/>
    </row>
    <row r="684" spans="13:13" ht="15.75" customHeight="1" x14ac:dyDescent="0.2">
      <c r="M684" s="136"/>
    </row>
    <row r="685" spans="13:13" ht="15.75" customHeight="1" x14ac:dyDescent="0.2">
      <c r="M685" s="136"/>
    </row>
    <row r="686" spans="13:13" ht="15.75" customHeight="1" x14ac:dyDescent="0.2">
      <c r="M686" s="136"/>
    </row>
    <row r="687" spans="13:13" ht="15.75" customHeight="1" x14ac:dyDescent="0.2">
      <c r="M687" s="136"/>
    </row>
    <row r="688" spans="13:13" ht="15.75" customHeight="1" x14ac:dyDescent="0.2">
      <c r="M688" s="136"/>
    </row>
    <row r="689" spans="13:13" ht="15.75" customHeight="1" x14ac:dyDescent="0.2">
      <c r="M689" s="136"/>
    </row>
    <row r="690" spans="13:13" ht="15.75" customHeight="1" x14ac:dyDescent="0.2">
      <c r="M690" s="136"/>
    </row>
    <row r="691" spans="13:13" ht="15.75" customHeight="1" x14ac:dyDescent="0.2">
      <c r="M691" s="136"/>
    </row>
    <row r="692" spans="13:13" ht="15.75" customHeight="1" x14ac:dyDescent="0.2">
      <c r="M692" s="136"/>
    </row>
    <row r="693" spans="13:13" ht="15.75" customHeight="1" x14ac:dyDescent="0.2">
      <c r="M693" s="136"/>
    </row>
    <row r="694" spans="13:13" ht="15.75" customHeight="1" x14ac:dyDescent="0.2">
      <c r="M694" s="136"/>
    </row>
    <row r="695" spans="13:13" ht="15.75" customHeight="1" x14ac:dyDescent="0.2">
      <c r="M695" s="136"/>
    </row>
    <row r="696" spans="13:13" ht="15.75" customHeight="1" x14ac:dyDescent="0.2">
      <c r="M696" s="136"/>
    </row>
    <row r="697" spans="13:13" ht="15.75" customHeight="1" x14ac:dyDescent="0.2">
      <c r="M697" s="136"/>
    </row>
    <row r="698" spans="13:13" ht="15.75" customHeight="1" x14ac:dyDescent="0.2">
      <c r="M698" s="136"/>
    </row>
    <row r="699" spans="13:13" ht="15.75" customHeight="1" x14ac:dyDescent="0.2">
      <c r="M699" s="136"/>
    </row>
    <row r="700" spans="13:13" ht="15.75" customHeight="1" x14ac:dyDescent="0.2">
      <c r="M700" s="136"/>
    </row>
    <row r="701" spans="13:13" ht="15.75" customHeight="1" x14ac:dyDescent="0.2">
      <c r="M701" s="136"/>
    </row>
    <row r="702" spans="13:13" ht="15.75" customHeight="1" x14ac:dyDescent="0.2">
      <c r="M702" s="136"/>
    </row>
    <row r="703" spans="13:13" ht="15.75" customHeight="1" x14ac:dyDescent="0.2">
      <c r="M703" s="136"/>
    </row>
    <row r="704" spans="13:13" ht="15.75" customHeight="1" x14ac:dyDescent="0.2">
      <c r="M704" s="136"/>
    </row>
    <row r="705" spans="13:13" ht="15.75" customHeight="1" x14ac:dyDescent="0.2">
      <c r="M705" s="136"/>
    </row>
    <row r="706" spans="13:13" ht="15.75" customHeight="1" x14ac:dyDescent="0.2">
      <c r="M706" s="136"/>
    </row>
    <row r="707" spans="13:13" ht="15.75" customHeight="1" x14ac:dyDescent="0.2">
      <c r="M707" s="136"/>
    </row>
    <row r="708" spans="13:13" ht="15.75" customHeight="1" x14ac:dyDescent="0.2">
      <c r="M708" s="136"/>
    </row>
    <row r="709" spans="13:13" ht="15.75" customHeight="1" x14ac:dyDescent="0.2">
      <c r="M709" s="136"/>
    </row>
    <row r="710" spans="13:13" ht="15.75" customHeight="1" x14ac:dyDescent="0.2">
      <c r="M710" s="136"/>
    </row>
    <row r="711" spans="13:13" ht="15.75" customHeight="1" x14ac:dyDescent="0.2">
      <c r="M711" s="136"/>
    </row>
    <row r="712" spans="13:13" ht="15.75" customHeight="1" x14ac:dyDescent="0.2">
      <c r="M712" s="136"/>
    </row>
    <row r="713" spans="13:13" ht="15.75" customHeight="1" x14ac:dyDescent="0.2">
      <c r="M713" s="136"/>
    </row>
    <row r="714" spans="13:13" ht="15.75" customHeight="1" x14ac:dyDescent="0.2">
      <c r="M714" s="136"/>
    </row>
    <row r="715" spans="13:13" ht="15.75" customHeight="1" x14ac:dyDescent="0.2">
      <c r="M715" s="136"/>
    </row>
    <row r="716" spans="13:13" ht="15.75" customHeight="1" x14ac:dyDescent="0.2">
      <c r="M716" s="136"/>
    </row>
    <row r="717" spans="13:13" ht="15.75" customHeight="1" x14ac:dyDescent="0.2">
      <c r="M717" s="136"/>
    </row>
    <row r="718" spans="13:13" ht="15.75" customHeight="1" x14ac:dyDescent="0.2">
      <c r="M718" s="136"/>
    </row>
    <row r="719" spans="13:13" ht="15.75" customHeight="1" x14ac:dyDescent="0.2">
      <c r="M719" s="136"/>
    </row>
    <row r="720" spans="13:13" ht="15.75" customHeight="1" x14ac:dyDescent="0.2">
      <c r="M720" s="136"/>
    </row>
    <row r="721" spans="13:13" ht="15.75" customHeight="1" x14ac:dyDescent="0.2">
      <c r="M721" s="136"/>
    </row>
    <row r="722" spans="13:13" ht="15.75" customHeight="1" x14ac:dyDescent="0.2">
      <c r="M722" s="136"/>
    </row>
    <row r="723" spans="13:13" ht="15.75" customHeight="1" x14ac:dyDescent="0.2">
      <c r="M723" s="136"/>
    </row>
    <row r="724" spans="13:13" ht="15.75" customHeight="1" x14ac:dyDescent="0.2">
      <c r="M724" s="136"/>
    </row>
    <row r="725" spans="13:13" ht="15.75" customHeight="1" x14ac:dyDescent="0.2">
      <c r="M725" s="136"/>
    </row>
    <row r="726" spans="13:13" ht="15.75" customHeight="1" x14ac:dyDescent="0.2">
      <c r="M726" s="136"/>
    </row>
    <row r="727" spans="13:13" ht="15.75" customHeight="1" x14ac:dyDescent="0.2">
      <c r="M727" s="136"/>
    </row>
    <row r="728" spans="13:13" ht="15.75" customHeight="1" x14ac:dyDescent="0.2">
      <c r="M728" s="136"/>
    </row>
    <row r="729" spans="13:13" ht="15.75" customHeight="1" x14ac:dyDescent="0.2">
      <c r="M729" s="136"/>
    </row>
    <row r="730" spans="13:13" ht="15.75" customHeight="1" x14ac:dyDescent="0.2">
      <c r="M730" s="136"/>
    </row>
    <row r="731" spans="13:13" ht="15.75" customHeight="1" x14ac:dyDescent="0.2">
      <c r="M731" s="136"/>
    </row>
    <row r="732" spans="13:13" ht="15.75" customHeight="1" x14ac:dyDescent="0.2">
      <c r="M732" s="136"/>
    </row>
    <row r="733" spans="13:13" ht="15.75" customHeight="1" x14ac:dyDescent="0.2">
      <c r="M733" s="136"/>
    </row>
    <row r="734" spans="13:13" ht="15.75" customHeight="1" x14ac:dyDescent="0.2">
      <c r="M734" s="136"/>
    </row>
    <row r="735" spans="13:13" ht="15.75" customHeight="1" x14ac:dyDescent="0.2">
      <c r="M735" s="136"/>
    </row>
    <row r="736" spans="13:13" ht="15.75" customHeight="1" x14ac:dyDescent="0.2">
      <c r="M736" s="136"/>
    </row>
    <row r="737" spans="13:13" ht="15.75" customHeight="1" x14ac:dyDescent="0.2">
      <c r="M737" s="136"/>
    </row>
    <row r="738" spans="13:13" ht="15.75" customHeight="1" x14ac:dyDescent="0.2">
      <c r="M738" s="136"/>
    </row>
    <row r="739" spans="13:13" ht="15.75" customHeight="1" x14ac:dyDescent="0.2">
      <c r="M739" s="136"/>
    </row>
    <row r="740" spans="13:13" ht="15.75" customHeight="1" x14ac:dyDescent="0.2">
      <c r="M740" s="136"/>
    </row>
    <row r="741" spans="13:13" ht="15.75" customHeight="1" x14ac:dyDescent="0.2">
      <c r="M741" s="136"/>
    </row>
    <row r="742" spans="13:13" ht="15.75" customHeight="1" x14ac:dyDescent="0.2">
      <c r="M742" s="136"/>
    </row>
    <row r="743" spans="13:13" ht="15.75" customHeight="1" x14ac:dyDescent="0.2">
      <c r="M743" s="136"/>
    </row>
    <row r="744" spans="13:13" ht="15.75" customHeight="1" x14ac:dyDescent="0.2">
      <c r="M744" s="136"/>
    </row>
    <row r="745" spans="13:13" ht="15.75" customHeight="1" x14ac:dyDescent="0.2">
      <c r="M745" s="136"/>
    </row>
    <row r="746" spans="13:13" ht="15.75" customHeight="1" x14ac:dyDescent="0.2">
      <c r="M746" s="136"/>
    </row>
    <row r="747" spans="13:13" ht="15.75" customHeight="1" x14ac:dyDescent="0.2">
      <c r="M747" s="136"/>
    </row>
    <row r="748" spans="13:13" ht="15.75" customHeight="1" x14ac:dyDescent="0.2">
      <c r="M748" s="136"/>
    </row>
    <row r="749" spans="13:13" ht="15.75" customHeight="1" x14ac:dyDescent="0.2">
      <c r="M749" s="136"/>
    </row>
    <row r="750" spans="13:13" ht="15.75" customHeight="1" x14ac:dyDescent="0.2">
      <c r="M750" s="136"/>
    </row>
    <row r="751" spans="13:13" ht="15.75" customHeight="1" x14ac:dyDescent="0.2">
      <c r="M751" s="136"/>
    </row>
    <row r="752" spans="13:13" ht="15.75" customHeight="1" x14ac:dyDescent="0.2">
      <c r="M752" s="136"/>
    </row>
    <row r="753" spans="13:13" ht="15.75" customHeight="1" x14ac:dyDescent="0.2">
      <c r="M753" s="136"/>
    </row>
    <row r="754" spans="13:13" ht="15.75" customHeight="1" x14ac:dyDescent="0.2">
      <c r="M754" s="136"/>
    </row>
    <row r="755" spans="13:13" ht="15.75" customHeight="1" x14ac:dyDescent="0.2">
      <c r="M755" s="136"/>
    </row>
    <row r="756" spans="13:13" ht="15.75" customHeight="1" x14ac:dyDescent="0.2">
      <c r="M756" s="136"/>
    </row>
    <row r="757" spans="13:13" ht="15.75" customHeight="1" x14ac:dyDescent="0.2">
      <c r="M757" s="136"/>
    </row>
    <row r="758" spans="13:13" ht="15.75" customHeight="1" x14ac:dyDescent="0.2">
      <c r="M758" s="136"/>
    </row>
    <row r="759" spans="13:13" ht="15.75" customHeight="1" x14ac:dyDescent="0.2">
      <c r="M759" s="136"/>
    </row>
    <row r="760" spans="13:13" ht="15.75" customHeight="1" x14ac:dyDescent="0.2">
      <c r="M760" s="136"/>
    </row>
    <row r="761" spans="13:13" ht="15.75" customHeight="1" x14ac:dyDescent="0.2">
      <c r="M761" s="136"/>
    </row>
    <row r="762" spans="13:13" ht="15.75" customHeight="1" x14ac:dyDescent="0.2">
      <c r="M762" s="136"/>
    </row>
    <row r="763" spans="13:13" ht="15.75" customHeight="1" x14ac:dyDescent="0.2">
      <c r="M763" s="136"/>
    </row>
    <row r="764" spans="13:13" ht="15.75" customHeight="1" x14ac:dyDescent="0.2">
      <c r="M764" s="136"/>
    </row>
    <row r="765" spans="13:13" ht="15.75" customHeight="1" x14ac:dyDescent="0.2">
      <c r="M765" s="136"/>
    </row>
    <row r="766" spans="13:13" ht="15.75" customHeight="1" x14ac:dyDescent="0.2">
      <c r="M766" s="136"/>
    </row>
    <row r="767" spans="13:13" ht="15.75" customHeight="1" x14ac:dyDescent="0.2">
      <c r="M767" s="136"/>
    </row>
    <row r="768" spans="13:13" ht="15.75" customHeight="1" x14ac:dyDescent="0.2">
      <c r="M768" s="136"/>
    </row>
    <row r="769" spans="13:13" ht="15.75" customHeight="1" x14ac:dyDescent="0.2">
      <c r="M769" s="136"/>
    </row>
    <row r="770" spans="13:13" ht="15.75" customHeight="1" x14ac:dyDescent="0.2">
      <c r="M770" s="136"/>
    </row>
    <row r="771" spans="13:13" ht="15.75" customHeight="1" x14ac:dyDescent="0.2">
      <c r="M771" s="136"/>
    </row>
    <row r="772" spans="13:13" ht="15.75" customHeight="1" x14ac:dyDescent="0.2">
      <c r="M772" s="136"/>
    </row>
    <row r="773" spans="13:13" ht="15.75" customHeight="1" x14ac:dyDescent="0.2">
      <c r="M773" s="136"/>
    </row>
    <row r="774" spans="13:13" ht="15.75" customHeight="1" x14ac:dyDescent="0.2">
      <c r="M774" s="136"/>
    </row>
    <row r="775" spans="13:13" ht="15.75" customHeight="1" x14ac:dyDescent="0.2">
      <c r="M775" s="136"/>
    </row>
    <row r="776" spans="13:13" ht="15.75" customHeight="1" x14ac:dyDescent="0.2">
      <c r="M776" s="136"/>
    </row>
    <row r="777" spans="13:13" ht="15.75" customHeight="1" x14ac:dyDescent="0.2">
      <c r="M777" s="136"/>
    </row>
    <row r="778" spans="13:13" ht="15.75" customHeight="1" x14ac:dyDescent="0.2">
      <c r="M778" s="136"/>
    </row>
    <row r="779" spans="13:13" ht="15.75" customHeight="1" x14ac:dyDescent="0.2">
      <c r="M779" s="136"/>
    </row>
    <row r="780" spans="13:13" ht="15.75" customHeight="1" x14ac:dyDescent="0.2">
      <c r="M780" s="136"/>
    </row>
    <row r="781" spans="13:13" ht="15.75" customHeight="1" x14ac:dyDescent="0.2">
      <c r="M781" s="136"/>
    </row>
    <row r="782" spans="13:13" ht="15.75" customHeight="1" x14ac:dyDescent="0.2">
      <c r="M782" s="136"/>
    </row>
    <row r="783" spans="13:13" ht="15.75" customHeight="1" x14ac:dyDescent="0.2">
      <c r="M783" s="136"/>
    </row>
    <row r="784" spans="13:13" ht="15.75" customHeight="1" x14ac:dyDescent="0.2">
      <c r="M784" s="136"/>
    </row>
    <row r="785" spans="13:13" ht="15.75" customHeight="1" x14ac:dyDescent="0.2">
      <c r="M785" s="136"/>
    </row>
    <row r="786" spans="13:13" ht="15.75" customHeight="1" x14ac:dyDescent="0.2">
      <c r="M786" s="136"/>
    </row>
    <row r="787" spans="13:13" ht="15.75" customHeight="1" x14ac:dyDescent="0.2">
      <c r="M787" s="136"/>
    </row>
    <row r="788" spans="13:13" ht="15.75" customHeight="1" x14ac:dyDescent="0.2">
      <c r="M788" s="136"/>
    </row>
    <row r="789" spans="13:13" ht="15.75" customHeight="1" x14ac:dyDescent="0.2">
      <c r="M789" s="136"/>
    </row>
    <row r="790" spans="13:13" ht="15.75" customHeight="1" x14ac:dyDescent="0.2">
      <c r="M790" s="136"/>
    </row>
    <row r="791" spans="13:13" ht="15.75" customHeight="1" x14ac:dyDescent="0.2">
      <c r="M791" s="136"/>
    </row>
    <row r="792" spans="13:13" ht="15.75" customHeight="1" x14ac:dyDescent="0.2">
      <c r="M792" s="136"/>
    </row>
    <row r="793" spans="13:13" ht="15.75" customHeight="1" x14ac:dyDescent="0.2">
      <c r="M793" s="136"/>
    </row>
    <row r="794" spans="13:13" ht="15.75" customHeight="1" x14ac:dyDescent="0.2">
      <c r="M794" s="136"/>
    </row>
    <row r="795" spans="13:13" ht="15.75" customHeight="1" x14ac:dyDescent="0.2">
      <c r="M795" s="136"/>
    </row>
    <row r="796" spans="13:13" ht="15.75" customHeight="1" x14ac:dyDescent="0.2">
      <c r="M796" s="136"/>
    </row>
    <row r="797" spans="13:13" ht="15.75" customHeight="1" x14ac:dyDescent="0.2">
      <c r="M797" s="136"/>
    </row>
    <row r="798" spans="13:13" ht="15.75" customHeight="1" x14ac:dyDescent="0.2">
      <c r="M798" s="136"/>
    </row>
    <row r="799" spans="13:13" ht="15.75" customHeight="1" x14ac:dyDescent="0.2">
      <c r="M799" s="136"/>
    </row>
    <row r="800" spans="13:13" ht="15.75" customHeight="1" x14ac:dyDescent="0.2">
      <c r="M800" s="136"/>
    </row>
    <row r="801" spans="13:13" ht="15.75" customHeight="1" x14ac:dyDescent="0.2">
      <c r="M801" s="136"/>
    </row>
    <row r="802" spans="13:13" ht="15.75" customHeight="1" x14ac:dyDescent="0.2">
      <c r="M802" s="136"/>
    </row>
    <row r="803" spans="13:13" ht="15.75" customHeight="1" x14ac:dyDescent="0.2">
      <c r="M803" s="136"/>
    </row>
    <row r="804" spans="13:13" ht="15.75" customHeight="1" x14ac:dyDescent="0.2">
      <c r="M804" s="136"/>
    </row>
    <row r="805" spans="13:13" ht="15.75" customHeight="1" x14ac:dyDescent="0.2">
      <c r="M805" s="136"/>
    </row>
    <row r="806" spans="13:13" ht="15.75" customHeight="1" x14ac:dyDescent="0.2">
      <c r="M806" s="136"/>
    </row>
    <row r="807" spans="13:13" ht="15.75" customHeight="1" x14ac:dyDescent="0.2">
      <c r="M807" s="136"/>
    </row>
    <row r="808" spans="13:13" ht="15.75" customHeight="1" x14ac:dyDescent="0.2">
      <c r="M808" s="136"/>
    </row>
    <row r="809" spans="13:13" ht="15.75" customHeight="1" x14ac:dyDescent="0.2">
      <c r="M809" s="136"/>
    </row>
    <row r="810" spans="13:13" ht="15.75" customHeight="1" x14ac:dyDescent="0.2">
      <c r="M810" s="136"/>
    </row>
    <row r="811" spans="13:13" ht="15.75" customHeight="1" x14ac:dyDescent="0.2">
      <c r="M811" s="136"/>
    </row>
    <row r="812" spans="13:13" ht="15.75" customHeight="1" x14ac:dyDescent="0.2">
      <c r="M812" s="136"/>
    </row>
    <row r="813" spans="13:13" ht="15.75" customHeight="1" x14ac:dyDescent="0.2">
      <c r="M813" s="136"/>
    </row>
    <row r="814" spans="13:13" ht="15.75" customHeight="1" x14ac:dyDescent="0.2">
      <c r="M814" s="136"/>
    </row>
    <row r="815" spans="13:13" ht="15.75" customHeight="1" x14ac:dyDescent="0.2">
      <c r="M815" s="136"/>
    </row>
    <row r="816" spans="13:13" ht="15.75" customHeight="1" x14ac:dyDescent="0.2">
      <c r="M816" s="136"/>
    </row>
    <row r="817" spans="13:13" ht="15.75" customHeight="1" x14ac:dyDescent="0.2">
      <c r="M817" s="136"/>
    </row>
    <row r="818" spans="13:13" ht="15.75" customHeight="1" x14ac:dyDescent="0.2">
      <c r="M818" s="136"/>
    </row>
    <row r="819" spans="13:13" ht="15.75" customHeight="1" x14ac:dyDescent="0.2">
      <c r="M819" s="136"/>
    </row>
    <row r="820" spans="13:13" ht="15.75" customHeight="1" x14ac:dyDescent="0.2">
      <c r="M820" s="136"/>
    </row>
    <row r="821" spans="13:13" ht="15.75" customHeight="1" x14ac:dyDescent="0.2">
      <c r="M821" s="136"/>
    </row>
    <row r="822" spans="13:13" ht="15.75" customHeight="1" x14ac:dyDescent="0.2">
      <c r="M822" s="136"/>
    </row>
    <row r="823" spans="13:13" ht="15.75" customHeight="1" x14ac:dyDescent="0.2">
      <c r="M823" s="136"/>
    </row>
    <row r="824" spans="13:13" ht="15.75" customHeight="1" x14ac:dyDescent="0.2">
      <c r="M824" s="136"/>
    </row>
    <row r="825" spans="13:13" ht="15.75" customHeight="1" x14ac:dyDescent="0.2">
      <c r="M825" s="136"/>
    </row>
    <row r="826" spans="13:13" ht="15.75" customHeight="1" x14ac:dyDescent="0.2">
      <c r="M826" s="136"/>
    </row>
    <row r="827" spans="13:13" ht="15.75" customHeight="1" x14ac:dyDescent="0.2">
      <c r="M827" s="136"/>
    </row>
    <row r="828" spans="13:13" ht="15.75" customHeight="1" x14ac:dyDescent="0.2">
      <c r="M828" s="136"/>
    </row>
    <row r="829" spans="13:13" ht="15.75" customHeight="1" x14ac:dyDescent="0.2">
      <c r="M829" s="136"/>
    </row>
    <row r="830" spans="13:13" ht="15.75" customHeight="1" x14ac:dyDescent="0.2">
      <c r="M830" s="136"/>
    </row>
    <row r="831" spans="13:13" ht="15.75" customHeight="1" x14ac:dyDescent="0.2">
      <c r="M831" s="136"/>
    </row>
    <row r="832" spans="13:13" ht="15.75" customHeight="1" x14ac:dyDescent="0.2">
      <c r="M832" s="136"/>
    </row>
    <row r="833" spans="13:13" ht="15.75" customHeight="1" x14ac:dyDescent="0.2">
      <c r="M833" s="136"/>
    </row>
    <row r="834" spans="13:13" ht="15.75" customHeight="1" x14ac:dyDescent="0.2">
      <c r="M834" s="136"/>
    </row>
    <row r="835" spans="13:13" ht="15.75" customHeight="1" x14ac:dyDescent="0.2">
      <c r="M835" s="136"/>
    </row>
    <row r="836" spans="13:13" ht="15.75" customHeight="1" x14ac:dyDescent="0.2">
      <c r="M836" s="136"/>
    </row>
    <row r="837" spans="13:13" ht="15.75" customHeight="1" x14ac:dyDescent="0.2">
      <c r="M837" s="136"/>
    </row>
    <row r="838" spans="13:13" ht="15.75" customHeight="1" x14ac:dyDescent="0.2">
      <c r="M838" s="136"/>
    </row>
    <row r="839" spans="13:13" ht="15.75" customHeight="1" x14ac:dyDescent="0.2">
      <c r="M839" s="136"/>
    </row>
    <row r="840" spans="13:13" ht="15.75" customHeight="1" x14ac:dyDescent="0.2">
      <c r="M840" s="136"/>
    </row>
    <row r="841" spans="13:13" ht="15.75" customHeight="1" x14ac:dyDescent="0.2">
      <c r="M841" s="136"/>
    </row>
    <row r="842" spans="13:13" ht="15.75" customHeight="1" x14ac:dyDescent="0.2">
      <c r="M842" s="136"/>
    </row>
    <row r="843" spans="13:13" ht="15.75" customHeight="1" x14ac:dyDescent="0.2">
      <c r="M843" s="136"/>
    </row>
    <row r="844" spans="13:13" ht="15.75" customHeight="1" x14ac:dyDescent="0.2">
      <c r="M844" s="136"/>
    </row>
    <row r="845" spans="13:13" ht="15.75" customHeight="1" x14ac:dyDescent="0.2">
      <c r="M845" s="136"/>
    </row>
    <row r="846" spans="13:13" ht="15.75" customHeight="1" x14ac:dyDescent="0.2">
      <c r="M846" s="136"/>
    </row>
    <row r="847" spans="13:13" ht="15.75" customHeight="1" x14ac:dyDescent="0.2">
      <c r="M847" s="136"/>
    </row>
    <row r="848" spans="13:13" ht="15.75" customHeight="1" x14ac:dyDescent="0.2">
      <c r="M848" s="136"/>
    </row>
    <row r="849" spans="13:13" ht="15.75" customHeight="1" x14ac:dyDescent="0.2">
      <c r="M849" s="136"/>
    </row>
    <row r="850" spans="13:13" ht="15.75" customHeight="1" x14ac:dyDescent="0.2">
      <c r="M850" s="136"/>
    </row>
    <row r="851" spans="13:13" ht="15.75" customHeight="1" x14ac:dyDescent="0.2">
      <c r="M851" s="136"/>
    </row>
    <row r="852" spans="13:13" ht="15.75" customHeight="1" x14ac:dyDescent="0.2">
      <c r="M852" s="136"/>
    </row>
    <row r="853" spans="13:13" ht="15.75" customHeight="1" x14ac:dyDescent="0.2">
      <c r="M853" s="136"/>
    </row>
    <row r="854" spans="13:13" ht="15.75" customHeight="1" x14ac:dyDescent="0.2">
      <c r="M854" s="136"/>
    </row>
    <row r="855" spans="13:13" ht="15.75" customHeight="1" x14ac:dyDescent="0.2">
      <c r="M855" s="136"/>
    </row>
    <row r="856" spans="13:13" ht="15.75" customHeight="1" x14ac:dyDescent="0.2">
      <c r="M856" s="136"/>
    </row>
    <row r="857" spans="13:13" ht="15.75" customHeight="1" x14ac:dyDescent="0.2">
      <c r="M857" s="136"/>
    </row>
    <row r="858" spans="13:13" ht="15.75" customHeight="1" x14ac:dyDescent="0.2">
      <c r="M858" s="136"/>
    </row>
    <row r="859" spans="13:13" ht="15.75" customHeight="1" x14ac:dyDescent="0.2">
      <c r="M859" s="136"/>
    </row>
    <row r="860" spans="13:13" ht="15.75" customHeight="1" x14ac:dyDescent="0.2">
      <c r="M860" s="136"/>
    </row>
    <row r="861" spans="13:13" ht="15.75" customHeight="1" x14ac:dyDescent="0.2">
      <c r="M861" s="136"/>
    </row>
    <row r="862" spans="13:13" ht="15.75" customHeight="1" x14ac:dyDescent="0.2">
      <c r="M862" s="136"/>
    </row>
    <row r="863" spans="13:13" ht="15.75" customHeight="1" x14ac:dyDescent="0.2">
      <c r="M863" s="136"/>
    </row>
    <row r="864" spans="13:13" ht="15.75" customHeight="1" x14ac:dyDescent="0.2">
      <c r="M864" s="136"/>
    </row>
    <row r="865" spans="13:13" ht="15.75" customHeight="1" x14ac:dyDescent="0.2">
      <c r="M865" s="136"/>
    </row>
    <row r="866" spans="13:13" ht="15.75" customHeight="1" x14ac:dyDescent="0.2">
      <c r="M866" s="136"/>
    </row>
    <row r="867" spans="13:13" ht="15.75" customHeight="1" x14ac:dyDescent="0.2">
      <c r="M867" s="136"/>
    </row>
    <row r="868" spans="13:13" ht="15.75" customHeight="1" x14ac:dyDescent="0.2">
      <c r="M868" s="136"/>
    </row>
    <row r="869" spans="13:13" ht="15.75" customHeight="1" x14ac:dyDescent="0.2">
      <c r="M869" s="136"/>
    </row>
    <row r="870" spans="13:13" ht="15.75" customHeight="1" x14ac:dyDescent="0.2">
      <c r="M870" s="136"/>
    </row>
    <row r="871" spans="13:13" ht="15.75" customHeight="1" x14ac:dyDescent="0.2">
      <c r="M871" s="136"/>
    </row>
    <row r="872" spans="13:13" ht="15.75" customHeight="1" x14ac:dyDescent="0.2">
      <c r="M872" s="136"/>
    </row>
    <row r="873" spans="13:13" ht="15.75" customHeight="1" x14ac:dyDescent="0.2">
      <c r="M873" s="136"/>
    </row>
    <row r="874" spans="13:13" ht="15.75" customHeight="1" x14ac:dyDescent="0.2">
      <c r="M874" s="136"/>
    </row>
    <row r="875" spans="13:13" ht="15.75" customHeight="1" x14ac:dyDescent="0.2">
      <c r="M875" s="136"/>
    </row>
    <row r="876" spans="13:13" ht="15.75" customHeight="1" x14ac:dyDescent="0.2">
      <c r="M876" s="136"/>
    </row>
    <row r="877" spans="13:13" ht="15.75" customHeight="1" x14ac:dyDescent="0.2">
      <c r="M877" s="136"/>
    </row>
    <row r="878" spans="13:13" ht="15.75" customHeight="1" x14ac:dyDescent="0.2">
      <c r="M878" s="136"/>
    </row>
    <row r="879" spans="13:13" ht="15.75" customHeight="1" x14ac:dyDescent="0.2">
      <c r="M879" s="136"/>
    </row>
    <row r="880" spans="13:13" ht="15.75" customHeight="1" x14ac:dyDescent="0.2">
      <c r="M880" s="136"/>
    </row>
    <row r="881" spans="13:13" ht="15.75" customHeight="1" x14ac:dyDescent="0.2">
      <c r="M881" s="136"/>
    </row>
    <row r="882" spans="13:13" ht="15.75" customHeight="1" x14ac:dyDescent="0.2">
      <c r="M882" s="136"/>
    </row>
    <row r="883" spans="13:13" ht="15.75" customHeight="1" x14ac:dyDescent="0.2">
      <c r="M883" s="136"/>
    </row>
    <row r="884" spans="13:13" ht="15.75" customHeight="1" x14ac:dyDescent="0.2">
      <c r="M884" s="136"/>
    </row>
    <row r="885" spans="13:13" ht="15.75" customHeight="1" x14ac:dyDescent="0.2">
      <c r="M885" s="136"/>
    </row>
    <row r="886" spans="13:13" ht="15.75" customHeight="1" x14ac:dyDescent="0.2">
      <c r="M886" s="136"/>
    </row>
    <row r="887" spans="13:13" ht="15.75" customHeight="1" x14ac:dyDescent="0.2">
      <c r="M887" s="136"/>
    </row>
    <row r="888" spans="13:13" ht="15.75" customHeight="1" x14ac:dyDescent="0.2">
      <c r="M888" s="136"/>
    </row>
    <row r="889" spans="13:13" ht="15.75" customHeight="1" x14ac:dyDescent="0.2">
      <c r="M889" s="136"/>
    </row>
    <row r="890" spans="13:13" ht="15.75" customHeight="1" x14ac:dyDescent="0.2">
      <c r="M890" s="136"/>
    </row>
    <row r="891" spans="13:13" ht="15.75" customHeight="1" x14ac:dyDescent="0.2">
      <c r="M891" s="136"/>
    </row>
    <row r="892" spans="13:13" ht="15.75" customHeight="1" x14ac:dyDescent="0.2">
      <c r="M892" s="136"/>
    </row>
    <row r="893" spans="13:13" ht="15.75" customHeight="1" x14ac:dyDescent="0.2">
      <c r="M893" s="136"/>
    </row>
    <row r="894" spans="13:13" ht="15.75" customHeight="1" x14ac:dyDescent="0.2">
      <c r="M894" s="136"/>
    </row>
    <row r="895" spans="13:13" ht="15.75" customHeight="1" x14ac:dyDescent="0.2">
      <c r="M895" s="136"/>
    </row>
    <row r="896" spans="13:13" ht="15.75" customHeight="1" x14ac:dyDescent="0.2">
      <c r="M896" s="136"/>
    </row>
    <row r="897" spans="13:13" ht="15.75" customHeight="1" x14ac:dyDescent="0.2">
      <c r="M897" s="136"/>
    </row>
    <row r="898" spans="13:13" ht="15.75" customHeight="1" x14ac:dyDescent="0.2">
      <c r="M898" s="136"/>
    </row>
    <row r="899" spans="13:13" ht="15.75" customHeight="1" x14ac:dyDescent="0.2">
      <c r="M899" s="136"/>
    </row>
    <row r="900" spans="13:13" ht="15.75" customHeight="1" x14ac:dyDescent="0.2">
      <c r="M900" s="136"/>
    </row>
    <row r="901" spans="13:13" ht="15.75" customHeight="1" x14ac:dyDescent="0.2">
      <c r="M901" s="136"/>
    </row>
    <row r="902" spans="13:13" ht="15.75" customHeight="1" x14ac:dyDescent="0.2">
      <c r="M902" s="136"/>
    </row>
    <row r="903" spans="13:13" ht="15.75" customHeight="1" x14ac:dyDescent="0.2">
      <c r="M903" s="136"/>
    </row>
    <row r="904" spans="13:13" ht="15.75" customHeight="1" x14ac:dyDescent="0.2">
      <c r="M904" s="136"/>
    </row>
    <row r="905" spans="13:13" ht="15.75" customHeight="1" x14ac:dyDescent="0.2">
      <c r="M905" s="136"/>
    </row>
    <row r="906" spans="13:13" ht="15.75" customHeight="1" x14ac:dyDescent="0.2">
      <c r="M906" s="136"/>
    </row>
    <row r="907" spans="13:13" ht="15.75" customHeight="1" x14ac:dyDescent="0.2">
      <c r="M907" s="136"/>
    </row>
    <row r="908" spans="13:13" ht="15.75" customHeight="1" x14ac:dyDescent="0.2">
      <c r="M908" s="136"/>
    </row>
    <row r="909" spans="13:13" ht="15.75" customHeight="1" x14ac:dyDescent="0.2">
      <c r="M909" s="136"/>
    </row>
    <row r="910" spans="13:13" ht="15.75" customHeight="1" x14ac:dyDescent="0.2">
      <c r="M910" s="136"/>
    </row>
    <row r="911" spans="13:13" ht="15.75" customHeight="1" x14ac:dyDescent="0.2">
      <c r="M911" s="136"/>
    </row>
    <row r="912" spans="13:13" ht="15.75" customHeight="1" x14ac:dyDescent="0.2">
      <c r="M912" s="136"/>
    </row>
    <row r="913" spans="13:13" ht="15.75" customHeight="1" x14ac:dyDescent="0.2">
      <c r="M913" s="136"/>
    </row>
    <row r="914" spans="13:13" ht="15.75" customHeight="1" x14ac:dyDescent="0.2">
      <c r="M914" s="136"/>
    </row>
    <row r="915" spans="13:13" ht="15.75" customHeight="1" x14ac:dyDescent="0.2">
      <c r="M915" s="136"/>
    </row>
    <row r="916" spans="13:13" ht="15.75" customHeight="1" x14ac:dyDescent="0.2">
      <c r="M916" s="136"/>
    </row>
    <row r="917" spans="13:13" ht="15.75" customHeight="1" x14ac:dyDescent="0.2">
      <c r="M917" s="136"/>
    </row>
    <row r="918" spans="13:13" ht="15.75" customHeight="1" x14ac:dyDescent="0.2">
      <c r="M918" s="136"/>
    </row>
    <row r="919" spans="13:13" ht="15.75" customHeight="1" x14ac:dyDescent="0.2">
      <c r="M919" s="136"/>
    </row>
    <row r="920" spans="13:13" ht="15.75" customHeight="1" x14ac:dyDescent="0.2">
      <c r="M920" s="136"/>
    </row>
    <row r="921" spans="13:13" ht="15.75" customHeight="1" x14ac:dyDescent="0.2">
      <c r="M921" s="136"/>
    </row>
    <row r="922" spans="13:13" ht="15.75" customHeight="1" x14ac:dyDescent="0.2">
      <c r="M922" s="136"/>
    </row>
    <row r="923" spans="13:13" ht="15.75" customHeight="1" x14ac:dyDescent="0.2">
      <c r="M923" s="136"/>
    </row>
    <row r="924" spans="13:13" ht="15.75" customHeight="1" x14ac:dyDescent="0.2">
      <c r="M924" s="136"/>
    </row>
    <row r="925" spans="13:13" ht="15.75" customHeight="1" x14ac:dyDescent="0.2">
      <c r="M925" s="136"/>
    </row>
    <row r="926" spans="13:13" ht="15.75" customHeight="1" x14ac:dyDescent="0.2">
      <c r="M926" s="136"/>
    </row>
    <row r="927" spans="13:13" ht="15.75" customHeight="1" x14ac:dyDescent="0.2">
      <c r="M927" s="136"/>
    </row>
    <row r="928" spans="13:13" ht="15.75" customHeight="1" x14ac:dyDescent="0.2">
      <c r="M928" s="136"/>
    </row>
    <row r="929" spans="13:13" ht="15.75" customHeight="1" x14ac:dyDescent="0.2">
      <c r="M929" s="136"/>
    </row>
    <row r="930" spans="13:13" ht="15.75" customHeight="1" x14ac:dyDescent="0.2">
      <c r="M930" s="136"/>
    </row>
    <row r="931" spans="13:13" ht="15.75" customHeight="1" x14ac:dyDescent="0.2">
      <c r="M931" s="136"/>
    </row>
    <row r="932" spans="13:13" ht="15.75" customHeight="1" x14ac:dyDescent="0.2">
      <c r="M932" s="136"/>
    </row>
    <row r="933" spans="13:13" ht="15.75" customHeight="1" x14ac:dyDescent="0.2">
      <c r="M933" s="136"/>
    </row>
    <row r="934" spans="13:13" ht="15.75" customHeight="1" x14ac:dyDescent="0.2">
      <c r="M934" s="136"/>
    </row>
    <row r="935" spans="13:13" ht="15.75" customHeight="1" x14ac:dyDescent="0.2">
      <c r="M935" s="136"/>
    </row>
    <row r="936" spans="13:13" ht="15.75" customHeight="1" x14ac:dyDescent="0.2">
      <c r="M936" s="136"/>
    </row>
    <row r="937" spans="13:13" ht="15.75" customHeight="1" x14ac:dyDescent="0.2">
      <c r="M937" s="136"/>
    </row>
    <row r="938" spans="13:13" ht="15.75" customHeight="1" x14ac:dyDescent="0.2">
      <c r="M938" s="136"/>
    </row>
    <row r="939" spans="13:13" ht="15.75" customHeight="1" x14ac:dyDescent="0.2">
      <c r="M939" s="136"/>
    </row>
    <row r="940" spans="13:13" ht="15.75" customHeight="1" x14ac:dyDescent="0.2">
      <c r="M940" s="136"/>
    </row>
    <row r="941" spans="13:13" ht="15.75" customHeight="1" x14ac:dyDescent="0.2">
      <c r="M941" s="136"/>
    </row>
    <row r="942" spans="13:13" ht="15.75" customHeight="1" x14ac:dyDescent="0.2">
      <c r="M942" s="136"/>
    </row>
    <row r="943" spans="13:13" ht="15.75" customHeight="1" x14ac:dyDescent="0.2">
      <c r="M943" s="136"/>
    </row>
    <row r="944" spans="13:13" ht="15.75" customHeight="1" x14ac:dyDescent="0.2">
      <c r="M944" s="136"/>
    </row>
    <row r="945" spans="13:13" ht="15.75" customHeight="1" x14ac:dyDescent="0.2">
      <c r="M945" s="136"/>
    </row>
    <row r="946" spans="13:13" ht="15.75" customHeight="1" x14ac:dyDescent="0.2">
      <c r="M946" s="136"/>
    </row>
    <row r="947" spans="13:13" ht="15.75" customHeight="1" x14ac:dyDescent="0.2">
      <c r="M947" s="136"/>
    </row>
    <row r="948" spans="13:13" ht="15.75" customHeight="1" x14ac:dyDescent="0.2">
      <c r="M948" s="136"/>
    </row>
    <row r="949" spans="13:13" ht="15.75" customHeight="1" x14ac:dyDescent="0.2">
      <c r="M949" s="136"/>
    </row>
    <row r="950" spans="13:13" ht="15.75" customHeight="1" x14ac:dyDescent="0.2">
      <c r="M950" s="136"/>
    </row>
    <row r="951" spans="13:13" ht="15.75" customHeight="1" x14ac:dyDescent="0.2">
      <c r="M951" s="136"/>
    </row>
    <row r="952" spans="13:13" ht="15.75" customHeight="1" x14ac:dyDescent="0.2">
      <c r="M952" s="136"/>
    </row>
    <row r="953" spans="13:13" ht="15.75" customHeight="1" x14ac:dyDescent="0.2">
      <c r="M953" s="136"/>
    </row>
    <row r="954" spans="13:13" ht="15.75" customHeight="1" x14ac:dyDescent="0.2">
      <c r="M954" s="136"/>
    </row>
    <row r="955" spans="13:13" ht="15.75" customHeight="1" x14ac:dyDescent="0.2">
      <c r="M955" s="136"/>
    </row>
    <row r="956" spans="13:13" ht="15.75" customHeight="1" x14ac:dyDescent="0.2">
      <c r="M956" s="136"/>
    </row>
    <row r="957" spans="13:13" ht="15.75" customHeight="1" x14ac:dyDescent="0.2">
      <c r="M957" s="136"/>
    </row>
    <row r="958" spans="13:13" ht="15.75" customHeight="1" x14ac:dyDescent="0.2">
      <c r="M958" s="136"/>
    </row>
    <row r="959" spans="13:13" ht="15.75" customHeight="1" x14ac:dyDescent="0.2">
      <c r="M959" s="136"/>
    </row>
    <row r="960" spans="13:13" ht="15.75" customHeight="1" x14ac:dyDescent="0.2">
      <c r="M960" s="136"/>
    </row>
    <row r="961" spans="13:13" ht="15.75" customHeight="1" x14ac:dyDescent="0.2">
      <c r="M961" s="136"/>
    </row>
    <row r="962" spans="13:13" ht="15.75" customHeight="1" x14ac:dyDescent="0.2">
      <c r="M962" s="136"/>
    </row>
    <row r="963" spans="13:13" ht="15.75" customHeight="1" x14ac:dyDescent="0.2">
      <c r="M963" s="136"/>
    </row>
    <row r="964" spans="13:13" ht="15.75" customHeight="1" x14ac:dyDescent="0.2">
      <c r="M964" s="136"/>
    </row>
    <row r="965" spans="13:13" ht="15.75" customHeight="1" x14ac:dyDescent="0.2">
      <c r="M965" s="136"/>
    </row>
    <row r="966" spans="13:13" ht="15.75" customHeight="1" x14ac:dyDescent="0.2">
      <c r="M966" s="136"/>
    </row>
    <row r="967" spans="13:13" ht="15.75" customHeight="1" x14ac:dyDescent="0.2">
      <c r="M967" s="136"/>
    </row>
    <row r="968" spans="13:13" ht="15.75" customHeight="1" x14ac:dyDescent="0.2">
      <c r="M968" s="136"/>
    </row>
    <row r="969" spans="13:13" ht="15.75" customHeight="1" x14ac:dyDescent="0.2">
      <c r="M969" s="136"/>
    </row>
    <row r="970" spans="13:13" ht="15.75" customHeight="1" x14ac:dyDescent="0.2">
      <c r="M970" s="136"/>
    </row>
    <row r="971" spans="13:13" ht="15.75" customHeight="1" x14ac:dyDescent="0.2">
      <c r="M971" s="136"/>
    </row>
    <row r="972" spans="13:13" ht="15.75" customHeight="1" x14ac:dyDescent="0.2">
      <c r="M972" s="136"/>
    </row>
    <row r="973" spans="13:13" ht="15.75" customHeight="1" x14ac:dyDescent="0.2">
      <c r="M973" s="136"/>
    </row>
    <row r="974" spans="13:13" ht="15.75" customHeight="1" x14ac:dyDescent="0.2">
      <c r="M974" s="136"/>
    </row>
    <row r="975" spans="13:13" ht="15.75" customHeight="1" x14ac:dyDescent="0.2">
      <c r="M975" s="136"/>
    </row>
    <row r="976" spans="13:13" ht="15.75" customHeight="1" x14ac:dyDescent="0.2">
      <c r="M976" s="136"/>
    </row>
    <row r="977" spans="13:13" ht="15.75" customHeight="1" x14ac:dyDescent="0.2">
      <c r="M977" s="136"/>
    </row>
    <row r="978" spans="13:13" ht="15.75" customHeight="1" x14ac:dyDescent="0.2">
      <c r="M978" s="136"/>
    </row>
    <row r="979" spans="13:13" ht="15.75" customHeight="1" x14ac:dyDescent="0.2">
      <c r="M979" s="136"/>
    </row>
    <row r="980" spans="13:13" ht="15.75" customHeight="1" x14ac:dyDescent="0.2">
      <c r="M980" s="136"/>
    </row>
    <row r="981" spans="13:13" ht="15.75" customHeight="1" x14ac:dyDescent="0.2">
      <c r="M981" s="136"/>
    </row>
    <row r="982" spans="13:13" ht="15.75" customHeight="1" x14ac:dyDescent="0.2">
      <c r="M982" s="136"/>
    </row>
    <row r="983" spans="13:13" ht="15.75" customHeight="1" x14ac:dyDescent="0.2">
      <c r="M983" s="136"/>
    </row>
    <row r="984" spans="13:13" ht="15.75" customHeight="1" x14ac:dyDescent="0.2">
      <c r="M984" s="136"/>
    </row>
    <row r="985" spans="13:13" ht="15.75" customHeight="1" x14ac:dyDescent="0.2">
      <c r="M985" s="136"/>
    </row>
    <row r="986" spans="13:13" ht="15.75" customHeight="1" x14ac:dyDescent="0.2">
      <c r="M986" s="136"/>
    </row>
    <row r="987" spans="13:13" ht="15.75" customHeight="1" x14ac:dyDescent="0.2">
      <c r="M987" s="136"/>
    </row>
    <row r="988" spans="13:13" ht="15.75" customHeight="1" x14ac:dyDescent="0.2">
      <c r="M988" s="136"/>
    </row>
    <row r="989" spans="13:13" ht="15.75" customHeight="1" x14ac:dyDescent="0.2">
      <c r="M989" s="136"/>
    </row>
    <row r="990" spans="13:13" ht="15.75" customHeight="1" x14ac:dyDescent="0.2">
      <c r="M990" s="136"/>
    </row>
    <row r="991" spans="13:13" ht="15.75" customHeight="1" x14ac:dyDescent="0.2">
      <c r="M991" s="136"/>
    </row>
    <row r="992" spans="13:13" ht="15.75" customHeight="1" x14ac:dyDescent="0.2">
      <c r="M992" s="136"/>
    </row>
    <row r="993" spans="13:13" ht="15.75" customHeight="1" x14ac:dyDescent="0.2">
      <c r="M993" s="136"/>
    </row>
    <row r="994" spans="13:13" ht="15.75" customHeight="1" x14ac:dyDescent="0.2">
      <c r="M994" s="136"/>
    </row>
    <row r="995" spans="13:13" ht="15.75" customHeight="1" x14ac:dyDescent="0.2">
      <c r="M995" s="136"/>
    </row>
    <row r="996" spans="13:13" ht="15.75" customHeight="1" x14ac:dyDescent="0.2">
      <c r="M996" s="136"/>
    </row>
    <row r="997" spans="13:13" ht="15.75" customHeight="1" x14ac:dyDescent="0.2">
      <c r="M997" s="136"/>
    </row>
    <row r="998" spans="13:13" ht="15.75" customHeight="1" x14ac:dyDescent="0.2">
      <c r="M998" s="136"/>
    </row>
    <row r="999" spans="13:13" ht="15.75" customHeight="1" x14ac:dyDescent="0.2">
      <c r="M999" s="136"/>
    </row>
    <row r="1000" spans="13:13" ht="15.75" customHeight="1" x14ac:dyDescent="0.2">
      <c r="M1000" s="136"/>
    </row>
  </sheetData>
  <mergeCells count="14">
    <mergeCell ref="C58:C59"/>
    <mergeCell ref="C62:C63"/>
    <mergeCell ref="A1:C1"/>
    <mergeCell ref="A3:A18"/>
    <mergeCell ref="O3:O18"/>
    <mergeCell ref="A19:A24"/>
    <mergeCell ref="A25:A32"/>
    <mergeCell ref="A33:A45"/>
    <mergeCell ref="A46:A51"/>
    <mergeCell ref="O25:O32"/>
    <mergeCell ref="O33:O44"/>
    <mergeCell ref="O19:O24"/>
    <mergeCell ref="O46:O51"/>
    <mergeCell ref="A53:A54"/>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0"/>
  <sheetViews>
    <sheetView workbookViewId="0"/>
  </sheetViews>
  <sheetFormatPr baseColWidth="10" defaultColWidth="11.1640625" defaultRowHeight="15" customHeight="1" x14ac:dyDescent="0.2"/>
  <cols>
    <col min="1" max="1" width="10.6640625" customWidth="1"/>
    <col min="2" max="2" width="30.1640625" customWidth="1"/>
    <col min="3" max="3" width="35.6640625" customWidth="1"/>
    <col min="4" max="4" width="16.33203125" customWidth="1"/>
    <col min="5" max="5" width="15.33203125" customWidth="1"/>
    <col min="6" max="6" width="12.33203125" customWidth="1"/>
    <col min="7" max="8" width="10.6640625" customWidth="1"/>
    <col min="9" max="9" width="28" customWidth="1"/>
    <col min="10" max="11" width="12.83203125" customWidth="1"/>
    <col min="12" max="26" width="10.6640625" customWidth="1"/>
  </cols>
  <sheetData>
    <row r="1" spans="1:14" ht="18.75" customHeight="1" x14ac:dyDescent="0.25">
      <c r="K1" s="312"/>
    </row>
    <row r="2" spans="1:14" ht="18.75" customHeight="1" x14ac:dyDescent="0.35">
      <c r="A2" s="313" t="s">
        <v>4008</v>
      </c>
      <c r="K2" s="312"/>
    </row>
    <row r="3" spans="1:14" ht="63" customHeight="1" x14ac:dyDescent="0.2">
      <c r="A3" s="260" t="s">
        <v>3678</v>
      </c>
      <c r="B3" s="261" t="s">
        <v>3937</v>
      </c>
      <c r="C3" s="261" t="s">
        <v>4009</v>
      </c>
      <c r="D3" s="261" t="s">
        <v>3292</v>
      </c>
      <c r="E3" s="260" t="s">
        <v>3938</v>
      </c>
      <c r="F3" s="260" t="s">
        <v>3939</v>
      </c>
      <c r="G3" s="260" t="s">
        <v>3940</v>
      </c>
      <c r="H3" s="261" t="s">
        <v>4010</v>
      </c>
      <c r="I3" s="261" t="s">
        <v>3942</v>
      </c>
      <c r="J3" s="260" t="s">
        <v>3945</v>
      </c>
      <c r="K3" s="314" t="s">
        <v>4011</v>
      </c>
      <c r="L3" s="261" t="s">
        <v>3946</v>
      </c>
    </row>
    <row r="4" spans="1:14" ht="47.25" customHeight="1" x14ac:dyDescent="0.2">
      <c r="A4" s="315" t="s">
        <v>2543</v>
      </c>
      <c r="B4" s="92" t="str">
        <f>VLOOKUP(A4,Liste!A1:O1214,2,0)</f>
        <v>Eau déminéralisée</v>
      </c>
      <c r="C4" s="92" t="s">
        <v>2545</v>
      </c>
      <c r="D4" s="93" t="str">
        <f>VLOOKUP(B4,Liste!B1:P1214,2,0)</f>
        <v>La Canopée</v>
      </c>
      <c r="E4" s="93" t="s">
        <v>512</v>
      </c>
      <c r="F4" s="92">
        <f>100-SUM(F5:F16)</f>
        <v>42.340000000000011</v>
      </c>
      <c r="G4" s="93">
        <f>VLOOKUP('Soin anti-bouton'!A4,Liste!A1:O1260,6,0)</f>
        <v>0.3</v>
      </c>
      <c r="H4" s="93"/>
      <c r="I4" s="316"/>
      <c r="J4" s="93"/>
      <c r="K4" s="317" t="s">
        <v>4012</v>
      </c>
      <c r="L4" s="393" t="s">
        <v>4013</v>
      </c>
    </row>
    <row r="5" spans="1:14" ht="50.25" customHeight="1" x14ac:dyDescent="0.2">
      <c r="A5" s="81" t="s">
        <v>2781</v>
      </c>
      <c r="B5" s="92" t="str">
        <f>VLOOKUP(A5,Liste!A2:O1215,2,0)</f>
        <v>Hydrolat Fleur d'Oranger BIO (conservé)</v>
      </c>
      <c r="C5" s="92" t="s">
        <v>4014</v>
      </c>
      <c r="D5" s="93" t="str">
        <f>VLOOKUP(B5,Liste!B2:P1215,2,0)</f>
        <v>Gazignaire</v>
      </c>
      <c r="E5" s="93" t="s">
        <v>597</v>
      </c>
      <c r="F5" s="92">
        <v>15</v>
      </c>
      <c r="G5" s="93">
        <f>VLOOKUP('Soin anti-bouton'!A5,Liste!A2:O1261,6,0)</f>
        <v>7.25</v>
      </c>
      <c r="H5" s="81"/>
      <c r="I5" s="93"/>
      <c r="J5" s="93"/>
      <c r="K5" s="317" t="s">
        <v>4015</v>
      </c>
      <c r="L5" s="392"/>
    </row>
    <row r="6" spans="1:14" ht="36" customHeight="1" x14ac:dyDescent="0.2">
      <c r="A6" s="81" t="s">
        <v>2885</v>
      </c>
      <c r="B6" s="92" t="str">
        <f>VLOOKUP(A6,Liste!A3:O1216,2,0)</f>
        <v>Glycerine BIO</v>
      </c>
      <c r="C6" s="92" t="s">
        <v>4016</v>
      </c>
      <c r="D6" s="93" t="str">
        <f>VLOOKUP(B6,Liste!B3:P1216,2,0)</f>
        <v>IES Labo</v>
      </c>
      <c r="E6" s="93" t="s">
        <v>512</v>
      </c>
      <c r="F6" s="92">
        <v>10</v>
      </c>
      <c r="G6" s="93">
        <f>VLOOKUP('Soin anti-bouton'!A6,Liste!A3:O1262,6,0)</f>
        <v>6.86</v>
      </c>
      <c r="H6" s="81"/>
      <c r="J6" s="81"/>
      <c r="K6" s="317" t="s">
        <v>4017</v>
      </c>
      <c r="L6" s="392"/>
    </row>
    <row r="7" spans="1:14" ht="18.75" customHeight="1" x14ac:dyDescent="0.2">
      <c r="A7" s="81" t="s">
        <v>2827</v>
      </c>
      <c r="B7" s="92" t="str">
        <f>VLOOKUP(A7,Liste!A4:O1217,2,0)</f>
        <v>Gomme Xanthane</v>
      </c>
      <c r="C7" s="92" t="s">
        <v>4018</v>
      </c>
      <c r="D7" s="93" t="str">
        <f>VLOOKUP(B7,Liste!B4:P1217,2,0)</f>
        <v>AMI</v>
      </c>
      <c r="E7" s="93" t="s">
        <v>407</v>
      </c>
      <c r="F7" s="271">
        <v>0.3</v>
      </c>
      <c r="G7" s="93">
        <f>VLOOKUP('Soin anti-bouton'!A7,Liste!A4:O1263,6,0)</f>
        <v>23.33</v>
      </c>
      <c r="H7" s="81"/>
      <c r="I7" s="81"/>
      <c r="J7" s="81"/>
      <c r="K7" s="317" t="s">
        <v>4019</v>
      </c>
      <c r="L7" s="392"/>
    </row>
    <row r="8" spans="1:14" ht="20.25" customHeight="1" x14ac:dyDescent="0.2">
      <c r="A8" s="81" t="s">
        <v>2909</v>
      </c>
      <c r="B8" s="92" t="str">
        <f>VLOOKUP(A8,Liste!A5:O1218,2,0)</f>
        <v>Alcool BIO</v>
      </c>
      <c r="C8" s="92" t="s">
        <v>4020</v>
      </c>
      <c r="D8" s="93" t="str">
        <f>VLOOKUP(B8,Liste!B5:P1218,2,0)</f>
        <v>Isnard Trans Alcool</v>
      </c>
      <c r="E8" s="93" t="s">
        <v>512</v>
      </c>
      <c r="F8" s="271">
        <v>20</v>
      </c>
      <c r="G8" s="93">
        <f>VLOOKUP('Soin anti-bouton'!A8,Liste!A5:O1264,6,0)</f>
        <v>4.25</v>
      </c>
      <c r="H8" s="81"/>
      <c r="I8" s="129"/>
      <c r="J8" s="81"/>
      <c r="K8" s="317" t="s">
        <v>4021</v>
      </c>
      <c r="L8" s="392"/>
    </row>
    <row r="9" spans="1:14" ht="68.25" customHeight="1" x14ac:dyDescent="0.2">
      <c r="A9" s="251" t="s">
        <v>3111</v>
      </c>
      <c r="B9" s="318" t="str">
        <f>VLOOKUP(A9,Liste!A6:O1219,2,0)</f>
        <v>Amiperfect ER</v>
      </c>
      <c r="C9" s="318" t="s">
        <v>4022</v>
      </c>
      <c r="D9" s="319" t="str">
        <f>VLOOKUP(B9,Liste!B6:P1219,2,0)</f>
        <v>CRODA</v>
      </c>
      <c r="E9" s="320" t="s">
        <v>4023</v>
      </c>
      <c r="F9" s="321">
        <v>0.4</v>
      </c>
      <c r="G9" s="319">
        <f>VLOOKUP('Soin anti-bouton'!A9,Liste!A6:O1265,6,0)</f>
        <v>330</v>
      </c>
      <c r="H9" s="251">
        <v>5</v>
      </c>
      <c r="I9" s="322" t="s">
        <v>4024</v>
      </c>
      <c r="J9" s="251"/>
      <c r="K9" s="317" t="s">
        <v>4025</v>
      </c>
      <c r="L9" s="392"/>
      <c r="N9" s="253" t="s">
        <v>3967</v>
      </c>
    </row>
    <row r="10" spans="1:14" ht="18.75" customHeight="1" x14ac:dyDescent="0.2">
      <c r="A10" s="81" t="s">
        <v>2969</v>
      </c>
      <c r="B10" s="92" t="str">
        <f>VLOOKUP(A10,Liste!A7:O1220,2,0)</f>
        <v>He Tea tree BIO</v>
      </c>
      <c r="C10" s="92" t="s">
        <v>4026</v>
      </c>
      <c r="D10" s="93" t="str">
        <f>VLOOKUP(B10,Liste!B7:P1220,2,0)</f>
        <v>Diffusions aromatiques</v>
      </c>
      <c r="E10" s="93"/>
      <c r="F10" s="271">
        <v>0.16</v>
      </c>
      <c r="G10" s="93">
        <f>VLOOKUP('Soin anti-bouton'!A10,Liste!A7:O1266,6,0)</f>
        <v>105</v>
      </c>
      <c r="H10" s="81"/>
      <c r="I10" s="129"/>
      <c r="J10" s="81"/>
      <c r="K10" s="317" t="s">
        <v>4027</v>
      </c>
      <c r="L10" s="392"/>
    </row>
    <row r="11" spans="1:14" ht="18.75" customHeight="1" x14ac:dyDescent="0.2">
      <c r="A11" s="81" t="s">
        <v>2984</v>
      </c>
      <c r="B11" s="92" t="str">
        <f>VLOOKUP(A11,Liste!A8:O1221,2,0)</f>
        <v>He Lavande fine BIO</v>
      </c>
      <c r="C11" s="92" t="s">
        <v>4028</v>
      </c>
      <c r="D11" s="93" t="str">
        <f>VLOOKUP(B11,Liste!B8:P1221,2,0)</f>
        <v>Diffusions aromatiques</v>
      </c>
      <c r="E11" s="93"/>
      <c r="F11" s="271">
        <v>0.05</v>
      </c>
      <c r="G11" s="93">
        <f>VLOOKUP('Soin anti-bouton'!A11,Liste!A8:O1267,6,0)</f>
        <v>240</v>
      </c>
      <c r="H11" s="81"/>
      <c r="I11" s="129"/>
      <c r="J11" s="81"/>
      <c r="K11" s="317" t="s">
        <v>4029</v>
      </c>
      <c r="L11" s="392"/>
    </row>
    <row r="12" spans="1:14" ht="18.75" customHeight="1" x14ac:dyDescent="0.2">
      <c r="A12" s="81" t="s">
        <v>2980</v>
      </c>
      <c r="B12" s="92" t="str">
        <f>VLOOKUP(A12,Liste!A9:O1222,2,0)</f>
        <v>He Orange sanguine BIO</v>
      </c>
      <c r="C12" s="92" t="s">
        <v>4030</v>
      </c>
      <c r="D12" s="93" t="str">
        <f>VLOOKUP(B12,Liste!B9:P1222,2,0)</f>
        <v>Campisi Citrus</v>
      </c>
      <c r="E12" s="93"/>
      <c r="F12" s="271">
        <v>0.04</v>
      </c>
      <c r="G12" s="93">
        <f>VLOOKUP('Soin anti-bouton'!A12,Liste!A9:O1268,6,0)</f>
        <v>68</v>
      </c>
      <c r="H12" s="81"/>
      <c r="I12" s="129"/>
      <c r="J12" s="81"/>
      <c r="K12" s="317" t="s">
        <v>4031</v>
      </c>
      <c r="L12" s="392"/>
    </row>
    <row r="13" spans="1:14" ht="42" customHeight="1" x14ac:dyDescent="0.2">
      <c r="A13" s="251" t="s">
        <v>3117</v>
      </c>
      <c r="B13" s="318" t="str">
        <f>VLOOKUP(A13,Liste!A9:O1222,2,0)</f>
        <v>Glucono-Delta-Lactone</v>
      </c>
      <c r="C13" s="318" t="s">
        <v>224</v>
      </c>
      <c r="D13" s="319" t="str">
        <f>VLOOKUP(B13,Liste!B9:P1222,2,0)</f>
        <v>AMI</v>
      </c>
      <c r="E13" s="319"/>
      <c r="F13" s="321">
        <v>8</v>
      </c>
      <c r="G13" s="319">
        <f>VLOOKUP('Soin anti-bouton'!A13,Liste!A9:O1268,6,0)</f>
        <v>6.18</v>
      </c>
      <c r="H13" s="323">
        <v>25</v>
      </c>
      <c r="I13" s="322" t="s">
        <v>4032</v>
      </c>
      <c r="J13" s="251"/>
      <c r="K13" s="324">
        <v>0.02</v>
      </c>
      <c r="L13" s="392"/>
    </row>
    <row r="14" spans="1:14" ht="36.75" customHeight="1" x14ac:dyDescent="0.2">
      <c r="A14" s="250" t="s">
        <v>2616</v>
      </c>
      <c r="B14" s="325" t="str">
        <f>VLOOKUP(A14,Liste!A10:O1223,2,0)</f>
        <v>Opuntia Biocomplex SH</v>
      </c>
      <c r="C14" s="325" t="s">
        <v>2618</v>
      </c>
      <c r="D14" s="326" t="s">
        <v>2617</v>
      </c>
      <c r="E14" s="326"/>
      <c r="F14" s="327">
        <v>1.7</v>
      </c>
      <c r="G14" s="326">
        <f>VLOOKUP('Soin anti-bouton'!A14,Liste!A10:O1269,6,0)</f>
        <v>90</v>
      </c>
      <c r="H14" s="250">
        <v>5</v>
      </c>
      <c r="I14" s="328" t="s">
        <v>3958</v>
      </c>
      <c r="J14" s="250"/>
      <c r="K14" s="317" t="s">
        <v>4033</v>
      </c>
      <c r="L14" s="392"/>
    </row>
    <row r="15" spans="1:14" ht="27" customHeight="1" x14ac:dyDescent="0.2">
      <c r="A15" s="81" t="s">
        <v>2898</v>
      </c>
      <c r="B15" s="92" t="str">
        <f>VLOOKUP(A15,Liste!A11:O1224,2,0)</f>
        <v>Acide lactique</v>
      </c>
      <c r="C15" s="92" t="s">
        <v>4034</v>
      </c>
      <c r="D15" s="93" t="str">
        <f>VLOOKUP(B15,Liste!B11:P1224,2,0)</f>
        <v>AMI</v>
      </c>
      <c r="E15" s="93"/>
      <c r="F15" s="271">
        <v>0.01</v>
      </c>
      <c r="G15" s="93">
        <f>VLOOKUP('Soin anti-bouton'!A15,Liste!A11:O1270,6,0)</f>
        <v>6.4</v>
      </c>
      <c r="H15" s="81"/>
      <c r="I15" s="93"/>
      <c r="J15" s="81"/>
      <c r="K15" s="317" t="s">
        <v>4035</v>
      </c>
      <c r="L15" s="392"/>
    </row>
    <row r="16" spans="1:14" ht="40.5" customHeight="1" x14ac:dyDescent="0.2">
      <c r="A16" s="81" t="s">
        <v>2874</v>
      </c>
      <c r="B16" s="92" t="str">
        <f>VLOOKUP(A16,Liste!A12:O1225,2,0)</f>
        <v>Leucidal Liquid</v>
      </c>
      <c r="C16" s="92" t="s">
        <v>4036</v>
      </c>
      <c r="D16" s="93" t="str">
        <f>VLOOKUP(B16,Liste!B12:P1225,2,0)</f>
        <v>Active Concept / Active Micro</v>
      </c>
      <c r="E16" s="93"/>
      <c r="F16" s="271">
        <v>2</v>
      </c>
      <c r="G16" s="93">
        <f>VLOOKUP('Soin anti-bouton'!A16,Liste!A12:O1271,6,0)</f>
        <v>35.92</v>
      </c>
      <c r="H16" s="81"/>
      <c r="I16" s="93"/>
      <c r="J16" s="81"/>
      <c r="K16" s="324">
        <v>0.02</v>
      </c>
      <c r="L16" s="359"/>
    </row>
    <row r="17" spans="2:13" ht="32.25" customHeight="1" x14ac:dyDescent="0.25">
      <c r="B17" s="329"/>
      <c r="C17" s="329"/>
      <c r="D17" s="253"/>
      <c r="E17" s="253"/>
      <c r="F17" s="123">
        <f>SUM(F4:F16)</f>
        <v>100.00000000000001</v>
      </c>
      <c r="G17" s="253"/>
      <c r="I17" s="136"/>
      <c r="K17" s="312"/>
      <c r="L17" s="396"/>
    </row>
    <row r="18" spans="2:13" ht="18.75" customHeight="1" x14ac:dyDescent="0.25">
      <c r="B18" s="329"/>
      <c r="C18" s="329"/>
      <c r="D18" s="253"/>
      <c r="E18" s="253"/>
      <c r="F18" s="95"/>
      <c r="G18" s="253"/>
      <c r="I18" s="253"/>
      <c r="K18" s="312"/>
      <c r="L18" s="379"/>
    </row>
    <row r="19" spans="2:13" ht="18.75" customHeight="1" x14ac:dyDescent="0.25">
      <c r="B19" s="329"/>
      <c r="C19" s="329"/>
      <c r="D19" s="253"/>
      <c r="E19" s="253"/>
      <c r="F19" s="95"/>
      <c r="G19" s="253"/>
      <c r="K19" s="312"/>
      <c r="L19" s="379"/>
    </row>
    <row r="20" spans="2:13" ht="18.75" customHeight="1" x14ac:dyDescent="0.25">
      <c r="B20" s="329"/>
      <c r="C20" s="329"/>
      <c r="D20" s="253"/>
      <c r="E20" s="253"/>
      <c r="F20" s="95"/>
      <c r="G20" s="253"/>
      <c r="K20" s="312"/>
      <c r="L20" s="379"/>
    </row>
    <row r="21" spans="2:13" ht="18.75" customHeight="1" x14ac:dyDescent="0.25">
      <c r="B21" s="329"/>
      <c r="C21" s="329"/>
      <c r="D21" s="253"/>
      <c r="E21" s="253"/>
      <c r="F21" s="95"/>
      <c r="G21" s="253"/>
      <c r="K21" s="312"/>
      <c r="L21" s="379"/>
    </row>
    <row r="22" spans="2:13" ht="18.75" customHeight="1" x14ac:dyDescent="0.25">
      <c r="B22" s="329"/>
      <c r="C22" s="329"/>
      <c r="D22" s="253"/>
      <c r="E22" s="253"/>
      <c r="F22" s="95"/>
      <c r="G22" s="253"/>
      <c r="K22" s="312"/>
      <c r="L22" s="379"/>
    </row>
    <row r="23" spans="2:13" ht="48" customHeight="1" x14ac:dyDescent="0.25">
      <c r="B23" s="329"/>
      <c r="C23" s="329"/>
      <c r="D23" s="253"/>
      <c r="E23" s="253"/>
      <c r="F23" s="95"/>
      <c r="G23" s="253"/>
      <c r="I23" s="136"/>
      <c r="K23" s="312"/>
      <c r="L23" s="396"/>
      <c r="M23" s="123">
        <f>SUM(F23:F29)</f>
        <v>0</v>
      </c>
    </row>
    <row r="24" spans="2:13" ht="36" customHeight="1" x14ac:dyDescent="0.25">
      <c r="B24" s="329"/>
      <c r="C24" s="329"/>
      <c r="D24" s="253"/>
      <c r="E24" s="331"/>
      <c r="F24" s="95"/>
      <c r="G24" s="253"/>
      <c r="K24" s="312"/>
      <c r="L24" s="379"/>
    </row>
    <row r="25" spans="2:13" ht="24" customHeight="1" x14ac:dyDescent="0.25">
      <c r="B25" s="329"/>
      <c r="C25" s="329"/>
      <c r="D25" s="253"/>
      <c r="E25" s="331"/>
      <c r="F25" s="95"/>
      <c r="G25" s="253"/>
      <c r="K25" s="312"/>
      <c r="L25" s="379"/>
    </row>
    <row r="26" spans="2:13" ht="33" customHeight="1" x14ac:dyDescent="0.25">
      <c r="B26" s="329"/>
      <c r="C26" s="329"/>
      <c r="D26" s="253"/>
      <c r="E26" s="253"/>
      <c r="F26" s="95"/>
      <c r="G26" s="253"/>
      <c r="K26" s="312"/>
      <c r="L26" s="379"/>
    </row>
    <row r="27" spans="2:13" ht="32.25" customHeight="1" x14ac:dyDescent="0.25">
      <c r="B27" s="329"/>
      <c r="C27" s="329"/>
      <c r="D27" s="253"/>
      <c r="E27" s="253"/>
      <c r="F27" s="95"/>
      <c r="G27" s="253"/>
      <c r="K27" s="312"/>
      <c r="L27" s="379"/>
    </row>
    <row r="28" spans="2:13" ht="34.5" customHeight="1" x14ac:dyDescent="0.25">
      <c r="B28" s="329"/>
      <c r="C28" s="329"/>
      <c r="D28" s="253"/>
      <c r="E28" s="253"/>
      <c r="F28" s="95"/>
      <c r="G28" s="253"/>
      <c r="K28" s="312"/>
      <c r="L28" s="379"/>
    </row>
    <row r="29" spans="2:13" ht="24" customHeight="1" x14ac:dyDescent="0.25">
      <c r="B29" s="329"/>
      <c r="C29" s="329"/>
      <c r="D29" s="253"/>
      <c r="E29" s="253"/>
      <c r="F29" s="95"/>
      <c r="G29" s="253"/>
      <c r="K29" s="312"/>
      <c r="L29" s="379"/>
    </row>
    <row r="30" spans="2:13" ht="40.5" customHeight="1" x14ac:dyDescent="0.25">
      <c r="B30" s="329"/>
      <c r="C30" s="329"/>
      <c r="D30" s="253"/>
      <c r="E30" s="331"/>
      <c r="F30" s="95"/>
      <c r="G30" s="253"/>
      <c r="I30" s="330"/>
      <c r="K30" s="312"/>
      <c r="L30" s="396"/>
      <c r="M30" s="123">
        <f>SUM(F30:F42)</f>
        <v>0</v>
      </c>
    </row>
    <row r="31" spans="2:13" ht="27.75" customHeight="1" x14ac:dyDescent="0.25">
      <c r="B31" s="329"/>
      <c r="C31" s="329"/>
      <c r="D31" s="253"/>
      <c r="E31" s="253"/>
      <c r="F31" s="95"/>
      <c r="G31" s="253"/>
      <c r="I31" s="136"/>
      <c r="K31" s="312"/>
      <c r="L31" s="379"/>
    </row>
    <row r="32" spans="2:13" ht="33" customHeight="1" x14ac:dyDescent="0.25">
      <c r="B32" s="329"/>
      <c r="C32" s="329"/>
      <c r="D32" s="253"/>
      <c r="E32" s="253"/>
      <c r="F32" s="95"/>
      <c r="G32" s="253"/>
      <c r="I32" s="136"/>
      <c r="K32" s="312"/>
      <c r="L32" s="379"/>
    </row>
    <row r="33" spans="2:13" ht="33" customHeight="1" x14ac:dyDescent="0.25">
      <c r="B33" s="329"/>
      <c r="C33" s="329"/>
      <c r="D33" s="253"/>
      <c r="E33" s="253"/>
      <c r="F33" s="95"/>
      <c r="G33" s="253"/>
      <c r="K33" s="312"/>
      <c r="L33" s="379"/>
    </row>
    <row r="34" spans="2:13" ht="33" customHeight="1" x14ac:dyDescent="0.25">
      <c r="B34" s="329"/>
      <c r="C34" s="329"/>
      <c r="D34" s="253"/>
      <c r="E34" s="253"/>
      <c r="F34" s="95"/>
      <c r="G34" s="253"/>
      <c r="K34" s="312"/>
      <c r="L34" s="379"/>
    </row>
    <row r="35" spans="2:13" ht="33" customHeight="1" x14ac:dyDescent="0.25">
      <c r="B35" s="329"/>
      <c r="C35" s="329"/>
      <c r="D35" s="253"/>
      <c r="E35" s="253"/>
      <c r="F35" s="95"/>
      <c r="G35" s="253"/>
      <c r="K35" s="312"/>
      <c r="L35" s="379"/>
    </row>
    <row r="36" spans="2:13" ht="33" customHeight="1" x14ac:dyDescent="0.25">
      <c r="B36" s="329"/>
      <c r="C36" s="329"/>
      <c r="D36" s="253"/>
      <c r="E36" s="253"/>
      <c r="F36" s="95"/>
      <c r="G36" s="253"/>
      <c r="K36" s="312"/>
      <c r="L36" s="379"/>
    </row>
    <row r="37" spans="2:13" ht="33" customHeight="1" x14ac:dyDescent="0.25">
      <c r="B37" s="329"/>
      <c r="C37" s="329"/>
      <c r="D37" s="253"/>
      <c r="E37" s="253"/>
      <c r="F37" s="95"/>
      <c r="G37" s="253"/>
      <c r="K37" s="312"/>
      <c r="L37" s="379"/>
    </row>
    <row r="38" spans="2:13" ht="33" customHeight="1" x14ac:dyDescent="0.25">
      <c r="B38" s="329"/>
      <c r="C38" s="329"/>
      <c r="D38" s="253"/>
      <c r="E38" s="253"/>
      <c r="F38" s="95"/>
      <c r="G38" s="253"/>
      <c r="K38" s="312"/>
      <c r="L38" s="379"/>
    </row>
    <row r="39" spans="2:13" ht="33" customHeight="1" x14ac:dyDescent="0.25">
      <c r="B39" s="329"/>
      <c r="C39" s="329"/>
      <c r="D39" s="253"/>
      <c r="E39" s="253"/>
      <c r="F39" s="95"/>
      <c r="G39" s="253"/>
      <c r="K39" s="312"/>
      <c r="L39" s="379"/>
    </row>
    <row r="40" spans="2:13" ht="33" customHeight="1" x14ac:dyDescent="0.25">
      <c r="B40" s="329"/>
      <c r="C40" s="329"/>
      <c r="D40" s="253"/>
      <c r="E40" s="253"/>
      <c r="F40" s="95"/>
      <c r="G40" s="253"/>
      <c r="K40" s="312"/>
      <c r="L40" s="379"/>
    </row>
    <row r="41" spans="2:13" ht="33" customHeight="1" x14ac:dyDescent="0.25">
      <c r="B41" s="329"/>
      <c r="C41" s="329"/>
      <c r="D41" s="253"/>
      <c r="E41" s="253"/>
      <c r="F41" s="95"/>
      <c r="G41" s="253"/>
      <c r="K41" s="312"/>
      <c r="L41" s="379"/>
    </row>
    <row r="42" spans="2:13" ht="21" customHeight="1" x14ac:dyDescent="0.25">
      <c r="B42" s="329"/>
      <c r="C42" s="329"/>
      <c r="D42" s="253"/>
      <c r="E42" s="253"/>
      <c r="F42" s="95"/>
      <c r="G42" s="253"/>
      <c r="K42" s="312"/>
      <c r="L42" s="330"/>
    </row>
    <row r="43" spans="2:13" ht="35.25" customHeight="1" x14ac:dyDescent="0.25">
      <c r="B43" s="329"/>
      <c r="C43" s="329"/>
      <c r="D43" s="253"/>
      <c r="E43" s="253"/>
      <c r="F43" s="95"/>
      <c r="G43" s="253"/>
      <c r="I43" s="253"/>
      <c r="K43" s="312"/>
      <c r="L43" s="396"/>
      <c r="M43" s="123">
        <f>SUM(F43:F49)</f>
        <v>0</v>
      </c>
    </row>
    <row r="44" spans="2:13" ht="18.75" customHeight="1" x14ac:dyDescent="0.25">
      <c r="B44" s="329"/>
      <c r="C44" s="329"/>
      <c r="D44" s="253"/>
      <c r="E44" s="253"/>
      <c r="F44" s="95"/>
      <c r="G44" s="253"/>
      <c r="I44" s="332"/>
      <c r="K44" s="312"/>
      <c r="L44" s="379"/>
    </row>
    <row r="45" spans="2:13" ht="18.75" customHeight="1" x14ac:dyDescent="0.25">
      <c r="B45" s="329"/>
      <c r="C45" s="329"/>
      <c r="D45" s="253"/>
      <c r="E45" s="253"/>
      <c r="F45" s="95"/>
      <c r="G45" s="253"/>
      <c r="K45" s="312"/>
      <c r="L45" s="379"/>
    </row>
    <row r="46" spans="2:13" ht="18.75" customHeight="1" x14ac:dyDescent="0.25">
      <c r="B46" s="329"/>
      <c r="C46" s="329"/>
      <c r="D46" s="253"/>
      <c r="E46" s="253"/>
      <c r="F46" s="95"/>
      <c r="G46" s="253"/>
      <c r="K46" s="312"/>
      <c r="L46" s="379"/>
    </row>
    <row r="47" spans="2:13" ht="18.75" customHeight="1" x14ac:dyDescent="0.25">
      <c r="B47" s="329"/>
      <c r="C47" s="329"/>
      <c r="D47" s="253"/>
      <c r="E47" s="253"/>
      <c r="F47" s="95"/>
      <c r="G47" s="253"/>
      <c r="K47" s="312"/>
      <c r="L47" s="379"/>
    </row>
    <row r="48" spans="2:13" ht="18.75" customHeight="1" x14ac:dyDescent="0.25">
      <c r="B48" s="329"/>
      <c r="C48" s="329"/>
      <c r="D48" s="253"/>
      <c r="E48" s="253"/>
      <c r="F48" s="95"/>
      <c r="G48" s="253"/>
      <c r="K48" s="312"/>
      <c r="L48" s="379"/>
    </row>
    <row r="49" spans="1:12" ht="18.75" customHeight="1" x14ac:dyDescent="0.25">
      <c r="B49" s="329"/>
      <c r="C49" s="329"/>
      <c r="D49" s="253"/>
      <c r="E49" s="253"/>
      <c r="F49" s="95"/>
      <c r="G49" s="253"/>
      <c r="K49" s="312"/>
      <c r="L49" s="379"/>
    </row>
    <row r="50" spans="1:12" ht="18.75" customHeight="1" x14ac:dyDescent="0.25">
      <c r="K50" s="312"/>
    </row>
    <row r="51" spans="1:12" ht="18.75" customHeight="1" x14ac:dyDescent="0.25">
      <c r="F51" s="95"/>
      <c r="K51" s="312"/>
    </row>
    <row r="52" spans="1:12" ht="18.75" customHeight="1" x14ac:dyDescent="0.25">
      <c r="F52" s="95"/>
      <c r="K52" s="312"/>
    </row>
    <row r="53" spans="1:12" ht="18.75" customHeight="1" x14ac:dyDescent="0.25">
      <c r="K53" s="312"/>
    </row>
    <row r="54" spans="1:12" ht="18.75" customHeight="1" x14ac:dyDescent="0.25">
      <c r="K54" s="312"/>
    </row>
    <row r="55" spans="1:12" ht="18.75" customHeight="1" x14ac:dyDescent="0.25">
      <c r="K55" s="312"/>
    </row>
    <row r="56" spans="1:12" ht="18.75" customHeight="1" x14ac:dyDescent="0.25">
      <c r="A56" s="299"/>
      <c r="B56" s="385"/>
      <c r="C56" s="300"/>
      <c r="K56" s="312"/>
    </row>
    <row r="57" spans="1:12" ht="18.75" customHeight="1" x14ac:dyDescent="0.25">
      <c r="A57" s="299"/>
      <c r="B57" s="379"/>
      <c r="C57" s="300"/>
      <c r="D57" s="306"/>
      <c r="E57" s="306"/>
      <c r="K57" s="312"/>
    </row>
    <row r="58" spans="1:12" ht="18.75" customHeight="1" x14ac:dyDescent="0.25">
      <c r="K58" s="312"/>
    </row>
    <row r="59" spans="1:12" ht="18.75" customHeight="1" x14ac:dyDescent="0.25">
      <c r="K59" s="312"/>
    </row>
    <row r="60" spans="1:12" ht="18.75" customHeight="1" x14ac:dyDescent="0.25">
      <c r="A60" s="307"/>
      <c r="B60" s="387"/>
      <c r="C60" s="308"/>
      <c r="K60" s="312"/>
    </row>
    <row r="61" spans="1:12" ht="18.75" customHeight="1" x14ac:dyDescent="0.25">
      <c r="A61" s="299"/>
      <c r="B61" s="379"/>
      <c r="C61" s="308"/>
      <c r="K61" s="312"/>
    </row>
    <row r="62" spans="1:12" ht="18.75" customHeight="1" x14ac:dyDescent="0.25">
      <c r="K62" s="312"/>
    </row>
    <row r="63" spans="1:12" ht="18.75" customHeight="1" x14ac:dyDescent="0.25">
      <c r="K63" s="312"/>
    </row>
    <row r="64" spans="1:12" ht="18.75" customHeight="1" x14ac:dyDescent="0.25">
      <c r="K64" s="312"/>
    </row>
    <row r="65" spans="11:11" ht="18.75" customHeight="1" x14ac:dyDescent="0.25">
      <c r="K65" s="312"/>
    </row>
    <row r="66" spans="11:11" ht="18.75" customHeight="1" x14ac:dyDescent="0.25">
      <c r="K66" s="312"/>
    </row>
    <row r="67" spans="11:11" ht="18.75" customHeight="1" x14ac:dyDescent="0.25">
      <c r="K67" s="312"/>
    </row>
    <row r="68" spans="11:11" ht="18.75" customHeight="1" x14ac:dyDescent="0.25">
      <c r="K68" s="312"/>
    </row>
    <row r="69" spans="11:11" ht="18.75" customHeight="1" x14ac:dyDescent="0.25">
      <c r="K69" s="312"/>
    </row>
    <row r="70" spans="11:11" ht="18.75" customHeight="1" x14ac:dyDescent="0.25">
      <c r="K70" s="312"/>
    </row>
    <row r="71" spans="11:11" ht="18.75" customHeight="1" x14ac:dyDescent="0.25">
      <c r="K71" s="312"/>
    </row>
    <row r="72" spans="11:11" ht="18.75" customHeight="1" x14ac:dyDescent="0.25">
      <c r="K72" s="312"/>
    </row>
    <row r="73" spans="11:11" ht="18.75" customHeight="1" x14ac:dyDescent="0.25">
      <c r="K73" s="312"/>
    </row>
    <row r="74" spans="11:11" ht="18.75" customHeight="1" x14ac:dyDescent="0.25">
      <c r="K74" s="312"/>
    </row>
    <row r="75" spans="11:11" ht="18.75" customHeight="1" x14ac:dyDescent="0.25">
      <c r="K75" s="312"/>
    </row>
    <row r="76" spans="11:11" ht="18.75" customHeight="1" x14ac:dyDescent="0.25">
      <c r="K76" s="312"/>
    </row>
    <row r="77" spans="11:11" ht="18.75" customHeight="1" x14ac:dyDescent="0.25">
      <c r="K77" s="312"/>
    </row>
    <row r="78" spans="11:11" ht="18.75" customHeight="1" x14ac:dyDescent="0.25">
      <c r="K78" s="312"/>
    </row>
    <row r="79" spans="11:11" ht="18.75" customHeight="1" x14ac:dyDescent="0.25">
      <c r="K79" s="312"/>
    </row>
    <row r="80" spans="11:11" ht="18.75" customHeight="1" x14ac:dyDescent="0.25">
      <c r="K80" s="312"/>
    </row>
    <row r="81" spans="11:11" ht="18.75" customHeight="1" x14ac:dyDescent="0.25">
      <c r="K81" s="312"/>
    </row>
    <row r="82" spans="11:11" ht="18.75" customHeight="1" x14ac:dyDescent="0.25">
      <c r="K82" s="312"/>
    </row>
    <row r="83" spans="11:11" ht="18.75" customHeight="1" x14ac:dyDescent="0.25">
      <c r="K83" s="312"/>
    </row>
    <row r="84" spans="11:11" ht="18.75" customHeight="1" x14ac:dyDescent="0.25">
      <c r="K84" s="312"/>
    </row>
    <row r="85" spans="11:11" ht="18.75" customHeight="1" x14ac:dyDescent="0.25">
      <c r="K85" s="312"/>
    </row>
    <row r="86" spans="11:11" ht="18.75" customHeight="1" x14ac:dyDescent="0.25">
      <c r="K86" s="312"/>
    </row>
    <row r="87" spans="11:11" ht="18.75" customHeight="1" x14ac:dyDescent="0.25">
      <c r="K87" s="312"/>
    </row>
    <row r="88" spans="11:11" ht="18.75" customHeight="1" x14ac:dyDescent="0.25">
      <c r="K88" s="312"/>
    </row>
    <row r="89" spans="11:11" ht="18.75" customHeight="1" x14ac:dyDescent="0.25">
      <c r="K89" s="312"/>
    </row>
    <row r="90" spans="11:11" ht="18.75" customHeight="1" x14ac:dyDescent="0.25">
      <c r="K90" s="312"/>
    </row>
    <row r="91" spans="11:11" ht="18.75" customHeight="1" x14ac:dyDescent="0.25">
      <c r="K91" s="312"/>
    </row>
    <row r="92" spans="11:11" ht="18.75" customHeight="1" x14ac:dyDescent="0.25">
      <c r="K92" s="312"/>
    </row>
    <row r="93" spans="11:11" ht="18.75" customHeight="1" x14ac:dyDescent="0.25">
      <c r="K93" s="312"/>
    </row>
    <row r="94" spans="11:11" ht="18.75" customHeight="1" x14ac:dyDescent="0.25">
      <c r="K94" s="312"/>
    </row>
    <row r="95" spans="11:11" ht="18.75" customHeight="1" x14ac:dyDescent="0.25">
      <c r="K95" s="312"/>
    </row>
    <row r="96" spans="11:11" ht="18.75" customHeight="1" x14ac:dyDescent="0.25">
      <c r="K96" s="312"/>
    </row>
    <row r="97" spans="11:11" ht="18.75" customHeight="1" x14ac:dyDescent="0.25">
      <c r="K97" s="312"/>
    </row>
    <row r="98" spans="11:11" ht="18.75" customHeight="1" x14ac:dyDescent="0.25">
      <c r="K98" s="312"/>
    </row>
    <row r="99" spans="11:11" ht="18.75" customHeight="1" x14ac:dyDescent="0.25">
      <c r="K99" s="312"/>
    </row>
    <row r="100" spans="11:11" ht="18.75" customHeight="1" x14ac:dyDescent="0.25">
      <c r="K100" s="312"/>
    </row>
    <row r="101" spans="11:11" ht="18.75" customHeight="1" x14ac:dyDescent="0.25">
      <c r="K101" s="312"/>
    </row>
    <row r="102" spans="11:11" ht="18.75" customHeight="1" x14ac:dyDescent="0.25">
      <c r="K102" s="312"/>
    </row>
    <row r="103" spans="11:11" ht="18.75" customHeight="1" x14ac:dyDescent="0.25">
      <c r="K103" s="312"/>
    </row>
    <row r="104" spans="11:11" ht="18.75" customHeight="1" x14ac:dyDescent="0.25">
      <c r="K104" s="312"/>
    </row>
    <row r="105" spans="11:11" ht="18.75" customHeight="1" x14ac:dyDescent="0.25">
      <c r="K105" s="312"/>
    </row>
    <row r="106" spans="11:11" ht="18.75" customHeight="1" x14ac:dyDescent="0.25">
      <c r="K106" s="312"/>
    </row>
    <row r="107" spans="11:11" ht="18.75" customHeight="1" x14ac:dyDescent="0.25">
      <c r="K107" s="312"/>
    </row>
    <row r="108" spans="11:11" ht="18.75" customHeight="1" x14ac:dyDescent="0.25">
      <c r="K108" s="312"/>
    </row>
    <row r="109" spans="11:11" ht="18.75" customHeight="1" x14ac:dyDescent="0.25">
      <c r="K109" s="312"/>
    </row>
    <row r="110" spans="11:11" ht="18.75" customHeight="1" x14ac:dyDescent="0.25">
      <c r="K110" s="312"/>
    </row>
    <row r="111" spans="11:11" ht="18.75" customHeight="1" x14ac:dyDescent="0.25">
      <c r="K111" s="312"/>
    </row>
    <row r="112" spans="11:11" ht="18.75" customHeight="1" x14ac:dyDescent="0.25">
      <c r="K112" s="312"/>
    </row>
    <row r="113" spans="11:11" ht="18.75" customHeight="1" x14ac:dyDescent="0.25">
      <c r="K113" s="312"/>
    </row>
    <row r="114" spans="11:11" ht="18.75" customHeight="1" x14ac:dyDescent="0.25">
      <c r="K114" s="312"/>
    </row>
    <row r="115" spans="11:11" ht="18.75" customHeight="1" x14ac:dyDescent="0.25">
      <c r="K115" s="312"/>
    </row>
    <row r="116" spans="11:11" ht="18.75" customHeight="1" x14ac:dyDescent="0.25">
      <c r="K116" s="312"/>
    </row>
    <row r="117" spans="11:11" ht="18.75" customHeight="1" x14ac:dyDescent="0.25">
      <c r="K117" s="312"/>
    </row>
    <row r="118" spans="11:11" ht="18.75" customHeight="1" x14ac:dyDescent="0.25">
      <c r="K118" s="312"/>
    </row>
    <row r="119" spans="11:11" ht="18.75" customHeight="1" x14ac:dyDescent="0.25">
      <c r="K119" s="312"/>
    </row>
    <row r="120" spans="11:11" ht="18.75" customHeight="1" x14ac:dyDescent="0.25">
      <c r="K120" s="312"/>
    </row>
    <row r="121" spans="11:11" ht="18.75" customHeight="1" x14ac:dyDescent="0.25">
      <c r="K121" s="312"/>
    </row>
    <row r="122" spans="11:11" ht="18.75" customHeight="1" x14ac:dyDescent="0.25">
      <c r="K122" s="312"/>
    </row>
    <row r="123" spans="11:11" ht="18.75" customHeight="1" x14ac:dyDescent="0.25">
      <c r="K123" s="312"/>
    </row>
    <row r="124" spans="11:11" ht="18.75" customHeight="1" x14ac:dyDescent="0.25">
      <c r="K124" s="312"/>
    </row>
    <row r="125" spans="11:11" ht="18.75" customHeight="1" x14ac:dyDescent="0.25">
      <c r="K125" s="312"/>
    </row>
    <row r="126" spans="11:11" ht="18.75" customHeight="1" x14ac:dyDescent="0.25">
      <c r="K126" s="312"/>
    </row>
    <row r="127" spans="11:11" ht="18.75" customHeight="1" x14ac:dyDescent="0.25">
      <c r="K127" s="312"/>
    </row>
    <row r="128" spans="11:11" ht="18.75" customHeight="1" x14ac:dyDescent="0.25">
      <c r="K128" s="312"/>
    </row>
    <row r="129" spans="11:11" ht="18.75" customHeight="1" x14ac:dyDescent="0.25">
      <c r="K129" s="312"/>
    </row>
    <row r="130" spans="11:11" ht="18.75" customHeight="1" x14ac:dyDescent="0.25">
      <c r="K130" s="312"/>
    </row>
    <row r="131" spans="11:11" ht="18.75" customHeight="1" x14ac:dyDescent="0.25">
      <c r="K131" s="312"/>
    </row>
    <row r="132" spans="11:11" ht="18.75" customHeight="1" x14ac:dyDescent="0.25">
      <c r="K132" s="312"/>
    </row>
    <row r="133" spans="11:11" ht="18.75" customHeight="1" x14ac:dyDescent="0.25">
      <c r="K133" s="312"/>
    </row>
    <row r="134" spans="11:11" ht="18.75" customHeight="1" x14ac:dyDescent="0.25">
      <c r="K134" s="312"/>
    </row>
    <row r="135" spans="11:11" ht="18.75" customHeight="1" x14ac:dyDescent="0.25">
      <c r="K135" s="312"/>
    </row>
    <row r="136" spans="11:11" ht="18.75" customHeight="1" x14ac:dyDescent="0.25">
      <c r="K136" s="312"/>
    </row>
    <row r="137" spans="11:11" ht="18.75" customHeight="1" x14ac:dyDescent="0.25">
      <c r="K137" s="312"/>
    </row>
    <row r="138" spans="11:11" ht="18.75" customHeight="1" x14ac:dyDescent="0.25">
      <c r="K138" s="312"/>
    </row>
    <row r="139" spans="11:11" ht="18.75" customHeight="1" x14ac:dyDescent="0.25">
      <c r="K139" s="312"/>
    </row>
    <row r="140" spans="11:11" ht="18.75" customHeight="1" x14ac:dyDescent="0.25">
      <c r="K140" s="312"/>
    </row>
    <row r="141" spans="11:11" ht="18.75" customHeight="1" x14ac:dyDescent="0.25">
      <c r="K141" s="312"/>
    </row>
    <row r="142" spans="11:11" ht="18.75" customHeight="1" x14ac:dyDescent="0.25">
      <c r="K142" s="312"/>
    </row>
    <row r="143" spans="11:11" ht="18.75" customHeight="1" x14ac:dyDescent="0.25">
      <c r="K143" s="312"/>
    </row>
    <row r="144" spans="11:11" ht="18.75" customHeight="1" x14ac:dyDescent="0.25">
      <c r="K144" s="312"/>
    </row>
    <row r="145" spans="11:11" ht="18.75" customHeight="1" x14ac:dyDescent="0.25">
      <c r="K145" s="312"/>
    </row>
    <row r="146" spans="11:11" ht="18.75" customHeight="1" x14ac:dyDescent="0.25">
      <c r="K146" s="312"/>
    </row>
    <row r="147" spans="11:11" ht="18.75" customHeight="1" x14ac:dyDescent="0.25">
      <c r="K147" s="312"/>
    </row>
    <row r="148" spans="11:11" ht="18.75" customHeight="1" x14ac:dyDescent="0.25">
      <c r="K148" s="312"/>
    </row>
    <row r="149" spans="11:11" ht="18.75" customHeight="1" x14ac:dyDescent="0.25">
      <c r="K149" s="312"/>
    </row>
    <row r="150" spans="11:11" ht="18.75" customHeight="1" x14ac:dyDescent="0.25">
      <c r="K150" s="312"/>
    </row>
    <row r="151" spans="11:11" ht="18.75" customHeight="1" x14ac:dyDescent="0.25">
      <c r="K151" s="312"/>
    </row>
    <row r="152" spans="11:11" ht="18.75" customHeight="1" x14ac:dyDescent="0.25">
      <c r="K152" s="312"/>
    </row>
    <row r="153" spans="11:11" ht="18.75" customHeight="1" x14ac:dyDescent="0.25">
      <c r="K153" s="312"/>
    </row>
    <row r="154" spans="11:11" ht="18.75" customHeight="1" x14ac:dyDescent="0.25">
      <c r="K154" s="312"/>
    </row>
    <row r="155" spans="11:11" ht="18.75" customHeight="1" x14ac:dyDescent="0.25">
      <c r="K155" s="312"/>
    </row>
    <row r="156" spans="11:11" ht="18.75" customHeight="1" x14ac:dyDescent="0.25">
      <c r="K156" s="312"/>
    </row>
    <row r="157" spans="11:11" ht="18.75" customHeight="1" x14ac:dyDescent="0.25">
      <c r="K157" s="312"/>
    </row>
    <row r="158" spans="11:11" ht="18.75" customHeight="1" x14ac:dyDescent="0.25">
      <c r="K158" s="312"/>
    </row>
    <row r="159" spans="11:11" ht="18.75" customHeight="1" x14ac:dyDescent="0.25">
      <c r="K159" s="312"/>
    </row>
    <row r="160" spans="11:11" ht="18.75" customHeight="1" x14ac:dyDescent="0.25">
      <c r="K160" s="312"/>
    </row>
    <row r="161" spans="11:11" ht="18.75" customHeight="1" x14ac:dyDescent="0.25">
      <c r="K161" s="312"/>
    </row>
    <row r="162" spans="11:11" ht="18.75" customHeight="1" x14ac:dyDescent="0.25">
      <c r="K162" s="312"/>
    </row>
    <row r="163" spans="11:11" ht="18.75" customHeight="1" x14ac:dyDescent="0.25">
      <c r="K163" s="312"/>
    </row>
    <row r="164" spans="11:11" ht="18.75" customHeight="1" x14ac:dyDescent="0.25">
      <c r="K164" s="312"/>
    </row>
    <row r="165" spans="11:11" ht="18.75" customHeight="1" x14ac:dyDescent="0.25">
      <c r="K165" s="312"/>
    </row>
    <row r="166" spans="11:11" ht="18.75" customHeight="1" x14ac:dyDescent="0.25">
      <c r="K166" s="312"/>
    </row>
    <row r="167" spans="11:11" ht="18.75" customHeight="1" x14ac:dyDescent="0.25">
      <c r="K167" s="312"/>
    </row>
    <row r="168" spans="11:11" ht="18.75" customHeight="1" x14ac:dyDescent="0.25">
      <c r="K168" s="312"/>
    </row>
    <row r="169" spans="11:11" ht="18.75" customHeight="1" x14ac:dyDescent="0.25">
      <c r="K169" s="312"/>
    </row>
    <row r="170" spans="11:11" ht="18.75" customHeight="1" x14ac:dyDescent="0.25">
      <c r="K170" s="312"/>
    </row>
    <row r="171" spans="11:11" ht="18.75" customHeight="1" x14ac:dyDescent="0.25">
      <c r="K171" s="312"/>
    </row>
    <row r="172" spans="11:11" ht="18.75" customHeight="1" x14ac:dyDescent="0.25">
      <c r="K172" s="312"/>
    </row>
    <row r="173" spans="11:11" ht="18.75" customHeight="1" x14ac:dyDescent="0.25">
      <c r="K173" s="312"/>
    </row>
    <row r="174" spans="11:11" ht="18.75" customHeight="1" x14ac:dyDescent="0.25">
      <c r="K174" s="312"/>
    </row>
    <row r="175" spans="11:11" ht="18.75" customHeight="1" x14ac:dyDescent="0.25">
      <c r="K175" s="312"/>
    </row>
    <row r="176" spans="11:11" ht="18.75" customHeight="1" x14ac:dyDescent="0.25">
      <c r="K176" s="312"/>
    </row>
    <row r="177" spans="11:11" ht="18.75" customHeight="1" x14ac:dyDescent="0.25">
      <c r="K177" s="312"/>
    </row>
    <row r="178" spans="11:11" ht="18.75" customHeight="1" x14ac:dyDescent="0.25">
      <c r="K178" s="312"/>
    </row>
    <row r="179" spans="11:11" ht="18.75" customHeight="1" x14ac:dyDescent="0.25">
      <c r="K179" s="312"/>
    </row>
    <row r="180" spans="11:11" ht="18.75" customHeight="1" x14ac:dyDescent="0.25">
      <c r="K180" s="312"/>
    </row>
    <row r="181" spans="11:11" ht="18.75" customHeight="1" x14ac:dyDescent="0.25">
      <c r="K181" s="312"/>
    </row>
    <row r="182" spans="11:11" ht="18.75" customHeight="1" x14ac:dyDescent="0.25">
      <c r="K182" s="312"/>
    </row>
    <row r="183" spans="11:11" ht="18.75" customHeight="1" x14ac:dyDescent="0.25">
      <c r="K183" s="312"/>
    </row>
    <row r="184" spans="11:11" ht="18.75" customHeight="1" x14ac:dyDescent="0.25">
      <c r="K184" s="312"/>
    </row>
    <row r="185" spans="11:11" ht="18.75" customHeight="1" x14ac:dyDescent="0.25">
      <c r="K185" s="312"/>
    </row>
    <row r="186" spans="11:11" ht="18.75" customHeight="1" x14ac:dyDescent="0.25">
      <c r="K186" s="312"/>
    </row>
    <row r="187" spans="11:11" ht="18.75" customHeight="1" x14ac:dyDescent="0.25">
      <c r="K187" s="312"/>
    </row>
    <row r="188" spans="11:11" ht="18.75" customHeight="1" x14ac:dyDescent="0.25">
      <c r="K188" s="312"/>
    </row>
    <row r="189" spans="11:11" ht="18.75" customHeight="1" x14ac:dyDescent="0.25">
      <c r="K189" s="312"/>
    </row>
    <row r="190" spans="11:11" ht="18.75" customHeight="1" x14ac:dyDescent="0.25">
      <c r="K190" s="312"/>
    </row>
    <row r="191" spans="11:11" ht="18.75" customHeight="1" x14ac:dyDescent="0.25">
      <c r="K191" s="312"/>
    </row>
    <row r="192" spans="11:11" ht="18.75" customHeight="1" x14ac:dyDescent="0.25">
      <c r="K192" s="312"/>
    </row>
    <row r="193" spans="11:11" ht="18.75" customHeight="1" x14ac:dyDescent="0.25">
      <c r="K193" s="312"/>
    </row>
    <row r="194" spans="11:11" ht="18.75" customHeight="1" x14ac:dyDescent="0.25">
      <c r="K194" s="312"/>
    </row>
    <row r="195" spans="11:11" ht="18.75" customHeight="1" x14ac:dyDescent="0.25">
      <c r="K195" s="312"/>
    </row>
    <row r="196" spans="11:11" ht="18.75" customHeight="1" x14ac:dyDescent="0.25">
      <c r="K196" s="312"/>
    </row>
    <row r="197" spans="11:11" ht="18.75" customHeight="1" x14ac:dyDescent="0.25">
      <c r="K197" s="312"/>
    </row>
    <row r="198" spans="11:11" ht="18.75" customHeight="1" x14ac:dyDescent="0.25">
      <c r="K198" s="312"/>
    </row>
    <row r="199" spans="11:11" ht="18.75" customHeight="1" x14ac:dyDescent="0.25">
      <c r="K199" s="312"/>
    </row>
    <row r="200" spans="11:11" ht="18.75" customHeight="1" x14ac:dyDescent="0.25">
      <c r="K200" s="312"/>
    </row>
    <row r="201" spans="11:11" ht="18.75" customHeight="1" x14ac:dyDescent="0.25">
      <c r="K201" s="312"/>
    </row>
    <row r="202" spans="11:11" ht="18.75" customHeight="1" x14ac:dyDescent="0.25">
      <c r="K202" s="312"/>
    </row>
    <row r="203" spans="11:11" ht="18.75" customHeight="1" x14ac:dyDescent="0.25">
      <c r="K203" s="312"/>
    </row>
    <row r="204" spans="11:11" ht="18.75" customHeight="1" x14ac:dyDescent="0.25">
      <c r="K204" s="312"/>
    </row>
    <row r="205" spans="11:11" ht="18.75" customHeight="1" x14ac:dyDescent="0.25">
      <c r="K205" s="312"/>
    </row>
    <row r="206" spans="11:11" ht="18.75" customHeight="1" x14ac:dyDescent="0.25">
      <c r="K206" s="312"/>
    </row>
    <row r="207" spans="11:11" ht="18.75" customHeight="1" x14ac:dyDescent="0.25">
      <c r="K207" s="312"/>
    </row>
    <row r="208" spans="11:11" ht="18.75" customHeight="1" x14ac:dyDescent="0.25">
      <c r="K208" s="312"/>
    </row>
    <row r="209" spans="11:11" ht="18.75" customHeight="1" x14ac:dyDescent="0.25">
      <c r="K209" s="312"/>
    </row>
    <row r="210" spans="11:11" ht="18.75" customHeight="1" x14ac:dyDescent="0.25">
      <c r="K210" s="312"/>
    </row>
    <row r="211" spans="11:11" ht="18.75" customHeight="1" x14ac:dyDescent="0.25">
      <c r="K211" s="312"/>
    </row>
    <row r="212" spans="11:11" ht="18.75" customHeight="1" x14ac:dyDescent="0.25">
      <c r="K212" s="312"/>
    </row>
    <row r="213" spans="11:11" ht="18.75" customHeight="1" x14ac:dyDescent="0.25">
      <c r="K213" s="312"/>
    </row>
    <row r="214" spans="11:11" ht="18.75" customHeight="1" x14ac:dyDescent="0.25">
      <c r="K214" s="312"/>
    </row>
    <row r="215" spans="11:11" ht="18.75" customHeight="1" x14ac:dyDescent="0.25">
      <c r="K215" s="312"/>
    </row>
    <row r="216" spans="11:11" ht="18.75" customHeight="1" x14ac:dyDescent="0.25">
      <c r="K216" s="312"/>
    </row>
    <row r="217" spans="11:11" ht="18.75" customHeight="1" x14ac:dyDescent="0.25">
      <c r="K217" s="312"/>
    </row>
    <row r="218" spans="11:11" ht="18.75" customHeight="1" x14ac:dyDescent="0.25">
      <c r="K218" s="312"/>
    </row>
    <row r="219" spans="11:11" ht="18.75" customHeight="1" x14ac:dyDescent="0.25">
      <c r="K219" s="312"/>
    </row>
    <row r="220" spans="11:11" ht="18.75" customHeight="1" x14ac:dyDescent="0.25">
      <c r="K220" s="312"/>
    </row>
    <row r="221" spans="11:11" ht="18.75" customHeight="1" x14ac:dyDescent="0.25">
      <c r="K221" s="312"/>
    </row>
    <row r="222" spans="11:11" ht="18.75" customHeight="1" x14ac:dyDescent="0.25">
      <c r="K222" s="312"/>
    </row>
    <row r="223" spans="11:11" ht="18.75" customHeight="1" x14ac:dyDescent="0.25">
      <c r="K223" s="312"/>
    </row>
    <row r="224" spans="11:11" ht="18.75" customHeight="1" x14ac:dyDescent="0.25">
      <c r="K224" s="312"/>
    </row>
    <row r="225" spans="11:11" ht="18.75" customHeight="1" x14ac:dyDescent="0.25">
      <c r="K225" s="312"/>
    </row>
    <row r="226" spans="11:11" ht="18.75" customHeight="1" x14ac:dyDescent="0.25">
      <c r="K226" s="312"/>
    </row>
    <row r="227" spans="11:11" ht="18.75" customHeight="1" x14ac:dyDescent="0.25">
      <c r="K227" s="312"/>
    </row>
    <row r="228" spans="11:11" ht="18.75" customHeight="1" x14ac:dyDescent="0.25">
      <c r="K228" s="312"/>
    </row>
    <row r="229" spans="11:11" ht="18.75" customHeight="1" x14ac:dyDescent="0.25">
      <c r="K229" s="312"/>
    </row>
    <row r="230" spans="11:11" ht="18.75" customHeight="1" x14ac:dyDescent="0.25">
      <c r="K230" s="312"/>
    </row>
    <row r="231" spans="11:11" ht="18.75" customHeight="1" x14ac:dyDescent="0.25">
      <c r="K231" s="312"/>
    </row>
    <row r="232" spans="11:11" ht="18.75" customHeight="1" x14ac:dyDescent="0.25">
      <c r="K232" s="312"/>
    </row>
    <row r="233" spans="11:11" ht="18.75" customHeight="1" x14ac:dyDescent="0.25">
      <c r="K233" s="312"/>
    </row>
    <row r="234" spans="11:11" ht="18.75" customHeight="1" x14ac:dyDescent="0.25">
      <c r="K234" s="312"/>
    </row>
    <row r="235" spans="11:11" ht="18.75" customHeight="1" x14ac:dyDescent="0.25">
      <c r="K235" s="312"/>
    </row>
    <row r="236" spans="11:11" ht="18.75" customHeight="1" x14ac:dyDescent="0.25">
      <c r="K236" s="312"/>
    </row>
    <row r="237" spans="11:11" ht="18.75" customHeight="1" x14ac:dyDescent="0.25">
      <c r="K237" s="312"/>
    </row>
    <row r="238" spans="11:11" ht="18.75" customHeight="1" x14ac:dyDescent="0.25">
      <c r="K238" s="312"/>
    </row>
    <row r="239" spans="11:11" ht="18.75" customHeight="1" x14ac:dyDescent="0.25">
      <c r="K239" s="312"/>
    </row>
    <row r="240" spans="11:11" ht="18.75" customHeight="1" x14ac:dyDescent="0.25">
      <c r="K240" s="312"/>
    </row>
    <row r="241" spans="11:11" ht="18.75" customHeight="1" x14ac:dyDescent="0.25">
      <c r="K241" s="312"/>
    </row>
    <row r="242" spans="11:11" ht="18.75" customHeight="1" x14ac:dyDescent="0.25">
      <c r="K242" s="312"/>
    </row>
    <row r="243" spans="11:11" ht="18.75" customHeight="1" x14ac:dyDescent="0.25">
      <c r="K243" s="312"/>
    </row>
    <row r="244" spans="11:11" ht="18.75" customHeight="1" x14ac:dyDescent="0.25">
      <c r="K244" s="312"/>
    </row>
    <row r="245" spans="11:11" ht="18.75" customHeight="1" x14ac:dyDescent="0.25">
      <c r="K245" s="312"/>
    </row>
    <row r="246" spans="11:11" ht="18.75" customHeight="1" x14ac:dyDescent="0.25">
      <c r="K246" s="312"/>
    </row>
    <row r="247" spans="11:11" ht="18.75" customHeight="1" x14ac:dyDescent="0.25">
      <c r="K247" s="312"/>
    </row>
    <row r="248" spans="11:11" ht="18.75" customHeight="1" x14ac:dyDescent="0.25">
      <c r="K248" s="312"/>
    </row>
    <row r="249" spans="11:11" ht="18.75" customHeight="1" x14ac:dyDescent="0.25">
      <c r="K249" s="312"/>
    </row>
    <row r="250" spans="11:11" ht="18.75" customHeight="1" x14ac:dyDescent="0.25">
      <c r="K250" s="312"/>
    </row>
    <row r="251" spans="11:11" ht="18.75" customHeight="1" x14ac:dyDescent="0.25">
      <c r="K251" s="312"/>
    </row>
    <row r="252" spans="11:11" ht="18.75" customHeight="1" x14ac:dyDescent="0.25">
      <c r="K252" s="312"/>
    </row>
    <row r="253" spans="11:11" ht="18.75" customHeight="1" x14ac:dyDescent="0.25">
      <c r="K253" s="312"/>
    </row>
    <row r="254" spans="11:11" ht="18.75" customHeight="1" x14ac:dyDescent="0.25">
      <c r="K254" s="312"/>
    </row>
    <row r="255" spans="11:11" ht="18.75" customHeight="1" x14ac:dyDescent="0.25">
      <c r="K255" s="312"/>
    </row>
    <row r="256" spans="11:11" ht="18.75" customHeight="1" x14ac:dyDescent="0.25">
      <c r="K256" s="312"/>
    </row>
    <row r="257" spans="11:11" ht="18.75" customHeight="1" x14ac:dyDescent="0.25">
      <c r="K257" s="312"/>
    </row>
    <row r="258" spans="11:11" ht="18.75" customHeight="1" x14ac:dyDescent="0.25">
      <c r="K258" s="312"/>
    </row>
    <row r="259" spans="11:11" ht="18.75" customHeight="1" x14ac:dyDescent="0.25">
      <c r="K259" s="312"/>
    </row>
    <row r="260" spans="11:11" ht="18.75" customHeight="1" x14ac:dyDescent="0.25">
      <c r="K260" s="312"/>
    </row>
    <row r="261" spans="11:11" ht="18.75" customHeight="1" x14ac:dyDescent="0.25">
      <c r="K261" s="312"/>
    </row>
    <row r="262" spans="11:11" ht="18.75" customHeight="1" x14ac:dyDescent="0.25">
      <c r="K262" s="312"/>
    </row>
    <row r="263" spans="11:11" ht="18.75" customHeight="1" x14ac:dyDescent="0.25">
      <c r="K263" s="312"/>
    </row>
    <row r="264" spans="11:11" ht="18.75" customHeight="1" x14ac:dyDescent="0.25">
      <c r="K264" s="312"/>
    </row>
    <row r="265" spans="11:11" ht="18.75" customHeight="1" x14ac:dyDescent="0.25">
      <c r="K265" s="312"/>
    </row>
    <row r="266" spans="11:11" ht="18.75" customHeight="1" x14ac:dyDescent="0.25">
      <c r="K266" s="312"/>
    </row>
    <row r="267" spans="11:11" ht="18.75" customHeight="1" x14ac:dyDescent="0.25">
      <c r="K267" s="312"/>
    </row>
    <row r="268" spans="11:11" ht="18.75" customHeight="1" x14ac:dyDescent="0.25">
      <c r="K268" s="312"/>
    </row>
    <row r="269" spans="11:11" ht="18.75" customHeight="1" x14ac:dyDescent="0.25">
      <c r="K269" s="312"/>
    </row>
    <row r="270" spans="11:11" ht="18.75" customHeight="1" x14ac:dyDescent="0.25">
      <c r="K270" s="312"/>
    </row>
    <row r="271" spans="11:11" ht="18.75" customHeight="1" x14ac:dyDescent="0.25">
      <c r="K271" s="312"/>
    </row>
    <row r="272" spans="11:11" ht="18.75" customHeight="1" x14ac:dyDescent="0.25">
      <c r="K272" s="312"/>
    </row>
    <row r="273" spans="11:11" ht="18.75" customHeight="1" x14ac:dyDescent="0.25">
      <c r="K273" s="312"/>
    </row>
    <row r="274" spans="11:11" ht="18.75" customHeight="1" x14ac:dyDescent="0.25">
      <c r="K274" s="312"/>
    </row>
    <row r="275" spans="11:11" ht="18.75" customHeight="1" x14ac:dyDescent="0.25">
      <c r="K275" s="312"/>
    </row>
    <row r="276" spans="11:11" ht="18.75" customHeight="1" x14ac:dyDescent="0.25">
      <c r="K276" s="312"/>
    </row>
    <row r="277" spans="11:11" ht="18.75" customHeight="1" x14ac:dyDescent="0.25">
      <c r="K277" s="312"/>
    </row>
    <row r="278" spans="11:11" ht="18.75" customHeight="1" x14ac:dyDescent="0.25">
      <c r="K278" s="312"/>
    </row>
    <row r="279" spans="11:11" ht="18.75" customHeight="1" x14ac:dyDescent="0.25">
      <c r="K279" s="312"/>
    </row>
    <row r="280" spans="11:11" ht="18.75" customHeight="1" x14ac:dyDescent="0.25">
      <c r="K280" s="312"/>
    </row>
    <row r="281" spans="11:11" ht="18.75" customHeight="1" x14ac:dyDescent="0.25">
      <c r="K281" s="312"/>
    </row>
    <row r="282" spans="11:11" ht="18.75" customHeight="1" x14ac:dyDescent="0.25">
      <c r="K282" s="312"/>
    </row>
    <row r="283" spans="11:11" ht="18.75" customHeight="1" x14ac:dyDescent="0.25">
      <c r="K283" s="312"/>
    </row>
    <row r="284" spans="11:11" ht="18.75" customHeight="1" x14ac:dyDescent="0.25">
      <c r="K284" s="312"/>
    </row>
    <row r="285" spans="11:11" ht="18.75" customHeight="1" x14ac:dyDescent="0.25">
      <c r="K285" s="312"/>
    </row>
    <row r="286" spans="11:11" ht="18.75" customHeight="1" x14ac:dyDescent="0.25">
      <c r="K286" s="312"/>
    </row>
    <row r="287" spans="11:11" ht="18.75" customHeight="1" x14ac:dyDescent="0.25">
      <c r="K287" s="312"/>
    </row>
    <row r="288" spans="11:11" ht="18.75" customHeight="1" x14ac:dyDescent="0.25">
      <c r="K288" s="312"/>
    </row>
    <row r="289" spans="11:11" ht="18.75" customHeight="1" x14ac:dyDescent="0.25">
      <c r="K289" s="312"/>
    </row>
    <row r="290" spans="11:11" ht="18.75" customHeight="1" x14ac:dyDescent="0.25">
      <c r="K290" s="312"/>
    </row>
    <row r="291" spans="11:11" ht="18.75" customHeight="1" x14ac:dyDescent="0.25">
      <c r="K291" s="312"/>
    </row>
    <row r="292" spans="11:11" ht="18.75" customHeight="1" x14ac:dyDescent="0.25">
      <c r="K292" s="312"/>
    </row>
    <row r="293" spans="11:11" ht="18.75" customHeight="1" x14ac:dyDescent="0.25">
      <c r="K293" s="312"/>
    </row>
    <row r="294" spans="11:11" ht="18.75" customHeight="1" x14ac:dyDescent="0.25">
      <c r="K294" s="312"/>
    </row>
    <row r="295" spans="11:11" ht="18.75" customHeight="1" x14ac:dyDescent="0.25">
      <c r="K295" s="312"/>
    </row>
    <row r="296" spans="11:11" ht="18.75" customHeight="1" x14ac:dyDescent="0.25">
      <c r="K296" s="312"/>
    </row>
    <row r="297" spans="11:11" ht="18.75" customHeight="1" x14ac:dyDescent="0.25">
      <c r="K297" s="312"/>
    </row>
    <row r="298" spans="11:11" ht="18.75" customHeight="1" x14ac:dyDescent="0.25">
      <c r="K298" s="312"/>
    </row>
    <row r="299" spans="11:11" ht="18.75" customHeight="1" x14ac:dyDescent="0.25">
      <c r="K299" s="312"/>
    </row>
    <row r="300" spans="11:11" ht="18.75" customHeight="1" x14ac:dyDescent="0.25">
      <c r="K300" s="312"/>
    </row>
    <row r="301" spans="11:11" ht="18.75" customHeight="1" x14ac:dyDescent="0.25">
      <c r="K301" s="312"/>
    </row>
    <row r="302" spans="11:11" ht="18.75" customHeight="1" x14ac:dyDescent="0.25">
      <c r="K302" s="312"/>
    </row>
    <row r="303" spans="11:11" ht="18.75" customHeight="1" x14ac:dyDescent="0.25">
      <c r="K303" s="312"/>
    </row>
    <row r="304" spans="11:11" ht="18.75" customHeight="1" x14ac:dyDescent="0.25">
      <c r="K304" s="312"/>
    </row>
    <row r="305" spans="11:11" ht="18.75" customHeight="1" x14ac:dyDescent="0.25">
      <c r="K305" s="312"/>
    </row>
    <row r="306" spans="11:11" ht="18.75" customHeight="1" x14ac:dyDescent="0.25">
      <c r="K306" s="312"/>
    </row>
    <row r="307" spans="11:11" ht="18.75" customHeight="1" x14ac:dyDescent="0.25">
      <c r="K307" s="312"/>
    </row>
    <row r="308" spans="11:11" ht="18.75" customHeight="1" x14ac:dyDescent="0.25">
      <c r="K308" s="312"/>
    </row>
    <row r="309" spans="11:11" ht="18.75" customHeight="1" x14ac:dyDescent="0.25">
      <c r="K309" s="312"/>
    </row>
    <row r="310" spans="11:11" ht="18.75" customHeight="1" x14ac:dyDescent="0.25">
      <c r="K310" s="312"/>
    </row>
    <row r="311" spans="11:11" ht="18.75" customHeight="1" x14ac:dyDescent="0.25">
      <c r="K311" s="312"/>
    </row>
    <row r="312" spans="11:11" ht="18.75" customHeight="1" x14ac:dyDescent="0.25">
      <c r="K312" s="312"/>
    </row>
    <row r="313" spans="11:11" ht="18.75" customHeight="1" x14ac:dyDescent="0.25">
      <c r="K313" s="312"/>
    </row>
    <row r="314" spans="11:11" ht="18.75" customHeight="1" x14ac:dyDescent="0.25">
      <c r="K314" s="312"/>
    </row>
    <row r="315" spans="11:11" ht="18.75" customHeight="1" x14ac:dyDescent="0.25">
      <c r="K315" s="312"/>
    </row>
    <row r="316" spans="11:11" ht="18.75" customHeight="1" x14ac:dyDescent="0.25">
      <c r="K316" s="312"/>
    </row>
    <row r="317" spans="11:11" ht="18.75" customHeight="1" x14ac:dyDescent="0.25">
      <c r="K317" s="312"/>
    </row>
    <row r="318" spans="11:11" ht="18.75" customHeight="1" x14ac:dyDescent="0.25">
      <c r="K318" s="312"/>
    </row>
    <row r="319" spans="11:11" ht="18.75" customHeight="1" x14ac:dyDescent="0.25">
      <c r="K319" s="312"/>
    </row>
    <row r="320" spans="11:11" ht="18.75" customHeight="1" x14ac:dyDescent="0.25">
      <c r="K320" s="312"/>
    </row>
    <row r="321" spans="11:11" ht="18.75" customHeight="1" x14ac:dyDescent="0.25">
      <c r="K321" s="312"/>
    </row>
    <row r="322" spans="11:11" ht="18.75" customHeight="1" x14ac:dyDescent="0.25">
      <c r="K322" s="312"/>
    </row>
    <row r="323" spans="11:11" ht="18.75" customHeight="1" x14ac:dyDescent="0.25">
      <c r="K323" s="312"/>
    </row>
    <row r="324" spans="11:11" ht="18.75" customHeight="1" x14ac:dyDescent="0.25">
      <c r="K324" s="312"/>
    </row>
    <row r="325" spans="11:11" ht="18.75" customHeight="1" x14ac:dyDescent="0.25">
      <c r="K325" s="312"/>
    </row>
    <row r="326" spans="11:11" ht="18.75" customHeight="1" x14ac:dyDescent="0.25">
      <c r="K326" s="312"/>
    </row>
    <row r="327" spans="11:11" ht="18.75" customHeight="1" x14ac:dyDescent="0.25">
      <c r="K327" s="312"/>
    </row>
    <row r="328" spans="11:11" ht="18.75" customHeight="1" x14ac:dyDescent="0.25">
      <c r="K328" s="312"/>
    </row>
    <row r="329" spans="11:11" ht="18.75" customHeight="1" x14ac:dyDescent="0.25">
      <c r="K329" s="312"/>
    </row>
    <row r="330" spans="11:11" ht="18.75" customHeight="1" x14ac:dyDescent="0.25">
      <c r="K330" s="312"/>
    </row>
    <row r="331" spans="11:11" ht="18.75" customHeight="1" x14ac:dyDescent="0.25">
      <c r="K331" s="312"/>
    </row>
    <row r="332" spans="11:11" ht="18.75" customHeight="1" x14ac:dyDescent="0.25">
      <c r="K332" s="312"/>
    </row>
    <row r="333" spans="11:11" ht="18.75" customHeight="1" x14ac:dyDescent="0.25">
      <c r="K333" s="312"/>
    </row>
    <row r="334" spans="11:11" ht="18.75" customHeight="1" x14ac:dyDescent="0.25">
      <c r="K334" s="312"/>
    </row>
    <row r="335" spans="11:11" ht="18.75" customHeight="1" x14ac:dyDescent="0.25">
      <c r="K335" s="312"/>
    </row>
    <row r="336" spans="11:11" ht="18.75" customHeight="1" x14ac:dyDescent="0.25">
      <c r="K336" s="312"/>
    </row>
    <row r="337" spans="11:11" ht="18.75" customHeight="1" x14ac:dyDescent="0.25">
      <c r="K337" s="312"/>
    </row>
    <row r="338" spans="11:11" ht="18.75" customHeight="1" x14ac:dyDescent="0.25">
      <c r="K338" s="312"/>
    </row>
    <row r="339" spans="11:11" ht="18.75" customHeight="1" x14ac:dyDescent="0.25">
      <c r="K339" s="312"/>
    </row>
    <row r="340" spans="11:11" ht="18.75" customHeight="1" x14ac:dyDescent="0.25">
      <c r="K340" s="312"/>
    </row>
    <row r="341" spans="11:11" ht="18.75" customHeight="1" x14ac:dyDescent="0.25">
      <c r="K341" s="312"/>
    </row>
    <row r="342" spans="11:11" ht="18.75" customHeight="1" x14ac:dyDescent="0.25">
      <c r="K342" s="312"/>
    </row>
    <row r="343" spans="11:11" ht="18.75" customHeight="1" x14ac:dyDescent="0.25">
      <c r="K343" s="312"/>
    </row>
    <row r="344" spans="11:11" ht="18.75" customHeight="1" x14ac:dyDescent="0.25">
      <c r="K344" s="312"/>
    </row>
    <row r="345" spans="11:11" ht="18.75" customHeight="1" x14ac:dyDescent="0.25">
      <c r="K345" s="312"/>
    </row>
    <row r="346" spans="11:11" ht="18.75" customHeight="1" x14ac:dyDescent="0.25">
      <c r="K346" s="312"/>
    </row>
    <row r="347" spans="11:11" ht="18.75" customHeight="1" x14ac:dyDescent="0.25">
      <c r="K347" s="312"/>
    </row>
    <row r="348" spans="11:11" ht="18.75" customHeight="1" x14ac:dyDescent="0.25">
      <c r="K348" s="312"/>
    </row>
    <row r="349" spans="11:11" ht="18.75" customHeight="1" x14ac:dyDescent="0.25">
      <c r="K349" s="312"/>
    </row>
    <row r="350" spans="11:11" ht="18.75" customHeight="1" x14ac:dyDescent="0.25">
      <c r="K350" s="312"/>
    </row>
    <row r="351" spans="11:11" ht="18.75" customHeight="1" x14ac:dyDescent="0.25">
      <c r="K351" s="312"/>
    </row>
    <row r="352" spans="11:11" ht="18.75" customHeight="1" x14ac:dyDescent="0.25">
      <c r="K352" s="312"/>
    </row>
    <row r="353" spans="11:11" ht="18.75" customHeight="1" x14ac:dyDescent="0.25">
      <c r="K353" s="312"/>
    </row>
    <row r="354" spans="11:11" ht="18.75" customHeight="1" x14ac:dyDescent="0.25">
      <c r="K354" s="312"/>
    </row>
    <row r="355" spans="11:11" ht="18.75" customHeight="1" x14ac:dyDescent="0.25">
      <c r="K355" s="312"/>
    </row>
    <row r="356" spans="11:11" ht="18.75" customHeight="1" x14ac:dyDescent="0.25">
      <c r="K356" s="312"/>
    </row>
    <row r="357" spans="11:11" ht="18.75" customHeight="1" x14ac:dyDescent="0.25">
      <c r="K357" s="312"/>
    </row>
    <row r="358" spans="11:11" ht="18.75" customHeight="1" x14ac:dyDescent="0.25">
      <c r="K358" s="312"/>
    </row>
    <row r="359" spans="11:11" ht="18.75" customHeight="1" x14ac:dyDescent="0.25">
      <c r="K359" s="312"/>
    </row>
    <row r="360" spans="11:11" ht="18.75" customHeight="1" x14ac:dyDescent="0.25">
      <c r="K360" s="312"/>
    </row>
    <row r="361" spans="11:11" ht="18.75" customHeight="1" x14ac:dyDescent="0.25">
      <c r="K361" s="312"/>
    </row>
    <row r="362" spans="11:11" ht="18.75" customHeight="1" x14ac:dyDescent="0.25">
      <c r="K362" s="312"/>
    </row>
    <row r="363" spans="11:11" ht="18.75" customHeight="1" x14ac:dyDescent="0.25">
      <c r="K363" s="312"/>
    </row>
    <row r="364" spans="11:11" ht="18.75" customHeight="1" x14ac:dyDescent="0.25">
      <c r="K364" s="312"/>
    </row>
    <row r="365" spans="11:11" ht="18.75" customHeight="1" x14ac:dyDescent="0.25">
      <c r="K365" s="312"/>
    </row>
    <row r="366" spans="11:11" ht="18.75" customHeight="1" x14ac:dyDescent="0.25">
      <c r="K366" s="312"/>
    </row>
    <row r="367" spans="11:11" ht="18.75" customHeight="1" x14ac:dyDescent="0.25">
      <c r="K367" s="312"/>
    </row>
    <row r="368" spans="11:11" ht="18.75" customHeight="1" x14ac:dyDescent="0.25">
      <c r="K368" s="312"/>
    </row>
    <row r="369" spans="11:11" ht="18.75" customHeight="1" x14ac:dyDescent="0.25">
      <c r="K369" s="312"/>
    </row>
    <row r="370" spans="11:11" ht="18.75" customHeight="1" x14ac:dyDescent="0.25">
      <c r="K370" s="312"/>
    </row>
    <row r="371" spans="11:11" ht="18.75" customHeight="1" x14ac:dyDescent="0.25">
      <c r="K371" s="312"/>
    </row>
    <row r="372" spans="11:11" ht="18.75" customHeight="1" x14ac:dyDescent="0.25">
      <c r="K372" s="312"/>
    </row>
    <row r="373" spans="11:11" ht="18.75" customHeight="1" x14ac:dyDescent="0.25">
      <c r="K373" s="312"/>
    </row>
    <row r="374" spans="11:11" ht="18.75" customHeight="1" x14ac:dyDescent="0.25">
      <c r="K374" s="312"/>
    </row>
    <row r="375" spans="11:11" ht="18.75" customHeight="1" x14ac:dyDescent="0.25">
      <c r="K375" s="312"/>
    </row>
    <row r="376" spans="11:11" ht="18.75" customHeight="1" x14ac:dyDescent="0.25">
      <c r="K376" s="312"/>
    </row>
    <row r="377" spans="11:11" ht="18.75" customHeight="1" x14ac:dyDescent="0.25">
      <c r="K377" s="312"/>
    </row>
    <row r="378" spans="11:11" ht="18.75" customHeight="1" x14ac:dyDescent="0.25">
      <c r="K378" s="312"/>
    </row>
    <row r="379" spans="11:11" ht="18.75" customHeight="1" x14ac:dyDescent="0.25">
      <c r="K379" s="312"/>
    </row>
    <row r="380" spans="11:11" ht="18.75" customHeight="1" x14ac:dyDescent="0.25">
      <c r="K380" s="312"/>
    </row>
    <row r="381" spans="11:11" ht="18.75" customHeight="1" x14ac:dyDescent="0.25">
      <c r="K381" s="312"/>
    </row>
    <row r="382" spans="11:11" ht="18.75" customHeight="1" x14ac:dyDescent="0.25">
      <c r="K382" s="312"/>
    </row>
    <row r="383" spans="11:11" ht="18.75" customHeight="1" x14ac:dyDescent="0.25">
      <c r="K383" s="312"/>
    </row>
    <row r="384" spans="11:11" ht="18.75" customHeight="1" x14ac:dyDescent="0.25">
      <c r="K384" s="312"/>
    </row>
    <row r="385" spans="11:11" ht="18.75" customHeight="1" x14ac:dyDescent="0.25">
      <c r="K385" s="312"/>
    </row>
    <row r="386" spans="11:11" ht="18.75" customHeight="1" x14ac:dyDescent="0.25">
      <c r="K386" s="312"/>
    </row>
    <row r="387" spans="11:11" ht="18.75" customHeight="1" x14ac:dyDescent="0.25">
      <c r="K387" s="312"/>
    </row>
    <row r="388" spans="11:11" ht="18.75" customHeight="1" x14ac:dyDescent="0.25">
      <c r="K388" s="312"/>
    </row>
    <row r="389" spans="11:11" ht="18.75" customHeight="1" x14ac:dyDescent="0.25">
      <c r="K389" s="312"/>
    </row>
    <row r="390" spans="11:11" ht="18.75" customHeight="1" x14ac:dyDescent="0.25">
      <c r="K390" s="312"/>
    </row>
    <row r="391" spans="11:11" ht="18.75" customHeight="1" x14ac:dyDescent="0.25">
      <c r="K391" s="312"/>
    </row>
    <row r="392" spans="11:11" ht="18.75" customHeight="1" x14ac:dyDescent="0.25">
      <c r="K392" s="312"/>
    </row>
    <row r="393" spans="11:11" ht="18.75" customHeight="1" x14ac:dyDescent="0.25">
      <c r="K393" s="312"/>
    </row>
    <row r="394" spans="11:11" ht="18.75" customHeight="1" x14ac:dyDescent="0.25">
      <c r="K394" s="312"/>
    </row>
    <row r="395" spans="11:11" ht="18.75" customHeight="1" x14ac:dyDescent="0.25">
      <c r="K395" s="312"/>
    </row>
    <row r="396" spans="11:11" ht="18.75" customHeight="1" x14ac:dyDescent="0.25">
      <c r="K396" s="312"/>
    </row>
    <row r="397" spans="11:11" ht="18.75" customHeight="1" x14ac:dyDescent="0.25">
      <c r="K397" s="312"/>
    </row>
    <row r="398" spans="11:11" ht="18.75" customHeight="1" x14ac:dyDescent="0.25">
      <c r="K398" s="312"/>
    </row>
    <row r="399" spans="11:11" ht="18.75" customHeight="1" x14ac:dyDescent="0.25">
      <c r="K399" s="312"/>
    </row>
    <row r="400" spans="11:11" ht="18.75" customHeight="1" x14ac:dyDescent="0.25">
      <c r="K400" s="312"/>
    </row>
    <row r="401" spans="11:11" ht="18.75" customHeight="1" x14ac:dyDescent="0.25">
      <c r="K401" s="312"/>
    </row>
    <row r="402" spans="11:11" ht="18.75" customHeight="1" x14ac:dyDescent="0.25">
      <c r="K402" s="312"/>
    </row>
    <row r="403" spans="11:11" ht="18.75" customHeight="1" x14ac:dyDescent="0.25">
      <c r="K403" s="312"/>
    </row>
    <row r="404" spans="11:11" ht="18.75" customHeight="1" x14ac:dyDescent="0.25">
      <c r="K404" s="312"/>
    </row>
    <row r="405" spans="11:11" ht="18.75" customHeight="1" x14ac:dyDescent="0.25">
      <c r="K405" s="312"/>
    </row>
    <row r="406" spans="11:11" ht="18.75" customHeight="1" x14ac:dyDescent="0.25">
      <c r="K406" s="312"/>
    </row>
    <row r="407" spans="11:11" ht="18.75" customHeight="1" x14ac:dyDescent="0.25">
      <c r="K407" s="312"/>
    </row>
    <row r="408" spans="11:11" ht="18.75" customHeight="1" x14ac:dyDescent="0.25">
      <c r="K408" s="312"/>
    </row>
    <row r="409" spans="11:11" ht="18.75" customHeight="1" x14ac:dyDescent="0.25">
      <c r="K409" s="312"/>
    </row>
    <row r="410" spans="11:11" ht="18.75" customHeight="1" x14ac:dyDescent="0.25">
      <c r="K410" s="312"/>
    </row>
    <row r="411" spans="11:11" ht="18.75" customHeight="1" x14ac:dyDescent="0.25">
      <c r="K411" s="312"/>
    </row>
    <row r="412" spans="11:11" ht="18.75" customHeight="1" x14ac:dyDescent="0.25">
      <c r="K412" s="312"/>
    </row>
    <row r="413" spans="11:11" ht="18.75" customHeight="1" x14ac:dyDescent="0.25">
      <c r="K413" s="312"/>
    </row>
    <row r="414" spans="11:11" ht="18.75" customHeight="1" x14ac:dyDescent="0.25">
      <c r="K414" s="312"/>
    </row>
    <row r="415" spans="11:11" ht="18.75" customHeight="1" x14ac:dyDescent="0.25">
      <c r="K415" s="312"/>
    </row>
    <row r="416" spans="11:11" ht="18.75" customHeight="1" x14ac:dyDescent="0.25">
      <c r="K416" s="312"/>
    </row>
    <row r="417" spans="11:11" ht="18.75" customHeight="1" x14ac:dyDescent="0.25">
      <c r="K417" s="312"/>
    </row>
    <row r="418" spans="11:11" ht="18.75" customHeight="1" x14ac:dyDescent="0.25">
      <c r="K418" s="312"/>
    </row>
    <row r="419" spans="11:11" ht="18.75" customHeight="1" x14ac:dyDescent="0.25">
      <c r="K419" s="312"/>
    </row>
    <row r="420" spans="11:11" ht="18.75" customHeight="1" x14ac:dyDescent="0.25">
      <c r="K420" s="312"/>
    </row>
    <row r="421" spans="11:11" ht="18.75" customHeight="1" x14ac:dyDescent="0.25">
      <c r="K421" s="312"/>
    </row>
    <row r="422" spans="11:11" ht="18.75" customHeight="1" x14ac:dyDescent="0.25">
      <c r="K422" s="312"/>
    </row>
    <row r="423" spans="11:11" ht="18.75" customHeight="1" x14ac:dyDescent="0.25">
      <c r="K423" s="312"/>
    </row>
    <row r="424" spans="11:11" ht="18.75" customHeight="1" x14ac:dyDescent="0.25">
      <c r="K424" s="312"/>
    </row>
    <row r="425" spans="11:11" ht="18.75" customHeight="1" x14ac:dyDescent="0.25">
      <c r="K425" s="312"/>
    </row>
    <row r="426" spans="11:11" ht="18.75" customHeight="1" x14ac:dyDescent="0.25">
      <c r="K426" s="312"/>
    </row>
    <row r="427" spans="11:11" ht="18.75" customHeight="1" x14ac:dyDescent="0.25">
      <c r="K427" s="312"/>
    </row>
    <row r="428" spans="11:11" ht="18.75" customHeight="1" x14ac:dyDescent="0.25">
      <c r="K428" s="312"/>
    </row>
    <row r="429" spans="11:11" ht="18.75" customHeight="1" x14ac:dyDescent="0.25">
      <c r="K429" s="312"/>
    </row>
    <row r="430" spans="11:11" ht="18.75" customHeight="1" x14ac:dyDescent="0.25">
      <c r="K430" s="312"/>
    </row>
    <row r="431" spans="11:11" ht="18.75" customHeight="1" x14ac:dyDescent="0.25">
      <c r="K431" s="312"/>
    </row>
    <row r="432" spans="11:11" ht="18.75" customHeight="1" x14ac:dyDescent="0.25">
      <c r="K432" s="312"/>
    </row>
    <row r="433" spans="11:11" ht="18.75" customHeight="1" x14ac:dyDescent="0.25">
      <c r="K433" s="312"/>
    </row>
    <row r="434" spans="11:11" ht="18.75" customHeight="1" x14ac:dyDescent="0.25">
      <c r="K434" s="312"/>
    </row>
    <row r="435" spans="11:11" ht="18.75" customHeight="1" x14ac:dyDescent="0.25">
      <c r="K435" s="312"/>
    </row>
    <row r="436" spans="11:11" ht="18.75" customHeight="1" x14ac:dyDescent="0.25">
      <c r="K436" s="312"/>
    </row>
    <row r="437" spans="11:11" ht="18.75" customHeight="1" x14ac:dyDescent="0.25">
      <c r="K437" s="312"/>
    </row>
    <row r="438" spans="11:11" ht="18.75" customHeight="1" x14ac:dyDescent="0.25">
      <c r="K438" s="312"/>
    </row>
    <row r="439" spans="11:11" ht="18.75" customHeight="1" x14ac:dyDescent="0.25">
      <c r="K439" s="312"/>
    </row>
    <row r="440" spans="11:11" ht="18.75" customHeight="1" x14ac:dyDescent="0.25">
      <c r="K440" s="312"/>
    </row>
    <row r="441" spans="11:11" ht="18.75" customHeight="1" x14ac:dyDescent="0.25">
      <c r="K441" s="312"/>
    </row>
    <row r="442" spans="11:11" ht="18.75" customHeight="1" x14ac:dyDescent="0.25">
      <c r="K442" s="312"/>
    </row>
    <row r="443" spans="11:11" ht="18.75" customHeight="1" x14ac:dyDescent="0.25">
      <c r="K443" s="312"/>
    </row>
    <row r="444" spans="11:11" ht="18.75" customHeight="1" x14ac:dyDescent="0.25">
      <c r="K444" s="312"/>
    </row>
    <row r="445" spans="11:11" ht="18.75" customHeight="1" x14ac:dyDescent="0.25">
      <c r="K445" s="312"/>
    </row>
    <row r="446" spans="11:11" ht="18.75" customHeight="1" x14ac:dyDescent="0.25">
      <c r="K446" s="312"/>
    </row>
    <row r="447" spans="11:11" ht="18.75" customHeight="1" x14ac:dyDescent="0.25">
      <c r="K447" s="312"/>
    </row>
    <row r="448" spans="11:11" ht="18.75" customHeight="1" x14ac:dyDescent="0.25">
      <c r="K448" s="312"/>
    </row>
    <row r="449" spans="11:11" ht="18.75" customHeight="1" x14ac:dyDescent="0.25">
      <c r="K449" s="312"/>
    </row>
    <row r="450" spans="11:11" ht="18.75" customHeight="1" x14ac:dyDescent="0.25">
      <c r="K450" s="312"/>
    </row>
    <row r="451" spans="11:11" ht="18.75" customHeight="1" x14ac:dyDescent="0.25">
      <c r="K451" s="312"/>
    </row>
    <row r="452" spans="11:11" ht="18.75" customHeight="1" x14ac:dyDescent="0.25">
      <c r="K452" s="312"/>
    </row>
    <row r="453" spans="11:11" ht="18.75" customHeight="1" x14ac:dyDescent="0.25">
      <c r="K453" s="312"/>
    </row>
    <row r="454" spans="11:11" ht="18.75" customHeight="1" x14ac:dyDescent="0.25">
      <c r="K454" s="312"/>
    </row>
    <row r="455" spans="11:11" ht="18.75" customHeight="1" x14ac:dyDescent="0.25">
      <c r="K455" s="312"/>
    </row>
    <row r="456" spans="11:11" ht="18.75" customHeight="1" x14ac:dyDescent="0.25">
      <c r="K456" s="312"/>
    </row>
    <row r="457" spans="11:11" ht="18.75" customHeight="1" x14ac:dyDescent="0.25">
      <c r="K457" s="312"/>
    </row>
    <row r="458" spans="11:11" ht="18.75" customHeight="1" x14ac:dyDescent="0.25">
      <c r="K458" s="312"/>
    </row>
    <row r="459" spans="11:11" ht="18.75" customHeight="1" x14ac:dyDescent="0.25">
      <c r="K459" s="312"/>
    </row>
    <row r="460" spans="11:11" ht="18.75" customHeight="1" x14ac:dyDescent="0.25">
      <c r="K460" s="312"/>
    </row>
    <row r="461" spans="11:11" ht="18.75" customHeight="1" x14ac:dyDescent="0.25">
      <c r="K461" s="312"/>
    </row>
    <row r="462" spans="11:11" ht="18.75" customHeight="1" x14ac:dyDescent="0.25">
      <c r="K462" s="312"/>
    </row>
    <row r="463" spans="11:11" ht="18.75" customHeight="1" x14ac:dyDescent="0.25">
      <c r="K463" s="312"/>
    </row>
    <row r="464" spans="11:11" ht="18.75" customHeight="1" x14ac:dyDescent="0.25">
      <c r="K464" s="312"/>
    </row>
    <row r="465" spans="11:11" ht="18.75" customHeight="1" x14ac:dyDescent="0.25">
      <c r="K465" s="312"/>
    </row>
    <row r="466" spans="11:11" ht="18.75" customHeight="1" x14ac:dyDescent="0.25">
      <c r="K466" s="312"/>
    </row>
    <row r="467" spans="11:11" ht="18.75" customHeight="1" x14ac:dyDescent="0.25">
      <c r="K467" s="312"/>
    </row>
    <row r="468" spans="11:11" ht="18.75" customHeight="1" x14ac:dyDescent="0.25">
      <c r="K468" s="312"/>
    </row>
    <row r="469" spans="11:11" ht="18.75" customHeight="1" x14ac:dyDescent="0.25">
      <c r="K469" s="312"/>
    </row>
    <row r="470" spans="11:11" ht="18.75" customHeight="1" x14ac:dyDescent="0.25">
      <c r="K470" s="312"/>
    </row>
    <row r="471" spans="11:11" ht="18.75" customHeight="1" x14ac:dyDescent="0.25">
      <c r="K471" s="312"/>
    </row>
    <row r="472" spans="11:11" ht="18.75" customHeight="1" x14ac:dyDescent="0.25">
      <c r="K472" s="312"/>
    </row>
    <row r="473" spans="11:11" ht="18.75" customHeight="1" x14ac:dyDescent="0.25">
      <c r="K473" s="312"/>
    </row>
    <row r="474" spans="11:11" ht="18.75" customHeight="1" x14ac:dyDescent="0.25">
      <c r="K474" s="312"/>
    </row>
    <row r="475" spans="11:11" ht="18.75" customHeight="1" x14ac:dyDescent="0.25">
      <c r="K475" s="312"/>
    </row>
    <row r="476" spans="11:11" ht="18.75" customHeight="1" x14ac:dyDescent="0.25">
      <c r="K476" s="312"/>
    </row>
    <row r="477" spans="11:11" ht="18.75" customHeight="1" x14ac:dyDescent="0.25">
      <c r="K477" s="312"/>
    </row>
    <row r="478" spans="11:11" ht="18.75" customHeight="1" x14ac:dyDescent="0.25">
      <c r="K478" s="312"/>
    </row>
    <row r="479" spans="11:11" ht="18.75" customHeight="1" x14ac:dyDescent="0.25">
      <c r="K479" s="312"/>
    </row>
    <row r="480" spans="11:11" ht="18.75" customHeight="1" x14ac:dyDescent="0.25">
      <c r="K480" s="312"/>
    </row>
    <row r="481" spans="11:11" ht="18.75" customHeight="1" x14ac:dyDescent="0.25">
      <c r="K481" s="312"/>
    </row>
    <row r="482" spans="11:11" ht="18.75" customHeight="1" x14ac:dyDescent="0.25">
      <c r="K482" s="312"/>
    </row>
    <row r="483" spans="11:11" ht="18.75" customHeight="1" x14ac:dyDescent="0.25">
      <c r="K483" s="312"/>
    </row>
    <row r="484" spans="11:11" ht="18.75" customHeight="1" x14ac:dyDescent="0.25">
      <c r="K484" s="312"/>
    </row>
    <row r="485" spans="11:11" ht="18.75" customHeight="1" x14ac:dyDescent="0.25">
      <c r="K485" s="312"/>
    </row>
    <row r="486" spans="11:11" ht="18.75" customHeight="1" x14ac:dyDescent="0.25">
      <c r="K486" s="312"/>
    </row>
    <row r="487" spans="11:11" ht="18.75" customHeight="1" x14ac:dyDescent="0.25">
      <c r="K487" s="312"/>
    </row>
    <row r="488" spans="11:11" ht="18.75" customHeight="1" x14ac:dyDescent="0.25">
      <c r="K488" s="312"/>
    </row>
    <row r="489" spans="11:11" ht="18.75" customHeight="1" x14ac:dyDescent="0.25">
      <c r="K489" s="312"/>
    </row>
    <row r="490" spans="11:11" ht="18.75" customHeight="1" x14ac:dyDescent="0.25">
      <c r="K490" s="312"/>
    </row>
    <row r="491" spans="11:11" ht="18.75" customHeight="1" x14ac:dyDescent="0.25">
      <c r="K491" s="312"/>
    </row>
    <row r="492" spans="11:11" ht="18.75" customHeight="1" x14ac:dyDescent="0.25">
      <c r="K492" s="312"/>
    </row>
    <row r="493" spans="11:11" ht="18.75" customHeight="1" x14ac:dyDescent="0.25">
      <c r="K493" s="312"/>
    </row>
    <row r="494" spans="11:11" ht="18.75" customHeight="1" x14ac:dyDescent="0.25">
      <c r="K494" s="312"/>
    </row>
    <row r="495" spans="11:11" ht="18.75" customHeight="1" x14ac:dyDescent="0.25">
      <c r="K495" s="312"/>
    </row>
    <row r="496" spans="11:11" ht="18.75" customHeight="1" x14ac:dyDescent="0.25">
      <c r="K496" s="312"/>
    </row>
    <row r="497" spans="11:11" ht="18.75" customHeight="1" x14ac:dyDescent="0.25">
      <c r="K497" s="312"/>
    </row>
    <row r="498" spans="11:11" ht="18.75" customHeight="1" x14ac:dyDescent="0.25">
      <c r="K498" s="312"/>
    </row>
    <row r="499" spans="11:11" ht="18.75" customHeight="1" x14ac:dyDescent="0.25">
      <c r="K499" s="312"/>
    </row>
    <row r="500" spans="11:11" ht="18.75" customHeight="1" x14ac:dyDescent="0.25">
      <c r="K500" s="312"/>
    </row>
    <row r="501" spans="11:11" ht="18.75" customHeight="1" x14ac:dyDescent="0.25">
      <c r="K501" s="312"/>
    </row>
    <row r="502" spans="11:11" ht="18.75" customHeight="1" x14ac:dyDescent="0.25">
      <c r="K502" s="312"/>
    </row>
    <row r="503" spans="11:11" ht="18.75" customHeight="1" x14ac:dyDescent="0.25">
      <c r="K503" s="312"/>
    </row>
    <row r="504" spans="11:11" ht="18.75" customHeight="1" x14ac:dyDescent="0.25">
      <c r="K504" s="312"/>
    </row>
    <row r="505" spans="11:11" ht="18.75" customHeight="1" x14ac:dyDescent="0.25">
      <c r="K505" s="312"/>
    </row>
    <row r="506" spans="11:11" ht="18.75" customHeight="1" x14ac:dyDescent="0.25">
      <c r="K506" s="312"/>
    </row>
    <row r="507" spans="11:11" ht="18.75" customHeight="1" x14ac:dyDescent="0.25">
      <c r="K507" s="312"/>
    </row>
    <row r="508" spans="11:11" ht="18.75" customHeight="1" x14ac:dyDescent="0.25">
      <c r="K508" s="312"/>
    </row>
    <row r="509" spans="11:11" ht="18.75" customHeight="1" x14ac:dyDescent="0.25">
      <c r="K509" s="312"/>
    </row>
    <row r="510" spans="11:11" ht="18.75" customHeight="1" x14ac:dyDescent="0.25">
      <c r="K510" s="312"/>
    </row>
    <row r="511" spans="11:11" ht="18.75" customHeight="1" x14ac:dyDescent="0.25">
      <c r="K511" s="312"/>
    </row>
    <row r="512" spans="11:11" ht="18.75" customHeight="1" x14ac:dyDescent="0.25">
      <c r="K512" s="312"/>
    </row>
    <row r="513" spans="11:11" ht="18.75" customHeight="1" x14ac:dyDescent="0.25">
      <c r="K513" s="312"/>
    </row>
    <row r="514" spans="11:11" ht="18.75" customHeight="1" x14ac:dyDescent="0.25">
      <c r="K514" s="312"/>
    </row>
    <row r="515" spans="11:11" ht="18.75" customHeight="1" x14ac:dyDescent="0.25">
      <c r="K515" s="312"/>
    </row>
    <row r="516" spans="11:11" ht="18.75" customHeight="1" x14ac:dyDescent="0.25">
      <c r="K516" s="312"/>
    </row>
    <row r="517" spans="11:11" ht="18.75" customHeight="1" x14ac:dyDescent="0.25">
      <c r="K517" s="312"/>
    </row>
    <row r="518" spans="11:11" ht="18.75" customHeight="1" x14ac:dyDescent="0.25">
      <c r="K518" s="312"/>
    </row>
    <row r="519" spans="11:11" ht="18.75" customHeight="1" x14ac:dyDescent="0.25">
      <c r="K519" s="312"/>
    </row>
    <row r="520" spans="11:11" ht="18.75" customHeight="1" x14ac:dyDescent="0.25">
      <c r="K520" s="312"/>
    </row>
    <row r="521" spans="11:11" ht="18.75" customHeight="1" x14ac:dyDescent="0.25">
      <c r="K521" s="312"/>
    </row>
    <row r="522" spans="11:11" ht="18.75" customHeight="1" x14ac:dyDescent="0.25">
      <c r="K522" s="312"/>
    </row>
    <row r="523" spans="11:11" ht="18.75" customHeight="1" x14ac:dyDescent="0.25">
      <c r="K523" s="312"/>
    </row>
    <row r="524" spans="11:11" ht="18.75" customHeight="1" x14ac:dyDescent="0.25">
      <c r="K524" s="312"/>
    </row>
    <row r="525" spans="11:11" ht="18.75" customHeight="1" x14ac:dyDescent="0.25">
      <c r="K525" s="312"/>
    </row>
    <row r="526" spans="11:11" ht="18.75" customHeight="1" x14ac:dyDescent="0.25">
      <c r="K526" s="312"/>
    </row>
    <row r="527" spans="11:11" ht="18.75" customHeight="1" x14ac:dyDescent="0.25">
      <c r="K527" s="312"/>
    </row>
    <row r="528" spans="11:11" ht="18.75" customHeight="1" x14ac:dyDescent="0.25">
      <c r="K528" s="312"/>
    </row>
    <row r="529" spans="11:11" ht="18.75" customHeight="1" x14ac:dyDescent="0.25">
      <c r="K529" s="312"/>
    </row>
    <row r="530" spans="11:11" ht="18.75" customHeight="1" x14ac:dyDescent="0.25">
      <c r="K530" s="312"/>
    </row>
    <row r="531" spans="11:11" ht="18.75" customHeight="1" x14ac:dyDescent="0.25">
      <c r="K531" s="312"/>
    </row>
    <row r="532" spans="11:11" ht="18.75" customHeight="1" x14ac:dyDescent="0.25">
      <c r="K532" s="312"/>
    </row>
    <row r="533" spans="11:11" ht="18.75" customHeight="1" x14ac:dyDescent="0.25">
      <c r="K533" s="312"/>
    </row>
    <row r="534" spans="11:11" ht="18.75" customHeight="1" x14ac:dyDescent="0.25">
      <c r="K534" s="312"/>
    </row>
    <row r="535" spans="11:11" ht="18.75" customHeight="1" x14ac:dyDescent="0.25">
      <c r="K535" s="312"/>
    </row>
    <row r="536" spans="11:11" ht="18.75" customHeight="1" x14ac:dyDescent="0.25">
      <c r="K536" s="312"/>
    </row>
    <row r="537" spans="11:11" ht="18.75" customHeight="1" x14ac:dyDescent="0.25">
      <c r="K537" s="312"/>
    </row>
    <row r="538" spans="11:11" ht="18.75" customHeight="1" x14ac:dyDescent="0.25">
      <c r="K538" s="312"/>
    </row>
    <row r="539" spans="11:11" ht="18.75" customHeight="1" x14ac:dyDescent="0.25">
      <c r="K539" s="312"/>
    </row>
    <row r="540" spans="11:11" ht="18.75" customHeight="1" x14ac:dyDescent="0.25">
      <c r="K540" s="312"/>
    </row>
    <row r="541" spans="11:11" ht="18.75" customHeight="1" x14ac:dyDescent="0.25">
      <c r="K541" s="312"/>
    </row>
    <row r="542" spans="11:11" ht="18.75" customHeight="1" x14ac:dyDescent="0.25">
      <c r="K542" s="312"/>
    </row>
    <row r="543" spans="11:11" ht="18.75" customHeight="1" x14ac:dyDescent="0.25">
      <c r="K543" s="312"/>
    </row>
    <row r="544" spans="11:11" ht="18.75" customHeight="1" x14ac:dyDescent="0.25">
      <c r="K544" s="312"/>
    </row>
    <row r="545" spans="11:11" ht="18.75" customHeight="1" x14ac:dyDescent="0.25">
      <c r="K545" s="312"/>
    </row>
    <row r="546" spans="11:11" ht="18.75" customHeight="1" x14ac:dyDescent="0.25">
      <c r="K546" s="312"/>
    </row>
    <row r="547" spans="11:11" ht="18.75" customHeight="1" x14ac:dyDescent="0.25">
      <c r="K547" s="312"/>
    </row>
    <row r="548" spans="11:11" ht="18.75" customHeight="1" x14ac:dyDescent="0.25">
      <c r="K548" s="312"/>
    </row>
    <row r="549" spans="11:11" ht="18.75" customHeight="1" x14ac:dyDescent="0.25">
      <c r="K549" s="312"/>
    </row>
    <row r="550" spans="11:11" ht="18.75" customHeight="1" x14ac:dyDescent="0.25">
      <c r="K550" s="312"/>
    </row>
    <row r="551" spans="11:11" ht="18.75" customHeight="1" x14ac:dyDescent="0.25">
      <c r="K551" s="312"/>
    </row>
    <row r="552" spans="11:11" ht="18.75" customHeight="1" x14ac:dyDescent="0.25">
      <c r="K552" s="312"/>
    </row>
    <row r="553" spans="11:11" ht="18.75" customHeight="1" x14ac:dyDescent="0.25">
      <c r="K553" s="312"/>
    </row>
    <row r="554" spans="11:11" ht="18.75" customHeight="1" x14ac:dyDescent="0.25">
      <c r="K554" s="312"/>
    </row>
    <row r="555" spans="11:11" ht="18.75" customHeight="1" x14ac:dyDescent="0.25">
      <c r="K555" s="312"/>
    </row>
    <row r="556" spans="11:11" ht="18.75" customHeight="1" x14ac:dyDescent="0.25">
      <c r="K556" s="312"/>
    </row>
    <row r="557" spans="11:11" ht="18.75" customHeight="1" x14ac:dyDescent="0.25">
      <c r="K557" s="312"/>
    </row>
    <row r="558" spans="11:11" ht="18.75" customHeight="1" x14ac:dyDescent="0.25">
      <c r="K558" s="312"/>
    </row>
    <row r="559" spans="11:11" ht="18.75" customHeight="1" x14ac:dyDescent="0.25">
      <c r="K559" s="312"/>
    </row>
    <row r="560" spans="11:11" ht="18.75" customHeight="1" x14ac:dyDescent="0.25">
      <c r="K560" s="312"/>
    </row>
    <row r="561" spans="11:11" ht="18.75" customHeight="1" x14ac:dyDescent="0.25">
      <c r="K561" s="312"/>
    </row>
    <row r="562" spans="11:11" ht="18.75" customHeight="1" x14ac:dyDescent="0.25">
      <c r="K562" s="312"/>
    </row>
    <row r="563" spans="11:11" ht="18.75" customHeight="1" x14ac:dyDescent="0.25">
      <c r="K563" s="312"/>
    </row>
    <row r="564" spans="11:11" ht="18.75" customHeight="1" x14ac:dyDescent="0.25">
      <c r="K564" s="312"/>
    </row>
    <row r="565" spans="11:11" ht="18.75" customHeight="1" x14ac:dyDescent="0.25">
      <c r="K565" s="312"/>
    </row>
    <row r="566" spans="11:11" ht="18.75" customHeight="1" x14ac:dyDescent="0.25">
      <c r="K566" s="312"/>
    </row>
    <row r="567" spans="11:11" ht="18.75" customHeight="1" x14ac:dyDescent="0.25">
      <c r="K567" s="312"/>
    </row>
    <row r="568" spans="11:11" ht="18.75" customHeight="1" x14ac:dyDescent="0.25">
      <c r="K568" s="312"/>
    </row>
    <row r="569" spans="11:11" ht="18.75" customHeight="1" x14ac:dyDescent="0.25">
      <c r="K569" s="312"/>
    </row>
    <row r="570" spans="11:11" ht="18.75" customHeight="1" x14ac:dyDescent="0.25">
      <c r="K570" s="312"/>
    </row>
    <row r="571" spans="11:11" ht="18.75" customHeight="1" x14ac:dyDescent="0.25">
      <c r="K571" s="312"/>
    </row>
    <row r="572" spans="11:11" ht="18.75" customHeight="1" x14ac:dyDescent="0.25">
      <c r="K572" s="312"/>
    </row>
    <row r="573" spans="11:11" ht="18.75" customHeight="1" x14ac:dyDescent="0.25">
      <c r="K573" s="312"/>
    </row>
    <row r="574" spans="11:11" ht="18.75" customHeight="1" x14ac:dyDescent="0.25">
      <c r="K574" s="312"/>
    </row>
    <row r="575" spans="11:11" ht="18.75" customHeight="1" x14ac:dyDescent="0.25">
      <c r="K575" s="312"/>
    </row>
    <row r="576" spans="11:11" ht="18.75" customHeight="1" x14ac:dyDescent="0.25">
      <c r="K576" s="312"/>
    </row>
    <row r="577" spans="11:11" ht="18.75" customHeight="1" x14ac:dyDescent="0.25">
      <c r="K577" s="312"/>
    </row>
    <row r="578" spans="11:11" ht="18.75" customHeight="1" x14ac:dyDescent="0.25">
      <c r="K578" s="312"/>
    </row>
    <row r="579" spans="11:11" ht="18.75" customHeight="1" x14ac:dyDescent="0.25">
      <c r="K579" s="312"/>
    </row>
    <row r="580" spans="11:11" ht="18.75" customHeight="1" x14ac:dyDescent="0.25">
      <c r="K580" s="312"/>
    </row>
    <row r="581" spans="11:11" ht="18.75" customHeight="1" x14ac:dyDescent="0.25">
      <c r="K581" s="312"/>
    </row>
    <row r="582" spans="11:11" ht="18.75" customHeight="1" x14ac:dyDescent="0.25">
      <c r="K582" s="312"/>
    </row>
    <row r="583" spans="11:11" ht="18.75" customHeight="1" x14ac:dyDescent="0.25">
      <c r="K583" s="312"/>
    </row>
    <row r="584" spans="11:11" ht="18.75" customHeight="1" x14ac:dyDescent="0.25">
      <c r="K584" s="312"/>
    </row>
    <row r="585" spans="11:11" ht="18.75" customHeight="1" x14ac:dyDescent="0.25">
      <c r="K585" s="312"/>
    </row>
    <row r="586" spans="11:11" ht="18.75" customHeight="1" x14ac:dyDescent="0.25">
      <c r="K586" s="312"/>
    </row>
    <row r="587" spans="11:11" ht="18.75" customHeight="1" x14ac:dyDescent="0.25">
      <c r="K587" s="312"/>
    </row>
    <row r="588" spans="11:11" ht="18.75" customHeight="1" x14ac:dyDescent="0.25">
      <c r="K588" s="312"/>
    </row>
    <row r="589" spans="11:11" ht="18.75" customHeight="1" x14ac:dyDescent="0.25">
      <c r="K589" s="312"/>
    </row>
    <row r="590" spans="11:11" ht="18.75" customHeight="1" x14ac:dyDescent="0.25">
      <c r="K590" s="312"/>
    </row>
    <row r="591" spans="11:11" ht="18.75" customHeight="1" x14ac:dyDescent="0.25">
      <c r="K591" s="312"/>
    </row>
    <row r="592" spans="11:11" ht="18.75" customHeight="1" x14ac:dyDescent="0.25">
      <c r="K592" s="312"/>
    </row>
    <row r="593" spans="11:11" ht="18.75" customHeight="1" x14ac:dyDescent="0.25">
      <c r="K593" s="312"/>
    </row>
    <row r="594" spans="11:11" ht="18.75" customHeight="1" x14ac:dyDescent="0.25">
      <c r="K594" s="312"/>
    </row>
    <row r="595" spans="11:11" ht="18.75" customHeight="1" x14ac:dyDescent="0.25">
      <c r="K595" s="312"/>
    </row>
    <row r="596" spans="11:11" ht="18.75" customHeight="1" x14ac:dyDescent="0.25">
      <c r="K596" s="312"/>
    </row>
    <row r="597" spans="11:11" ht="18.75" customHeight="1" x14ac:dyDescent="0.25">
      <c r="K597" s="312"/>
    </row>
    <row r="598" spans="11:11" ht="18.75" customHeight="1" x14ac:dyDescent="0.25">
      <c r="K598" s="312"/>
    </row>
    <row r="599" spans="11:11" ht="18.75" customHeight="1" x14ac:dyDescent="0.25">
      <c r="K599" s="312"/>
    </row>
    <row r="600" spans="11:11" ht="18.75" customHeight="1" x14ac:dyDescent="0.25">
      <c r="K600" s="312"/>
    </row>
    <row r="601" spans="11:11" ht="18.75" customHeight="1" x14ac:dyDescent="0.25">
      <c r="K601" s="312"/>
    </row>
    <row r="602" spans="11:11" ht="18.75" customHeight="1" x14ac:dyDescent="0.25">
      <c r="K602" s="312"/>
    </row>
    <row r="603" spans="11:11" ht="18.75" customHeight="1" x14ac:dyDescent="0.25">
      <c r="K603" s="312"/>
    </row>
    <row r="604" spans="11:11" ht="18.75" customHeight="1" x14ac:dyDescent="0.25">
      <c r="K604" s="312"/>
    </row>
    <row r="605" spans="11:11" ht="18.75" customHeight="1" x14ac:dyDescent="0.25">
      <c r="K605" s="312"/>
    </row>
    <row r="606" spans="11:11" ht="18.75" customHeight="1" x14ac:dyDescent="0.25">
      <c r="K606" s="312"/>
    </row>
    <row r="607" spans="11:11" ht="18.75" customHeight="1" x14ac:dyDescent="0.25">
      <c r="K607" s="312"/>
    </row>
    <row r="608" spans="11:11" ht="18.75" customHeight="1" x14ac:dyDescent="0.25">
      <c r="K608" s="312"/>
    </row>
    <row r="609" spans="11:11" ht="18.75" customHeight="1" x14ac:dyDescent="0.25">
      <c r="K609" s="312"/>
    </row>
    <row r="610" spans="11:11" ht="18.75" customHeight="1" x14ac:dyDescent="0.25">
      <c r="K610" s="312"/>
    </row>
    <row r="611" spans="11:11" ht="18.75" customHeight="1" x14ac:dyDescent="0.25">
      <c r="K611" s="312"/>
    </row>
    <row r="612" spans="11:11" ht="18.75" customHeight="1" x14ac:dyDescent="0.25">
      <c r="K612" s="312"/>
    </row>
    <row r="613" spans="11:11" ht="18.75" customHeight="1" x14ac:dyDescent="0.25">
      <c r="K613" s="312"/>
    </row>
    <row r="614" spans="11:11" ht="18.75" customHeight="1" x14ac:dyDescent="0.25">
      <c r="K614" s="312"/>
    </row>
    <row r="615" spans="11:11" ht="18.75" customHeight="1" x14ac:dyDescent="0.25">
      <c r="K615" s="312"/>
    </row>
    <row r="616" spans="11:11" ht="18.75" customHeight="1" x14ac:dyDescent="0.25">
      <c r="K616" s="312"/>
    </row>
    <row r="617" spans="11:11" ht="18.75" customHeight="1" x14ac:dyDescent="0.25">
      <c r="K617" s="312"/>
    </row>
    <row r="618" spans="11:11" ht="18.75" customHeight="1" x14ac:dyDescent="0.25">
      <c r="K618" s="312"/>
    </row>
    <row r="619" spans="11:11" ht="18.75" customHeight="1" x14ac:dyDescent="0.25">
      <c r="K619" s="312"/>
    </row>
    <row r="620" spans="11:11" ht="18.75" customHeight="1" x14ac:dyDescent="0.25">
      <c r="K620" s="312"/>
    </row>
    <row r="621" spans="11:11" ht="18.75" customHeight="1" x14ac:dyDescent="0.25">
      <c r="K621" s="312"/>
    </row>
    <row r="622" spans="11:11" ht="18.75" customHeight="1" x14ac:dyDescent="0.25">
      <c r="K622" s="312"/>
    </row>
    <row r="623" spans="11:11" ht="18.75" customHeight="1" x14ac:dyDescent="0.25">
      <c r="K623" s="312"/>
    </row>
    <row r="624" spans="11:11" ht="18.75" customHeight="1" x14ac:dyDescent="0.25">
      <c r="K624" s="312"/>
    </row>
    <row r="625" spans="11:11" ht="18.75" customHeight="1" x14ac:dyDescent="0.25">
      <c r="K625" s="312"/>
    </row>
    <row r="626" spans="11:11" ht="18.75" customHeight="1" x14ac:dyDescent="0.25">
      <c r="K626" s="312"/>
    </row>
    <row r="627" spans="11:11" ht="18.75" customHeight="1" x14ac:dyDescent="0.25">
      <c r="K627" s="312"/>
    </row>
    <row r="628" spans="11:11" ht="18.75" customHeight="1" x14ac:dyDescent="0.25">
      <c r="K628" s="312"/>
    </row>
    <row r="629" spans="11:11" ht="18.75" customHeight="1" x14ac:dyDescent="0.25">
      <c r="K629" s="312"/>
    </row>
    <row r="630" spans="11:11" ht="18.75" customHeight="1" x14ac:dyDescent="0.25">
      <c r="K630" s="312"/>
    </row>
    <row r="631" spans="11:11" ht="18.75" customHeight="1" x14ac:dyDescent="0.25">
      <c r="K631" s="312"/>
    </row>
    <row r="632" spans="11:11" ht="18.75" customHeight="1" x14ac:dyDescent="0.25">
      <c r="K632" s="312"/>
    </row>
    <row r="633" spans="11:11" ht="18.75" customHeight="1" x14ac:dyDescent="0.25">
      <c r="K633" s="312"/>
    </row>
    <row r="634" spans="11:11" ht="18.75" customHeight="1" x14ac:dyDescent="0.25">
      <c r="K634" s="312"/>
    </row>
    <row r="635" spans="11:11" ht="18.75" customHeight="1" x14ac:dyDescent="0.25">
      <c r="K635" s="312"/>
    </row>
    <row r="636" spans="11:11" ht="18.75" customHeight="1" x14ac:dyDescent="0.25">
      <c r="K636" s="312"/>
    </row>
    <row r="637" spans="11:11" ht="18.75" customHeight="1" x14ac:dyDescent="0.25">
      <c r="K637" s="312"/>
    </row>
    <row r="638" spans="11:11" ht="18.75" customHeight="1" x14ac:dyDescent="0.25">
      <c r="K638" s="312"/>
    </row>
    <row r="639" spans="11:11" ht="18.75" customHeight="1" x14ac:dyDescent="0.25">
      <c r="K639" s="312"/>
    </row>
    <row r="640" spans="11:11" ht="18.75" customHeight="1" x14ac:dyDescent="0.25">
      <c r="K640" s="312"/>
    </row>
    <row r="641" spans="11:11" ht="18.75" customHeight="1" x14ac:dyDescent="0.25">
      <c r="K641" s="312"/>
    </row>
    <row r="642" spans="11:11" ht="18.75" customHeight="1" x14ac:dyDescent="0.25">
      <c r="K642" s="312"/>
    </row>
    <row r="643" spans="11:11" ht="18.75" customHeight="1" x14ac:dyDescent="0.25">
      <c r="K643" s="312"/>
    </row>
    <row r="644" spans="11:11" ht="18.75" customHeight="1" x14ac:dyDescent="0.25">
      <c r="K644" s="312"/>
    </row>
    <row r="645" spans="11:11" ht="18.75" customHeight="1" x14ac:dyDescent="0.25">
      <c r="K645" s="312"/>
    </row>
    <row r="646" spans="11:11" ht="18.75" customHeight="1" x14ac:dyDescent="0.25">
      <c r="K646" s="312"/>
    </row>
    <row r="647" spans="11:11" ht="18.75" customHeight="1" x14ac:dyDescent="0.25">
      <c r="K647" s="312"/>
    </row>
    <row r="648" spans="11:11" ht="18.75" customHeight="1" x14ac:dyDescent="0.25">
      <c r="K648" s="312"/>
    </row>
    <row r="649" spans="11:11" ht="18.75" customHeight="1" x14ac:dyDescent="0.25">
      <c r="K649" s="312"/>
    </row>
    <row r="650" spans="11:11" ht="18.75" customHeight="1" x14ac:dyDescent="0.25">
      <c r="K650" s="312"/>
    </row>
    <row r="651" spans="11:11" ht="18.75" customHeight="1" x14ac:dyDescent="0.25">
      <c r="K651" s="312"/>
    </row>
    <row r="652" spans="11:11" ht="18.75" customHeight="1" x14ac:dyDescent="0.25">
      <c r="K652" s="312"/>
    </row>
    <row r="653" spans="11:11" ht="18.75" customHeight="1" x14ac:dyDescent="0.25">
      <c r="K653" s="312"/>
    </row>
    <row r="654" spans="11:11" ht="18.75" customHeight="1" x14ac:dyDescent="0.25">
      <c r="K654" s="312"/>
    </row>
    <row r="655" spans="11:11" ht="18.75" customHeight="1" x14ac:dyDescent="0.25">
      <c r="K655" s="312"/>
    </row>
    <row r="656" spans="11:11" ht="18.75" customHeight="1" x14ac:dyDescent="0.25">
      <c r="K656" s="312"/>
    </row>
    <row r="657" spans="11:11" ht="18.75" customHeight="1" x14ac:dyDescent="0.25">
      <c r="K657" s="312"/>
    </row>
    <row r="658" spans="11:11" ht="18.75" customHeight="1" x14ac:dyDescent="0.25">
      <c r="K658" s="312"/>
    </row>
    <row r="659" spans="11:11" ht="18.75" customHeight="1" x14ac:dyDescent="0.25">
      <c r="K659" s="312"/>
    </row>
    <row r="660" spans="11:11" ht="18.75" customHeight="1" x14ac:dyDescent="0.25">
      <c r="K660" s="312"/>
    </row>
    <row r="661" spans="11:11" ht="18.75" customHeight="1" x14ac:dyDescent="0.25">
      <c r="K661" s="312"/>
    </row>
    <row r="662" spans="11:11" ht="18.75" customHeight="1" x14ac:dyDescent="0.25">
      <c r="K662" s="312"/>
    </row>
    <row r="663" spans="11:11" ht="18.75" customHeight="1" x14ac:dyDescent="0.25">
      <c r="K663" s="312"/>
    </row>
    <row r="664" spans="11:11" ht="18.75" customHeight="1" x14ac:dyDescent="0.25">
      <c r="K664" s="312"/>
    </row>
    <row r="665" spans="11:11" ht="18.75" customHeight="1" x14ac:dyDescent="0.25">
      <c r="K665" s="312"/>
    </row>
    <row r="666" spans="11:11" ht="18.75" customHeight="1" x14ac:dyDescent="0.25">
      <c r="K666" s="312"/>
    </row>
    <row r="667" spans="11:11" ht="18.75" customHeight="1" x14ac:dyDescent="0.25">
      <c r="K667" s="312"/>
    </row>
    <row r="668" spans="11:11" ht="18.75" customHeight="1" x14ac:dyDescent="0.25">
      <c r="K668" s="312"/>
    </row>
    <row r="669" spans="11:11" ht="18.75" customHeight="1" x14ac:dyDescent="0.25">
      <c r="K669" s="312"/>
    </row>
    <row r="670" spans="11:11" ht="18.75" customHeight="1" x14ac:dyDescent="0.25">
      <c r="K670" s="312"/>
    </row>
    <row r="671" spans="11:11" ht="18.75" customHeight="1" x14ac:dyDescent="0.25">
      <c r="K671" s="312"/>
    </row>
    <row r="672" spans="11:11" ht="18.75" customHeight="1" x14ac:dyDescent="0.25">
      <c r="K672" s="312"/>
    </row>
    <row r="673" spans="11:11" ht="18.75" customHeight="1" x14ac:dyDescent="0.25">
      <c r="K673" s="312"/>
    </row>
    <row r="674" spans="11:11" ht="18.75" customHeight="1" x14ac:dyDescent="0.25">
      <c r="K674" s="312"/>
    </row>
    <row r="675" spans="11:11" ht="18.75" customHeight="1" x14ac:dyDescent="0.25">
      <c r="K675" s="312"/>
    </row>
    <row r="676" spans="11:11" ht="18.75" customHeight="1" x14ac:dyDescent="0.25">
      <c r="K676" s="312"/>
    </row>
    <row r="677" spans="11:11" ht="18.75" customHeight="1" x14ac:dyDescent="0.25">
      <c r="K677" s="312"/>
    </row>
    <row r="678" spans="11:11" ht="18.75" customHeight="1" x14ac:dyDescent="0.25">
      <c r="K678" s="312"/>
    </row>
    <row r="679" spans="11:11" ht="18.75" customHeight="1" x14ac:dyDescent="0.25">
      <c r="K679" s="312"/>
    </row>
    <row r="680" spans="11:11" ht="18.75" customHeight="1" x14ac:dyDescent="0.25">
      <c r="K680" s="312"/>
    </row>
    <row r="681" spans="11:11" ht="18.75" customHeight="1" x14ac:dyDescent="0.25">
      <c r="K681" s="312"/>
    </row>
    <row r="682" spans="11:11" ht="18.75" customHeight="1" x14ac:dyDescent="0.25">
      <c r="K682" s="312"/>
    </row>
    <row r="683" spans="11:11" ht="18.75" customHeight="1" x14ac:dyDescent="0.25">
      <c r="K683" s="312"/>
    </row>
    <row r="684" spans="11:11" ht="18.75" customHeight="1" x14ac:dyDescent="0.25">
      <c r="K684" s="312"/>
    </row>
    <row r="685" spans="11:11" ht="18.75" customHeight="1" x14ac:dyDescent="0.25">
      <c r="K685" s="312"/>
    </row>
    <row r="686" spans="11:11" ht="18.75" customHeight="1" x14ac:dyDescent="0.25">
      <c r="K686" s="312"/>
    </row>
    <row r="687" spans="11:11" ht="18.75" customHeight="1" x14ac:dyDescent="0.25">
      <c r="K687" s="312"/>
    </row>
    <row r="688" spans="11:11" ht="18.75" customHeight="1" x14ac:dyDescent="0.25">
      <c r="K688" s="312"/>
    </row>
    <row r="689" spans="11:11" ht="18.75" customHeight="1" x14ac:dyDescent="0.25">
      <c r="K689" s="312"/>
    </row>
    <row r="690" spans="11:11" ht="18.75" customHeight="1" x14ac:dyDescent="0.25">
      <c r="K690" s="312"/>
    </row>
    <row r="691" spans="11:11" ht="18.75" customHeight="1" x14ac:dyDescent="0.25">
      <c r="K691" s="312"/>
    </row>
    <row r="692" spans="11:11" ht="18.75" customHeight="1" x14ac:dyDescent="0.25">
      <c r="K692" s="312"/>
    </row>
    <row r="693" spans="11:11" ht="18.75" customHeight="1" x14ac:dyDescent="0.25">
      <c r="K693" s="312"/>
    </row>
    <row r="694" spans="11:11" ht="18.75" customHeight="1" x14ac:dyDescent="0.25">
      <c r="K694" s="312"/>
    </row>
    <row r="695" spans="11:11" ht="18.75" customHeight="1" x14ac:dyDescent="0.25">
      <c r="K695" s="312"/>
    </row>
    <row r="696" spans="11:11" ht="18.75" customHeight="1" x14ac:dyDescent="0.25">
      <c r="K696" s="312"/>
    </row>
    <row r="697" spans="11:11" ht="18.75" customHeight="1" x14ac:dyDescent="0.25">
      <c r="K697" s="312"/>
    </row>
    <row r="698" spans="11:11" ht="18.75" customHeight="1" x14ac:dyDescent="0.25">
      <c r="K698" s="312"/>
    </row>
    <row r="699" spans="11:11" ht="18.75" customHeight="1" x14ac:dyDescent="0.25">
      <c r="K699" s="312"/>
    </row>
    <row r="700" spans="11:11" ht="18.75" customHeight="1" x14ac:dyDescent="0.25">
      <c r="K700" s="312"/>
    </row>
    <row r="701" spans="11:11" ht="18.75" customHeight="1" x14ac:dyDescent="0.25">
      <c r="K701" s="312"/>
    </row>
    <row r="702" spans="11:11" ht="18.75" customHeight="1" x14ac:dyDescent="0.25">
      <c r="K702" s="312"/>
    </row>
    <row r="703" spans="11:11" ht="18.75" customHeight="1" x14ac:dyDescent="0.25">
      <c r="K703" s="312"/>
    </row>
    <row r="704" spans="11:11" ht="18.75" customHeight="1" x14ac:dyDescent="0.25">
      <c r="K704" s="312"/>
    </row>
    <row r="705" spans="11:11" ht="18.75" customHeight="1" x14ac:dyDescent="0.25">
      <c r="K705" s="312"/>
    </row>
    <row r="706" spans="11:11" ht="18.75" customHeight="1" x14ac:dyDescent="0.25">
      <c r="K706" s="312"/>
    </row>
    <row r="707" spans="11:11" ht="18.75" customHeight="1" x14ac:dyDescent="0.25">
      <c r="K707" s="312"/>
    </row>
    <row r="708" spans="11:11" ht="18.75" customHeight="1" x14ac:dyDescent="0.25">
      <c r="K708" s="312"/>
    </row>
    <row r="709" spans="11:11" ht="18.75" customHeight="1" x14ac:dyDescent="0.25">
      <c r="K709" s="312"/>
    </row>
    <row r="710" spans="11:11" ht="18.75" customHeight="1" x14ac:dyDescent="0.25">
      <c r="K710" s="312"/>
    </row>
    <row r="711" spans="11:11" ht="18.75" customHeight="1" x14ac:dyDescent="0.25">
      <c r="K711" s="312"/>
    </row>
    <row r="712" spans="11:11" ht="18.75" customHeight="1" x14ac:dyDescent="0.25">
      <c r="K712" s="312"/>
    </row>
    <row r="713" spans="11:11" ht="18.75" customHeight="1" x14ac:dyDescent="0.25">
      <c r="K713" s="312"/>
    </row>
    <row r="714" spans="11:11" ht="18.75" customHeight="1" x14ac:dyDescent="0.25">
      <c r="K714" s="312"/>
    </row>
    <row r="715" spans="11:11" ht="18.75" customHeight="1" x14ac:dyDescent="0.25">
      <c r="K715" s="312"/>
    </row>
    <row r="716" spans="11:11" ht="18.75" customHeight="1" x14ac:dyDescent="0.25">
      <c r="K716" s="312"/>
    </row>
    <row r="717" spans="11:11" ht="18.75" customHeight="1" x14ac:dyDescent="0.25">
      <c r="K717" s="312"/>
    </row>
    <row r="718" spans="11:11" ht="18.75" customHeight="1" x14ac:dyDescent="0.25">
      <c r="K718" s="312"/>
    </row>
    <row r="719" spans="11:11" ht="18.75" customHeight="1" x14ac:dyDescent="0.25">
      <c r="K719" s="312"/>
    </row>
    <row r="720" spans="11:11" ht="18.75" customHeight="1" x14ac:dyDescent="0.25">
      <c r="K720" s="312"/>
    </row>
    <row r="721" spans="11:11" ht="18.75" customHeight="1" x14ac:dyDescent="0.25">
      <c r="K721" s="312"/>
    </row>
    <row r="722" spans="11:11" ht="18.75" customHeight="1" x14ac:dyDescent="0.25">
      <c r="K722" s="312"/>
    </row>
    <row r="723" spans="11:11" ht="18.75" customHeight="1" x14ac:dyDescent="0.25">
      <c r="K723" s="312"/>
    </row>
    <row r="724" spans="11:11" ht="18.75" customHeight="1" x14ac:dyDescent="0.25">
      <c r="K724" s="312"/>
    </row>
    <row r="725" spans="11:11" ht="18.75" customHeight="1" x14ac:dyDescent="0.25">
      <c r="K725" s="312"/>
    </row>
    <row r="726" spans="11:11" ht="18.75" customHeight="1" x14ac:dyDescent="0.25">
      <c r="K726" s="312"/>
    </row>
    <row r="727" spans="11:11" ht="18.75" customHeight="1" x14ac:dyDescent="0.25">
      <c r="K727" s="312"/>
    </row>
    <row r="728" spans="11:11" ht="18.75" customHeight="1" x14ac:dyDescent="0.25">
      <c r="K728" s="312"/>
    </row>
    <row r="729" spans="11:11" ht="18.75" customHeight="1" x14ac:dyDescent="0.25">
      <c r="K729" s="312"/>
    </row>
    <row r="730" spans="11:11" ht="18.75" customHeight="1" x14ac:dyDescent="0.25">
      <c r="K730" s="312"/>
    </row>
    <row r="731" spans="11:11" ht="18.75" customHeight="1" x14ac:dyDescent="0.25">
      <c r="K731" s="312"/>
    </row>
    <row r="732" spans="11:11" ht="18.75" customHeight="1" x14ac:dyDescent="0.25">
      <c r="K732" s="312"/>
    </row>
    <row r="733" spans="11:11" ht="18.75" customHeight="1" x14ac:dyDescent="0.25">
      <c r="K733" s="312"/>
    </row>
    <row r="734" spans="11:11" ht="18.75" customHeight="1" x14ac:dyDescent="0.25">
      <c r="K734" s="312"/>
    </row>
    <row r="735" spans="11:11" ht="18.75" customHeight="1" x14ac:dyDescent="0.25">
      <c r="K735" s="312"/>
    </row>
    <row r="736" spans="11:11" ht="18.75" customHeight="1" x14ac:dyDescent="0.25">
      <c r="K736" s="312"/>
    </row>
    <row r="737" spans="11:11" ht="18.75" customHeight="1" x14ac:dyDescent="0.25">
      <c r="K737" s="312"/>
    </row>
    <row r="738" spans="11:11" ht="18.75" customHeight="1" x14ac:dyDescent="0.25">
      <c r="K738" s="312"/>
    </row>
    <row r="739" spans="11:11" ht="18.75" customHeight="1" x14ac:dyDescent="0.25">
      <c r="K739" s="312"/>
    </row>
    <row r="740" spans="11:11" ht="18.75" customHeight="1" x14ac:dyDescent="0.25">
      <c r="K740" s="312"/>
    </row>
    <row r="741" spans="11:11" ht="18.75" customHeight="1" x14ac:dyDescent="0.25">
      <c r="K741" s="312"/>
    </row>
    <row r="742" spans="11:11" ht="18.75" customHeight="1" x14ac:dyDescent="0.25">
      <c r="K742" s="312"/>
    </row>
    <row r="743" spans="11:11" ht="18.75" customHeight="1" x14ac:dyDescent="0.25">
      <c r="K743" s="312"/>
    </row>
    <row r="744" spans="11:11" ht="18.75" customHeight="1" x14ac:dyDescent="0.25">
      <c r="K744" s="312"/>
    </row>
    <row r="745" spans="11:11" ht="18.75" customHeight="1" x14ac:dyDescent="0.25">
      <c r="K745" s="312"/>
    </row>
    <row r="746" spans="11:11" ht="18.75" customHeight="1" x14ac:dyDescent="0.25">
      <c r="K746" s="312"/>
    </row>
    <row r="747" spans="11:11" ht="18.75" customHeight="1" x14ac:dyDescent="0.25">
      <c r="K747" s="312"/>
    </row>
    <row r="748" spans="11:11" ht="18.75" customHeight="1" x14ac:dyDescent="0.25">
      <c r="K748" s="312"/>
    </row>
    <row r="749" spans="11:11" ht="18.75" customHeight="1" x14ac:dyDescent="0.25">
      <c r="K749" s="312"/>
    </row>
    <row r="750" spans="11:11" ht="18.75" customHeight="1" x14ac:dyDescent="0.25">
      <c r="K750" s="312"/>
    </row>
    <row r="751" spans="11:11" ht="18.75" customHeight="1" x14ac:dyDescent="0.25">
      <c r="K751" s="312"/>
    </row>
    <row r="752" spans="11:11" ht="18.75" customHeight="1" x14ac:dyDescent="0.25">
      <c r="K752" s="312"/>
    </row>
    <row r="753" spans="11:11" ht="18.75" customHeight="1" x14ac:dyDescent="0.25">
      <c r="K753" s="312"/>
    </row>
    <row r="754" spans="11:11" ht="18.75" customHeight="1" x14ac:dyDescent="0.25">
      <c r="K754" s="312"/>
    </row>
    <row r="755" spans="11:11" ht="18.75" customHeight="1" x14ac:dyDescent="0.25">
      <c r="K755" s="312"/>
    </row>
    <row r="756" spans="11:11" ht="18.75" customHeight="1" x14ac:dyDescent="0.25">
      <c r="K756" s="312"/>
    </row>
    <row r="757" spans="11:11" ht="18.75" customHeight="1" x14ac:dyDescent="0.25">
      <c r="K757" s="312"/>
    </row>
    <row r="758" spans="11:11" ht="18.75" customHeight="1" x14ac:dyDescent="0.25">
      <c r="K758" s="312"/>
    </row>
    <row r="759" spans="11:11" ht="18.75" customHeight="1" x14ac:dyDescent="0.25">
      <c r="K759" s="312"/>
    </row>
    <row r="760" spans="11:11" ht="18.75" customHeight="1" x14ac:dyDescent="0.25">
      <c r="K760" s="312"/>
    </row>
    <row r="761" spans="11:11" ht="18.75" customHeight="1" x14ac:dyDescent="0.25">
      <c r="K761" s="312"/>
    </row>
    <row r="762" spans="11:11" ht="18.75" customHeight="1" x14ac:dyDescent="0.25">
      <c r="K762" s="312"/>
    </row>
    <row r="763" spans="11:11" ht="18.75" customHeight="1" x14ac:dyDescent="0.25">
      <c r="K763" s="312"/>
    </row>
    <row r="764" spans="11:11" ht="18.75" customHeight="1" x14ac:dyDescent="0.25">
      <c r="K764" s="312"/>
    </row>
    <row r="765" spans="11:11" ht="18.75" customHeight="1" x14ac:dyDescent="0.25">
      <c r="K765" s="312"/>
    </row>
    <row r="766" spans="11:11" ht="18.75" customHeight="1" x14ac:dyDescent="0.25">
      <c r="K766" s="312"/>
    </row>
    <row r="767" spans="11:11" ht="18.75" customHeight="1" x14ac:dyDescent="0.25">
      <c r="K767" s="312"/>
    </row>
    <row r="768" spans="11:11" ht="18.75" customHeight="1" x14ac:dyDescent="0.25">
      <c r="K768" s="312"/>
    </row>
    <row r="769" spans="11:11" ht="18.75" customHeight="1" x14ac:dyDescent="0.25">
      <c r="K769" s="312"/>
    </row>
    <row r="770" spans="11:11" ht="18.75" customHeight="1" x14ac:dyDescent="0.25">
      <c r="K770" s="312"/>
    </row>
    <row r="771" spans="11:11" ht="18.75" customHeight="1" x14ac:dyDescent="0.25">
      <c r="K771" s="312"/>
    </row>
    <row r="772" spans="11:11" ht="18.75" customHeight="1" x14ac:dyDescent="0.25">
      <c r="K772" s="312"/>
    </row>
    <row r="773" spans="11:11" ht="18.75" customHeight="1" x14ac:dyDescent="0.25">
      <c r="K773" s="312"/>
    </row>
    <row r="774" spans="11:11" ht="18.75" customHeight="1" x14ac:dyDescent="0.25">
      <c r="K774" s="312"/>
    </row>
    <row r="775" spans="11:11" ht="18.75" customHeight="1" x14ac:dyDescent="0.25">
      <c r="K775" s="312"/>
    </row>
    <row r="776" spans="11:11" ht="18.75" customHeight="1" x14ac:dyDescent="0.25">
      <c r="K776" s="312"/>
    </row>
    <row r="777" spans="11:11" ht="18.75" customHeight="1" x14ac:dyDescent="0.25">
      <c r="K777" s="312"/>
    </row>
    <row r="778" spans="11:11" ht="18.75" customHeight="1" x14ac:dyDescent="0.25">
      <c r="K778" s="312"/>
    </row>
    <row r="779" spans="11:11" ht="18.75" customHeight="1" x14ac:dyDescent="0.25">
      <c r="K779" s="312"/>
    </row>
    <row r="780" spans="11:11" ht="18.75" customHeight="1" x14ac:dyDescent="0.25">
      <c r="K780" s="312"/>
    </row>
    <row r="781" spans="11:11" ht="18.75" customHeight="1" x14ac:dyDescent="0.25">
      <c r="K781" s="312"/>
    </row>
    <row r="782" spans="11:11" ht="18.75" customHeight="1" x14ac:dyDescent="0.25">
      <c r="K782" s="312"/>
    </row>
    <row r="783" spans="11:11" ht="18.75" customHeight="1" x14ac:dyDescent="0.25">
      <c r="K783" s="312"/>
    </row>
    <row r="784" spans="11:11" ht="18.75" customHeight="1" x14ac:dyDescent="0.25">
      <c r="K784" s="312"/>
    </row>
    <row r="785" spans="11:11" ht="18.75" customHeight="1" x14ac:dyDescent="0.25">
      <c r="K785" s="312"/>
    </row>
    <row r="786" spans="11:11" ht="18.75" customHeight="1" x14ac:dyDescent="0.25">
      <c r="K786" s="312"/>
    </row>
    <row r="787" spans="11:11" ht="18.75" customHeight="1" x14ac:dyDescent="0.25">
      <c r="K787" s="312"/>
    </row>
    <row r="788" spans="11:11" ht="18.75" customHeight="1" x14ac:dyDescent="0.25">
      <c r="K788" s="312"/>
    </row>
    <row r="789" spans="11:11" ht="18.75" customHeight="1" x14ac:dyDescent="0.25">
      <c r="K789" s="312"/>
    </row>
    <row r="790" spans="11:11" ht="18.75" customHeight="1" x14ac:dyDescent="0.25">
      <c r="K790" s="312"/>
    </row>
    <row r="791" spans="11:11" ht="18.75" customHeight="1" x14ac:dyDescent="0.25">
      <c r="K791" s="312"/>
    </row>
    <row r="792" spans="11:11" ht="18.75" customHeight="1" x14ac:dyDescent="0.25">
      <c r="K792" s="312"/>
    </row>
    <row r="793" spans="11:11" ht="18.75" customHeight="1" x14ac:dyDescent="0.25">
      <c r="K793" s="312"/>
    </row>
    <row r="794" spans="11:11" ht="18.75" customHeight="1" x14ac:dyDescent="0.25">
      <c r="K794" s="312"/>
    </row>
    <row r="795" spans="11:11" ht="18.75" customHeight="1" x14ac:dyDescent="0.25">
      <c r="K795" s="312"/>
    </row>
    <row r="796" spans="11:11" ht="18.75" customHeight="1" x14ac:dyDescent="0.25">
      <c r="K796" s="312"/>
    </row>
    <row r="797" spans="11:11" ht="18.75" customHeight="1" x14ac:dyDescent="0.25">
      <c r="K797" s="312"/>
    </row>
    <row r="798" spans="11:11" ht="18.75" customHeight="1" x14ac:dyDescent="0.25">
      <c r="K798" s="312"/>
    </row>
    <row r="799" spans="11:11" ht="18.75" customHeight="1" x14ac:dyDescent="0.25">
      <c r="K799" s="312"/>
    </row>
    <row r="800" spans="11:11" ht="18.75" customHeight="1" x14ac:dyDescent="0.25">
      <c r="K800" s="312"/>
    </row>
    <row r="801" spans="11:11" ht="18.75" customHeight="1" x14ac:dyDescent="0.25">
      <c r="K801" s="312"/>
    </row>
    <row r="802" spans="11:11" ht="18.75" customHeight="1" x14ac:dyDescent="0.25">
      <c r="K802" s="312"/>
    </row>
    <row r="803" spans="11:11" ht="18.75" customHeight="1" x14ac:dyDescent="0.25">
      <c r="K803" s="312"/>
    </row>
    <row r="804" spans="11:11" ht="18.75" customHeight="1" x14ac:dyDescent="0.25">
      <c r="K804" s="312"/>
    </row>
    <row r="805" spans="11:11" ht="18.75" customHeight="1" x14ac:dyDescent="0.25">
      <c r="K805" s="312"/>
    </row>
    <row r="806" spans="11:11" ht="18.75" customHeight="1" x14ac:dyDescent="0.25">
      <c r="K806" s="312"/>
    </row>
    <row r="807" spans="11:11" ht="18.75" customHeight="1" x14ac:dyDescent="0.25">
      <c r="K807" s="312"/>
    </row>
    <row r="808" spans="11:11" ht="18.75" customHeight="1" x14ac:dyDescent="0.25">
      <c r="K808" s="312"/>
    </row>
    <row r="809" spans="11:11" ht="18.75" customHeight="1" x14ac:dyDescent="0.25">
      <c r="K809" s="312"/>
    </row>
    <row r="810" spans="11:11" ht="18.75" customHeight="1" x14ac:dyDescent="0.25">
      <c r="K810" s="312"/>
    </row>
    <row r="811" spans="11:11" ht="18.75" customHeight="1" x14ac:dyDescent="0.25">
      <c r="K811" s="312"/>
    </row>
    <row r="812" spans="11:11" ht="18.75" customHeight="1" x14ac:dyDescent="0.25">
      <c r="K812" s="312"/>
    </row>
    <row r="813" spans="11:11" ht="18.75" customHeight="1" x14ac:dyDescent="0.25">
      <c r="K813" s="312"/>
    </row>
    <row r="814" spans="11:11" ht="18.75" customHeight="1" x14ac:dyDescent="0.25">
      <c r="K814" s="312"/>
    </row>
    <row r="815" spans="11:11" ht="18.75" customHeight="1" x14ac:dyDescent="0.25">
      <c r="K815" s="312"/>
    </row>
    <row r="816" spans="11:11" ht="18.75" customHeight="1" x14ac:dyDescent="0.25">
      <c r="K816" s="312"/>
    </row>
    <row r="817" spans="11:11" ht="18.75" customHeight="1" x14ac:dyDescent="0.25">
      <c r="K817" s="312"/>
    </row>
    <row r="818" spans="11:11" ht="18.75" customHeight="1" x14ac:dyDescent="0.25">
      <c r="K818" s="312"/>
    </row>
    <row r="819" spans="11:11" ht="18.75" customHeight="1" x14ac:dyDescent="0.25">
      <c r="K819" s="312"/>
    </row>
    <row r="820" spans="11:11" ht="18.75" customHeight="1" x14ac:dyDescent="0.25">
      <c r="K820" s="312"/>
    </row>
    <row r="821" spans="11:11" ht="18.75" customHeight="1" x14ac:dyDescent="0.25">
      <c r="K821" s="312"/>
    </row>
    <row r="822" spans="11:11" ht="18.75" customHeight="1" x14ac:dyDescent="0.25">
      <c r="K822" s="312"/>
    </row>
    <row r="823" spans="11:11" ht="18.75" customHeight="1" x14ac:dyDescent="0.25">
      <c r="K823" s="312"/>
    </row>
    <row r="824" spans="11:11" ht="18.75" customHeight="1" x14ac:dyDescent="0.25">
      <c r="K824" s="312"/>
    </row>
    <row r="825" spans="11:11" ht="18.75" customHeight="1" x14ac:dyDescent="0.25">
      <c r="K825" s="312"/>
    </row>
    <row r="826" spans="11:11" ht="18.75" customHeight="1" x14ac:dyDescent="0.25">
      <c r="K826" s="312"/>
    </row>
    <row r="827" spans="11:11" ht="18.75" customHeight="1" x14ac:dyDescent="0.25">
      <c r="K827" s="312"/>
    </row>
    <row r="828" spans="11:11" ht="18.75" customHeight="1" x14ac:dyDescent="0.25">
      <c r="K828" s="312"/>
    </row>
    <row r="829" spans="11:11" ht="18.75" customHeight="1" x14ac:dyDescent="0.25">
      <c r="K829" s="312"/>
    </row>
    <row r="830" spans="11:11" ht="18.75" customHeight="1" x14ac:dyDescent="0.25">
      <c r="K830" s="312"/>
    </row>
    <row r="831" spans="11:11" ht="18.75" customHeight="1" x14ac:dyDescent="0.25">
      <c r="K831" s="312"/>
    </row>
    <row r="832" spans="11:11" ht="18.75" customHeight="1" x14ac:dyDescent="0.25">
      <c r="K832" s="312"/>
    </row>
    <row r="833" spans="11:11" ht="18.75" customHeight="1" x14ac:dyDescent="0.25">
      <c r="K833" s="312"/>
    </row>
    <row r="834" spans="11:11" ht="18.75" customHeight="1" x14ac:dyDescent="0.25">
      <c r="K834" s="312"/>
    </row>
    <row r="835" spans="11:11" ht="18.75" customHeight="1" x14ac:dyDescent="0.25">
      <c r="K835" s="312"/>
    </row>
    <row r="836" spans="11:11" ht="18.75" customHeight="1" x14ac:dyDescent="0.25">
      <c r="K836" s="312"/>
    </row>
    <row r="837" spans="11:11" ht="18.75" customHeight="1" x14ac:dyDescent="0.25">
      <c r="K837" s="312"/>
    </row>
    <row r="838" spans="11:11" ht="18.75" customHeight="1" x14ac:dyDescent="0.25">
      <c r="K838" s="312"/>
    </row>
    <row r="839" spans="11:11" ht="18.75" customHeight="1" x14ac:dyDescent="0.25">
      <c r="K839" s="312"/>
    </row>
    <row r="840" spans="11:11" ht="18.75" customHeight="1" x14ac:dyDescent="0.25">
      <c r="K840" s="312"/>
    </row>
    <row r="841" spans="11:11" ht="18.75" customHeight="1" x14ac:dyDescent="0.25">
      <c r="K841" s="312"/>
    </row>
    <row r="842" spans="11:11" ht="18.75" customHeight="1" x14ac:dyDescent="0.25">
      <c r="K842" s="312"/>
    </row>
    <row r="843" spans="11:11" ht="18.75" customHeight="1" x14ac:dyDescent="0.25">
      <c r="K843" s="312"/>
    </row>
    <row r="844" spans="11:11" ht="18.75" customHeight="1" x14ac:dyDescent="0.25">
      <c r="K844" s="312"/>
    </row>
    <row r="845" spans="11:11" ht="18.75" customHeight="1" x14ac:dyDescent="0.25">
      <c r="K845" s="312"/>
    </row>
    <row r="846" spans="11:11" ht="18.75" customHeight="1" x14ac:dyDescent="0.25">
      <c r="K846" s="312"/>
    </row>
    <row r="847" spans="11:11" ht="18.75" customHeight="1" x14ac:dyDescent="0.25">
      <c r="K847" s="312"/>
    </row>
    <row r="848" spans="11:11" ht="18.75" customHeight="1" x14ac:dyDescent="0.25">
      <c r="K848" s="312"/>
    </row>
    <row r="849" spans="11:11" ht="18.75" customHeight="1" x14ac:dyDescent="0.25">
      <c r="K849" s="312"/>
    </row>
    <row r="850" spans="11:11" ht="18.75" customHeight="1" x14ac:dyDescent="0.25">
      <c r="K850" s="312"/>
    </row>
    <row r="851" spans="11:11" ht="18.75" customHeight="1" x14ac:dyDescent="0.25">
      <c r="K851" s="312"/>
    </row>
    <row r="852" spans="11:11" ht="18.75" customHeight="1" x14ac:dyDescent="0.25">
      <c r="K852" s="312"/>
    </row>
    <row r="853" spans="11:11" ht="18.75" customHeight="1" x14ac:dyDescent="0.25">
      <c r="K853" s="312"/>
    </row>
    <row r="854" spans="11:11" ht="18.75" customHeight="1" x14ac:dyDescent="0.25">
      <c r="K854" s="312"/>
    </row>
    <row r="855" spans="11:11" ht="18.75" customHeight="1" x14ac:dyDescent="0.25">
      <c r="K855" s="312"/>
    </row>
    <row r="856" spans="11:11" ht="18.75" customHeight="1" x14ac:dyDescent="0.25">
      <c r="K856" s="312"/>
    </row>
    <row r="857" spans="11:11" ht="18.75" customHeight="1" x14ac:dyDescent="0.25">
      <c r="K857" s="312"/>
    </row>
    <row r="858" spans="11:11" ht="18.75" customHeight="1" x14ac:dyDescent="0.25">
      <c r="K858" s="312"/>
    </row>
    <row r="859" spans="11:11" ht="18.75" customHeight="1" x14ac:dyDescent="0.25">
      <c r="K859" s="312"/>
    </row>
    <row r="860" spans="11:11" ht="18.75" customHeight="1" x14ac:dyDescent="0.25">
      <c r="K860" s="312"/>
    </row>
    <row r="861" spans="11:11" ht="18.75" customHeight="1" x14ac:dyDescent="0.25">
      <c r="K861" s="312"/>
    </row>
    <row r="862" spans="11:11" ht="18.75" customHeight="1" x14ac:dyDescent="0.25">
      <c r="K862" s="312"/>
    </row>
    <row r="863" spans="11:11" ht="18.75" customHeight="1" x14ac:dyDescent="0.25">
      <c r="K863" s="312"/>
    </row>
    <row r="864" spans="11:11" ht="18.75" customHeight="1" x14ac:dyDescent="0.25">
      <c r="K864" s="312"/>
    </row>
    <row r="865" spans="11:11" ht="18.75" customHeight="1" x14ac:dyDescent="0.25">
      <c r="K865" s="312"/>
    </row>
    <row r="866" spans="11:11" ht="18.75" customHeight="1" x14ac:dyDescent="0.25">
      <c r="K866" s="312"/>
    </row>
    <row r="867" spans="11:11" ht="18.75" customHeight="1" x14ac:dyDescent="0.25">
      <c r="K867" s="312"/>
    </row>
    <row r="868" spans="11:11" ht="18.75" customHeight="1" x14ac:dyDescent="0.25">
      <c r="K868" s="312"/>
    </row>
    <row r="869" spans="11:11" ht="18.75" customHeight="1" x14ac:dyDescent="0.25">
      <c r="K869" s="312"/>
    </row>
    <row r="870" spans="11:11" ht="18.75" customHeight="1" x14ac:dyDescent="0.25">
      <c r="K870" s="312"/>
    </row>
    <row r="871" spans="11:11" ht="18.75" customHeight="1" x14ac:dyDescent="0.25">
      <c r="K871" s="312"/>
    </row>
    <row r="872" spans="11:11" ht="18.75" customHeight="1" x14ac:dyDescent="0.25">
      <c r="K872" s="312"/>
    </row>
    <row r="873" spans="11:11" ht="18.75" customHeight="1" x14ac:dyDescent="0.25">
      <c r="K873" s="312"/>
    </row>
    <row r="874" spans="11:11" ht="18.75" customHeight="1" x14ac:dyDescent="0.25">
      <c r="K874" s="312"/>
    </row>
    <row r="875" spans="11:11" ht="18.75" customHeight="1" x14ac:dyDescent="0.25">
      <c r="K875" s="312"/>
    </row>
    <row r="876" spans="11:11" ht="18.75" customHeight="1" x14ac:dyDescent="0.25">
      <c r="K876" s="312"/>
    </row>
    <row r="877" spans="11:11" ht="18.75" customHeight="1" x14ac:dyDescent="0.25">
      <c r="K877" s="312"/>
    </row>
    <row r="878" spans="11:11" ht="18.75" customHeight="1" x14ac:dyDescent="0.25">
      <c r="K878" s="312"/>
    </row>
    <row r="879" spans="11:11" ht="18.75" customHeight="1" x14ac:dyDescent="0.25">
      <c r="K879" s="312"/>
    </row>
    <row r="880" spans="11:11" ht="18.75" customHeight="1" x14ac:dyDescent="0.25">
      <c r="K880" s="312"/>
    </row>
    <row r="881" spans="11:11" ht="18.75" customHeight="1" x14ac:dyDescent="0.25">
      <c r="K881" s="312"/>
    </row>
    <row r="882" spans="11:11" ht="18.75" customHeight="1" x14ac:dyDescent="0.25">
      <c r="K882" s="312"/>
    </row>
    <row r="883" spans="11:11" ht="18.75" customHeight="1" x14ac:dyDescent="0.25">
      <c r="K883" s="312"/>
    </row>
    <row r="884" spans="11:11" ht="18.75" customHeight="1" x14ac:dyDescent="0.25">
      <c r="K884" s="312"/>
    </row>
    <row r="885" spans="11:11" ht="18.75" customHeight="1" x14ac:dyDescent="0.25">
      <c r="K885" s="312"/>
    </row>
    <row r="886" spans="11:11" ht="18.75" customHeight="1" x14ac:dyDescent="0.25">
      <c r="K886" s="312"/>
    </row>
    <row r="887" spans="11:11" ht="18.75" customHeight="1" x14ac:dyDescent="0.25">
      <c r="K887" s="312"/>
    </row>
    <row r="888" spans="11:11" ht="18.75" customHeight="1" x14ac:dyDescent="0.25">
      <c r="K888" s="312"/>
    </row>
    <row r="889" spans="11:11" ht="18.75" customHeight="1" x14ac:dyDescent="0.25">
      <c r="K889" s="312"/>
    </row>
    <row r="890" spans="11:11" ht="18.75" customHeight="1" x14ac:dyDescent="0.25">
      <c r="K890" s="312"/>
    </row>
    <row r="891" spans="11:11" ht="18.75" customHeight="1" x14ac:dyDescent="0.25">
      <c r="K891" s="312"/>
    </row>
    <row r="892" spans="11:11" ht="18.75" customHeight="1" x14ac:dyDescent="0.25">
      <c r="K892" s="312"/>
    </row>
    <row r="893" spans="11:11" ht="18.75" customHeight="1" x14ac:dyDescent="0.25">
      <c r="K893" s="312"/>
    </row>
    <row r="894" spans="11:11" ht="18.75" customHeight="1" x14ac:dyDescent="0.25">
      <c r="K894" s="312"/>
    </row>
    <row r="895" spans="11:11" ht="18.75" customHeight="1" x14ac:dyDescent="0.25">
      <c r="K895" s="312"/>
    </row>
    <row r="896" spans="11:11" ht="18.75" customHeight="1" x14ac:dyDescent="0.25">
      <c r="K896" s="312"/>
    </row>
    <row r="897" spans="11:11" ht="18.75" customHeight="1" x14ac:dyDescent="0.25">
      <c r="K897" s="312"/>
    </row>
    <row r="898" spans="11:11" ht="18.75" customHeight="1" x14ac:dyDescent="0.25">
      <c r="K898" s="312"/>
    </row>
    <row r="899" spans="11:11" ht="18.75" customHeight="1" x14ac:dyDescent="0.25">
      <c r="K899" s="312"/>
    </row>
    <row r="900" spans="11:11" ht="18.75" customHeight="1" x14ac:dyDescent="0.25">
      <c r="K900" s="312"/>
    </row>
    <row r="901" spans="11:11" ht="18.75" customHeight="1" x14ac:dyDescent="0.25">
      <c r="K901" s="312"/>
    </row>
    <row r="902" spans="11:11" ht="18.75" customHeight="1" x14ac:dyDescent="0.25">
      <c r="K902" s="312"/>
    </row>
    <row r="903" spans="11:11" ht="18.75" customHeight="1" x14ac:dyDescent="0.25">
      <c r="K903" s="312"/>
    </row>
    <row r="904" spans="11:11" ht="18.75" customHeight="1" x14ac:dyDescent="0.25">
      <c r="K904" s="312"/>
    </row>
    <row r="905" spans="11:11" ht="18.75" customHeight="1" x14ac:dyDescent="0.25">
      <c r="K905" s="312"/>
    </row>
    <row r="906" spans="11:11" ht="18.75" customHeight="1" x14ac:dyDescent="0.25">
      <c r="K906" s="312"/>
    </row>
    <row r="907" spans="11:11" ht="18.75" customHeight="1" x14ac:dyDescent="0.25">
      <c r="K907" s="312"/>
    </row>
    <row r="908" spans="11:11" ht="18.75" customHeight="1" x14ac:dyDescent="0.25">
      <c r="K908" s="312"/>
    </row>
    <row r="909" spans="11:11" ht="18.75" customHeight="1" x14ac:dyDescent="0.25">
      <c r="K909" s="312"/>
    </row>
    <row r="910" spans="11:11" ht="18.75" customHeight="1" x14ac:dyDescent="0.25">
      <c r="K910" s="312"/>
    </row>
    <row r="911" spans="11:11" ht="18.75" customHeight="1" x14ac:dyDescent="0.25">
      <c r="K911" s="312"/>
    </row>
    <row r="912" spans="11:11" ht="18.75" customHeight="1" x14ac:dyDescent="0.25">
      <c r="K912" s="312"/>
    </row>
    <row r="913" spans="11:11" ht="18.75" customHeight="1" x14ac:dyDescent="0.25">
      <c r="K913" s="312"/>
    </row>
    <row r="914" spans="11:11" ht="18.75" customHeight="1" x14ac:dyDescent="0.25">
      <c r="K914" s="312"/>
    </row>
    <row r="915" spans="11:11" ht="18.75" customHeight="1" x14ac:dyDescent="0.25">
      <c r="K915" s="312"/>
    </row>
    <row r="916" spans="11:11" ht="18.75" customHeight="1" x14ac:dyDescent="0.25">
      <c r="K916" s="312"/>
    </row>
    <row r="917" spans="11:11" ht="18.75" customHeight="1" x14ac:dyDescent="0.25">
      <c r="K917" s="312"/>
    </row>
    <row r="918" spans="11:11" ht="18.75" customHeight="1" x14ac:dyDescent="0.25">
      <c r="K918" s="312"/>
    </row>
    <row r="919" spans="11:11" ht="18.75" customHeight="1" x14ac:dyDescent="0.25">
      <c r="K919" s="312"/>
    </row>
    <row r="920" spans="11:11" ht="18.75" customHeight="1" x14ac:dyDescent="0.25">
      <c r="K920" s="312"/>
    </row>
    <row r="921" spans="11:11" ht="18.75" customHeight="1" x14ac:dyDescent="0.25">
      <c r="K921" s="312"/>
    </row>
    <row r="922" spans="11:11" ht="18.75" customHeight="1" x14ac:dyDescent="0.25">
      <c r="K922" s="312"/>
    </row>
    <row r="923" spans="11:11" ht="18.75" customHeight="1" x14ac:dyDescent="0.25">
      <c r="K923" s="312"/>
    </row>
    <row r="924" spans="11:11" ht="18.75" customHeight="1" x14ac:dyDescent="0.25">
      <c r="K924" s="312"/>
    </row>
    <row r="925" spans="11:11" ht="18.75" customHeight="1" x14ac:dyDescent="0.25">
      <c r="K925" s="312"/>
    </row>
    <row r="926" spans="11:11" ht="18.75" customHeight="1" x14ac:dyDescent="0.25">
      <c r="K926" s="312"/>
    </row>
    <row r="927" spans="11:11" ht="18.75" customHeight="1" x14ac:dyDescent="0.25">
      <c r="K927" s="312"/>
    </row>
    <row r="928" spans="11:11" ht="18.75" customHeight="1" x14ac:dyDescent="0.25">
      <c r="K928" s="312"/>
    </row>
    <row r="929" spans="11:11" ht="18.75" customHeight="1" x14ac:dyDescent="0.25">
      <c r="K929" s="312"/>
    </row>
    <row r="930" spans="11:11" ht="18.75" customHeight="1" x14ac:dyDescent="0.25">
      <c r="K930" s="312"/>
    </row>
    <row r="931" spans="11:11" ht="18.75" customHeight="1" x14ac:dyDescent="0.25">
      <c r="K931" s="312"/>
    </row>
    <row r="932" spans="11:11" ht="18.75" customHeight="1" x14ac:dyDescent="0.25">
      <c r="K932" s="312"/>
    </row>
    <row r="933" spans="11:11" ht="18.75" customHeight="1" x14ac:dyDescent="0.25">
      <c r="K933" s="312"/>
    </row>
    <row r="934" spans="11:11" ht="18.75" customHeight="1" x14ac:dyDescent="0.25">
      <c r="K934" s="312"/>
    </row>
    <row r="935" spans="11:11" ht="18.75" customHeight="1" x14ac:dyDescent="0.25">
      <c r="K935" s="312"/>
    </row>
    <row r="936" spans="11:11" ht="18.75" customHeight="1" x14ac:dyDescent="0.25">
      <c r="K936" s="312"/>
    </row>
    <row r="937" spans="11:11" ht="18.75" customHeight="1" x14ac:dyDescent="0.25">
      <c r="K937" s="312"/>
    </row>
    <row r="938" spans="11:11" ht="18.75" customHeight="1" x14ac:dyDescent="0.25">
      <c r="K938" s="312"/>
    </row>
    <row r="939" spans="11:11" ht="18.75" customHeight="1" x14ac:dyDescent="0.25">
      <c r="K939" s="312"/>
    </row>
    <row r="940" spans="11:11" ht="18.75" customHeight="1" x14ac:dyDescent="0.25">
      <c r="K940" s="312"/>
    </row>
    <row r="941" spans="11:11" ht="18.75" customHeight="1" x14ac:dyDescent="0.25">
      <c r="K941" s="312"/>
    </row>
    <row r="942" spans="11:11" ht="18.75" customHeight="1" x14ac:dyDescent="0.25">
      <c r="K942" s="312"/>
    </row>
    <row r="943" spans="11:11" ht="18.75" customHeight="1" x14ac:dyDescent="0.25">
      <c r="K943" s="312"/>
    </row>
    <row r="944" spans="11:11" ht="18.75" customHeight="1" x14ac:dyDescent="0.25">
      <c r="K944" s="312"/>
    </row>
    <row r="945" spans="11:11" ht="18.75" customHeight="1" x14ac:dyDescent="0.25">
      <c r="K945" s="312"/>
    </row>
    <row r="946" spans="11:11" ht="18.75" customHeight="1" x14ac:dyDescent="0.25">
      <c r="K946" s="312"/>
    </row>
    <row r="947" spans="11:11" ht="18.75" customHeight="1" x14ac:dyDescent="0.25">
      <c r="K947" s="312"/>
    </row>
    <row r="948" spans="11:11" ht="18.75" customHeight="1" x14ac:dyDescent="0.25">
      <c r="K948" s="312"/>
    </row>
    <row r="949" spans="11:11" ht="18.75" customHeight="1" x14ac:dyDescent="0.25">
      <c r="K949" s="312"/>
    </row>
    <row r="950" spans="11:11" ht="18.75" customHeight="1" x14ac:dyDescent="0.25">
      <c r="K950" s="312"/>
    </row>
    <row r="951" spans="11:11" ht="18.75" customHeight="1" x14ac:dyDescent="0.25">
      <c r="K951" s="312"/>
    </row>
    <row r="952" spans="11:11" ht="18.75" customHeight="1" x14ac:dyDescent="0.25">
      <c r="K952" s="312"/>
    </row>
    <row r="953" spans="11:11" ht="18.75" customHeight="1" x14ac:dyDescent="0.25">
      <c r="K953" s="312"/>
    </row>
    <row r="954" spans="11:11" ht="18.75" customHeight="1" x14ac:dyDescent="0.25">
      <c r="K954" s="312"/>
    </row>
    <row r="955" spans="11:11" ht="18.75" customHeight="1" x14ac:dyDescent="0.25">
      <c r="K955" s="312"/>
    </row>
    <row r="956" spans="11:11" ht="18.75" customHeight="1" x14ac:dyDescent="0.25">
      <c r="K956" s="312"/>
    </row>
    <row r="957" spans="11:11" ht="18.75" customHeight="1" x14ac:dyDescent="0.25">
      <c r="K957" s="312"/>
    </row>
    <row r="958" spans="11:11" ht="18.75" customHeight="1" x14ac:dyDescent="0.25">
      <c r="K958" s="312"/>
    </row>
    <row r="959" spans="11:11" ht="18.75" customHeight="1" x14ac:dyDescent="0.25">
      <c r="K959" s="312"/>
    </row>
    <row r="960" spans="11:11" ht="18.75" customHeight="1" x14ac:dyDescent="0.25">
      <c r="K960" s="312"/>
    </row>
    <row r="961" spans="11:11" ht="18.75" customHeight="1" x14ac:dyDescent="0.25">
      <c r="K961" s="312"/>
    </row>
    <row r="962" spans="11:11" ht="18.75" customHeight="1" x14ac:dyDescent="0.25">
      <c r="K962" s="312"/>
    </row>
    <row r="963" spans="11:11" ht="18.75" customHeight="1" x14ac:dyDescent="0.25">
      <c r="K963" s="312"/>
    </row>
    <row r="964" spans="11:11" ht="18.75" customHeight="1" x14ac:dyDescent="0.25">
      <c r="K964" s="312"/>
    </row>
    <row r="965" spans="11:11" ht="18.75" customHeight="1" x14ac:dyDescent="0.25">
      <c r="K965" s="312"/>
    </row>
    <row r="966" spans="11:11" ht="18.75" customHeight="1" x14ac:dyDescent="0.25">
      <c r="K966" s="312"/>
    </row>
    <row r="967" spans="11:11" ht="18.75" customHeight="1" x14ac:dyDescent="0.25">
      <c r="K967" s="312"/>
    </row>
    <row r="968" spans="11:11" ht="18.75" customHeight="1" x14ac:dyDescent="0.25">
      <c r="K968" s="312"/>
    </row>
    <row r="969" spans="11:11" ht="18.75" customHeight="1" x14ac:dyDescent="0.25">
      <c r="K969" s="312"/>
    </row>
    <row r="970" spans="11:11" ht="18.75" customHeight="1" x14ac:dyDescent="0.25">
      <c r="K970" s="312"/>
    </row>
    <row r="971" spans="11:11" ht="18.75" customHeight="1" x14ac:dyDescent="0.25">
      <c r="K971" s="312"/>
    </row>
    <row r="972" spans="11:11" ht="18.75" customHeight="1" x14ac:dyDescent="0.25">
      <c r="K972" s="312"/>
    </row>
    <row r="973" spans="11:11" ht="18.75" customHeight="1" x14ac:dyDescent="0.25">
      <c r="K973" s="312"/>
    </row>
    <row r="974" spans="11:11" ht="18.75" customHeight="1" x14ac:dyDescent="0.25">
      <c r="K974" s="312"/>
    </row>
    <row r="975" spans="11:11" ht="18.75" customHeight="1" x14ac:dyDescent="0.25">
      <c r="K975" s="312"/>
    </row>
    <row r="976" spans="11:11" ht="18.75" customHeight="1" x14ac:dyDescent="0.25">
      <c r="K976" s="312"/>
    </row>
    <row r="977" spans="11:11" ht="18.75" customHeight="1" x14ac:dyDescent="0.25">
      <c r="K977" s="312"/>
    </row>
    <row r="978" spans="11:11" ht="18.75" customHeight="1" x14ac:dyDescent="0.25">
      <c r="K978" s="312"/>
    </row>
    <row r="979" spans="11:11" ht="18.75" customHeight="1" x14ac:dyDescent="0.25">
      <c r="K979" s="312"/>
    </row>
    <row r="980" spans="11:11" ht="18.75" customHeight="1" x14ac:dyDescent="0.25">
      <c r="K980" s="312"/>
    </row>
    <row r="981" spans="11:11" ht="18.75" customHeight="1" x14ac:dyDescent="0.25">
      <c r="K981" s="312"/>
    </row>
    <row r="982" spans="11:11" ht="18.75" customHeight="1" x14ac:dyDescent="0.25">
      <c r="K982" s="312"/>
    </row>
    <row r="983" spans="11:11" ht="18.75" customHeight="1" x14ac:dyDescent="0.25">
      <c r="K983" s="312"/>
    </row>
    <row r="984" spans="11:11" ht="18.75" customHeight="1" x14ac:dyDescent="0.25">
      <c r="K984" s="312"/>
    </row>
    <row r="985" spans="11:11" ht="18.75" customHeight="1" x14ac:dyDescent="0.25">
      <c r="K985" s="312"/>
    </row>
    <row r="986" spans="11:11" ht="18.75" customHeight="1" x14ac:dyDescent="0.25">
      <c r="K986" s="312"/>
    </row>
    <row r="987" spans="11:11" ht="18.75" customHeight="1" x14ac:dyDescent="0.25">
      <c r="K987" s="312"/>
    </row>
    <row r="988" spans="11:11" ht="18.75" customHeight="1" x14ac:dyDescent="0.25">
      <c r="K988" s="312"/>
    </row>
    <row r="989" spans="11:11" ht="18.75" customHeight="1" x14ac:dyDescent="0.25">
      <c r="K989" s="312"/>
    </row>
    <row r="990" spans="11:11" ht="18.75" customHeight="1" x14ac:dyDescent="0.25">
      <c r="K990" s="312"/>
    </row>
    <row r="991" spans="11:11" ht="18.75" customHeight="1" x14ac:dyDescent="0.25">
      <c r="K991" s="312"/>
    </row>
    <row r="992" spans="11:11" ht="18.75" customHeight="1" x14ac:dyDescent="0.25">
      <c r="K992" s="312"/>
    </row>
    <row r="993" spans="11:11" ht="18.75" customHeight="1" x14ac:dyDescent="0.25">
      <c r="K993" s="312"/>
    </row>
    <row r="994" spans="11:11" ht="18.75" customHeight="1" x14ac:dyDescent="0.25">
      <c r="K994" s="312"/>
    </row>
    <row r="995" spans="11:11" ht="18.75" customHeight="1" x14ac:dyDescent="0.25">
      <c r="K995" s="312"/>
    </row>
    <row r="996" spans="11:11" ht="18.75" customHeight="1" x14ac:dyDescent="0.25">
      <c r="K996" s="312"/>
    </row>
    <row r="997" spans="11:11" ht="18.75" customHeight="1" x14ac:dyDescent="0.25">
      <c r="K997" s="312"/>
    </row>
    <row r="998" spans="11:11" ht="18.75" customHeight="1" x14ac:dyDescent="0.25">
      <c r="K998" s="312"/>
    </row>
    <row r="999" spans="11:11" ht="18.75" customHeight="1" x14ac:dyDescent="0.25">
      <c r="K999" s="312"/>
    </row>
    <row r="1000" spans="11:11" ht="18.75" customHeight="1" x14ac:dyDescent="0.25">
      <c r="K1000" s="312"/>
    </row>
  </sheetData>
  <mergeCells count="7">
    <mergeCell ref="B56:B57"/>
    <mergeCell ref="B60:B61"/>
    <mergeCell ref="L4:L16"/>
    <mergeCell ref="L17:L22"/>
    <mergeCell ref="L23:L29"/>
    <mergeCell ref="L30:L41"/>
    <mergeCell ref="L43:L4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11</vt:i4>
      </vt:variant>
      <vt:variant>
        <vt:lpstr>Plages nommées</vt:lpstr>
      </vt:variant>
      <vt:variant>
        <vt:i4>3</vt:i4>
      </vt:variant>
    </vt:vector>
  </HeadingPairs>
  <TitlesOfParts>
    <vt:vector size="14" baseType="lpstr">
      <vt:lpstr>Liste</vt:lpstr>
      <vt:lpstr>Descriptions</vt:lpstr>
      <vt:lpstr>Code formule</vt:lpstr>
      <vt:lpstr>Code MO</vt:lpstr>
      <vt:lpstr>Emballages</vt:lpstr>
      <vt:lpstr>Allergènes 81</vt:lpstr>
      <vt:lpstr>IFRA</vt:lpstr>
      <vt:lpstr>Test allergènes</vt:lpstr>
      <vt:lpstr>Tests toxico</vt:lpstr>
      <vt:lpstr>Gamme bébé</vt:lpstr>
      <vt:lpstr>Soin anti-bouton</vt:lpstr>
      <vt:lpstr>Code</vt:lpstr>
      <vt:lpstr>Description</vt:lpstr>
      <vt:lpstr>Prix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Frédéric Munoz</dc:creator>
  <cp:lastModifiedBy>Frédéric Munoz</cp:lastModifiedBy>
  <dcterms:created xsi:type="dcterms:W3CDTF">2021-01-20T16:17:40Z</dcterms:created>
  <dcterms:modified xsi:type="dcterms:W3CDTF">2026-02-04T01:08:29Z</dcterms:modified>
</cp:coreProperties>
</file>